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EJI 2025\07. SPV OPERASIONAL\CASHBACK MAR-MEI 2025\VALIDASI ADMIN\"/>
    </mc:Choice>
  </mc:AlternateContent>
  <xr:revisionPtr revIDLastSave="0" documentId="13_ncr:1_{190126BE-248E-44C9-9B78-71DB5C9D3114}" xr6:coauthVersionLast="47" xr6:coauthVersionMax="47" xr10:uidLastSave="{00000000-0000-0000-0000-000000000000}"/>
  <bookViews>
    <workbookView xWindow="-108" yWindow="-108" windowWidth="23256" windowHeight="12456" activeTab="2" xr2:uid="{A9C3568A-DF1C-468E-B4C4-B20CE8EA1089}"/>
  </bookViews>
  <sheets>
    <sheet name="GT" sheetId="3" r:id="rId1"/>
    <sheet name="MT" sheetId="6" r:id="rId2"/>
    <sheet name="MISS GLAM" sheetId="8" r:id="rId3"/>
  </sheets>
  <externalReferences>
    <externalReference r:id="rId4"/>
    <externalReference r:id="rId5"/>
  </externalReferences>
  <definedNames>
    <definedName name="_xlnm._FilterDatabase" localSheetId="0" hidden="1">GT!$B$3:$I$67</definedName>
    <definedName name="_xlnm._FilterDatabase" localSheetId="1" hidden="1">MT!$B$4:$I$27</definedName>
    <definedName name="_xlnm.Print_Area" localSheetId="0">GT!$A$1:$V$68</definedName>
    <definedName name="_xlnm.Print_Area" localSheetId="2">'MISS GLAM'!$A$1:$X$25</definedName>
    <definedName name="_xlnm.Print_Area" localSheetId="1">MT!$A$1:$V$28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6" i="6" l="1"/>
  <c r="R16" i="6" s="1"/>
  <c r="P27" i="6"/>
  <c r="R27" i="6" s="1"/>
  <c r="P26" i="6"/>
  <c r="R26" i="6" s="1"/>
  <c r="P25" i="6"/>
  <c r="R25" i="6" s="1"/>
  <c r="P24" i="6"/>
  <c r="R24" i="6" s="1"/>
  <c r="P23" i="6"/>
  <c r="R23" i="6" s="1"/>
  <c r="P22" i="6"/>
  <c r="R22" i="6" s="1"/>
  <c r="S22" i="6" s="1"/>
  <c r="U22" i="6" s="1"/>
  <c r="P15" i="6"/>
  <c r="R15" i="6" s="1"/>
  <c r="P14" i="6"/>
  <c r="R14" i="6" s="1"/>
  <c r="P4" i="6"/>
  <c r="P21" i="6"/>
  <c r="R21" i="6" s="1"/>
  <c r="P13" i="6"/>
  <c r="R13" i="6" s="1"/>
  <c r="P8" i="6"/>
  <c r="R8" i="6" s="1"/>
  <c r="P7" i="6"/>
  <c r="R7" i="6" s="1"/>
  <c r="P6" i="6"/>
  <c r="R6" i="6" s="1"/>
  <c r="P5" i="6"/>
  <c r="R5" i="6" s="1"/>
  <c r="S24" i="8"/>
  <c r="U24" i="8" s="1"/>
  <c r="S23" i="8"/>
  <c r="U23" i="8" s="1"/>
  <c r="S22" i="8"/>
  <c r="U22" i="8" s="1"/>
  <c r="S20" i="8"/>
  <c r="U20" i="8" s="1"/>
  <c r="S19" i="8"/>
  <c r="U19" i="8" s="1"/>
  <c r="S18" i="8"/>
  <c r="U18" i="8" s="1"/>
  <c r="S17" i="8"/>
  <c r="U17" i="8" s="1"/>
  <c r="S16" i="8"/>
  <c r="U16" i="8" s="1"/>
  <c r="S15" i="8"/>
  <c r="U15" i="8" s="1"/>
  <c r="S14" i="8"/>
  <c r="U14" i="8" s="1"/>
  <c r="S12" i="8"/>
  <c r="U12" i="8" s="1"/>
  <c r="S11" i="8"/>
  <c r="U11" i="8" s="1"/>
  <c r="S10" i="8"/>
  <c r="U10" i="8" s="1"/>
  <c r="S8" i="8"/>
  <c r="U8" i="8" s="1"/>
  <c r="S7" i="8"/>
  <c r="U7" i="8" s="1"/>
  <c r="S4" i="8"/>
  <c r="U4" i="8" s="1"/>
  <c r="S3" i="8"/>
  <c r="U3" i="8" s="1"/>
  <c r="O67" i="3"/>
  <c r="N67" i="3"/>
  <c r="P66" i="3"/>
  <c r="O66" i="3"/>
  <c r="N66" i="3"/>
  <c r="P65" i="3"/>
  <c r="O65" i="3"/>
  <c r="N65" i="3"/>
  <c r="P64" i="3"/>
  <c r="O64" i="3"/>
  <c r="N64" i="3"/>
  <c r="P63" i="3"/>
  <c r="O63" i="3"/>
  <c r="N63" i="3"/>
  <c r="P62" i="3"/>
  <c r="O62" i="3"/>
  <c r="N62" i="3"/>
  <c r="P61" i="3"/>
  <c r="O61" i="3"/>
  <c r="N61" i="3"/>
  <c r="P60" i="3"/>
  <c r="O60" i="3"/>
  <c r="N60" i="3"/>
  <c r="O59" i="3"/>
  <c r="N59" i="3"/>
  <c r="P58" i="3"/>
  <c r="O58" i="3"/>
  <c r="N58" i="3"/>
  <c r="O57" i="3"/>
  <c r="N57" i="3"/>
  <c r="P56" i="3"/>
  <c r="O56" i="3"/>
  <c r="N56" i="3"/>
  <c r="P55" i="3"/>
  <c r="Q55" i="3"/>
  <c r="S55" i="3" s="1"/>
  <c r="P54" i="3"/>
  <c r="O54" i="3"/>
  <c r="N54" i="3"/>
  <c r="P53" i="3"/>
  <c r="O53" i="3"/>
  <c r="N53" i="3"/>
  <c r="P52" i="3"/>
  <c r="O52" i="3"/>
  <c r="N52" i="3"/>
  <c r="P51" i="3"/>
  <c r="O51" i="3"/>
  <c r="N51" i="3"/>
  <c r="P50" i="3"/>
  <c r="O50" i="3"/>
  <c r="N50" i="3"/>
  <c r="P49" i="3"/>
  <c r="O49" i="3"/>
  <c r="N49" i="3"/>
  <c r="P48" i="3"/>
  <c r="O48" i="3"/>
  <c r="N48" i="3"/>
  <c r="P47" i="3"/>
  <c r="Q47" i="3"/>
  <c r="S47" i="3" s="1"/>
  <c r="I26" i="8"/>
  <c r="J26" i="8"/>
  <c r="K26" i="8"/>
  <c r="L26" i="8"/>
  <c r="M26" i="8"/>
  <c r="N26" i="8"/>
  <c r="H26" i="8"/>
  <c r="F28" i="6"/>
  <c r="F32" i="6" s="1"/>
  <c r="G28" i="6"/>
  <c r="J28" i="6"/>
  <c r="E28" i="6"/>
  <c r="F17" i="6"/>
  <c r="G17" i="6"/>
  <c r="J17" i="6"/>
  <c r="E17" i="6"/>
  <c r="F9" i="6"/>
  <c r="G9" i="6"/>
  <c r="J9" i="6"/>
  <c r="E9" i="6"/>
  <c r="G32" i="6"/>
  <c r="I10" i="6"/>
  <c r="K5" i="6"/>
  <c r="K6" i="6"/>
  <c r="K7" i="6"/>
  <c r="K8" i="6"/>
  <c r="K10" i="6"/>
  <c r="K13" i="6"/>
  <c r="K14" i="6"/>
  <c r="K17" i="6" s="1"/>
  <c r="K15" i="6"/>
  <c r="K16" i="6"/>
  <c r="K21" i="6"/>
  <c r="K28" i="6" s="1"/>
  <c r="K22" i="6"/>
  <c r="K23" i="6"/>
  <c r="K24" i="6"/>
  <c r="K25" i="6"/>
  <c r="K26" i="6"/>
  <c r="K27" i="6"/>
  <c r="K4" i="6"/>
  <c r="K9" i="6" s="1"/>
  <c r="H22" i="6"/>
  <c r="I22" i="6" s="1"/>
  <c r="H13" i="6"/>
  <c r="I13" i="6" s="1"/>
  <c r="I17" i="6" s="1"/>
  <c r="H15" i="6"/>
  <c r="I15" i="6" s="1"/>
  <c r="H24" i="6"/>
  <c r="I24" i="6" s="1"/>
  <c r="H27" i="6"/>
  <c r="I27" i="6" s="1"/>
  <c r="H4" i="6"/>
  <c r="H9" i="6" s="1"/>
  <c r="H16" i="6"/>
  <c r="I16" i="6" s="1"/>
  <c r="H21" i="6"/>
  <c r="I21" i="6" s="1"/>
  <c r="I28" i="6" s="1"/>
  <c r="H5" i="6"/>
  <c r="I5" i="6" s="1"/>
  <c r="H7" i="6"/>
  <c r="I7" i="6" s="1"/>
  <c r="H25" i="6"/>
  <c r="I25" i="6" s="1"/>
  <c r="H8" i="6"/>
  <c r="I8" i="6" s="1"/>
  <c r="H14" i="6"/>
  <c r="I14" i="6" s="1"/>
  <c r="H26" i="6"/>
  <c r="I26" i="6" s="1"/>
  <c r="H6" i="6"/>
  <c r="I6" i="6" s="1"/>
  <c r="H23" i="6"/>
  <c r="I23" i="6" s="1"/>
  <c r="G68" i="3"/>
  <c r="H68" i="3"/>
  <c r="K68" i="3"/>
  <c r="F68" i="3"/>
  <c r="G35" i="3"/>
  <c r="H35" i="3"/>
  <c r="K35" i="3"/>
  <c r="K72" i="3" s="1"/>
  <c r="F35" i="3"/>
  <c r="G14" i="3"/>
  <c r="G72" i="3" s="1"/>
  <c r="H14" i="3"/>
  <c r="K14" i="3"/>
  <c r="F14" i="3"/>
  <c r="L5" i="3"/>
  <c r="L6" i="3"/>
  <c r="L7" i="3"/>
  <c r="L8" i="3"/>
  <c r="L9" i="3"/>
  <c r="L10" i="3"/>
  <c r="L11" i="3"/>
  <c r="L12" i="3"/>
  <c r="L13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4" i="3"/>
  <c r="I47" i="3"/>
  <c r="J47" i="3" s="1"/>
  <c r="I61" i="3"/>
  <c r="J61" i="3" s="1"/>
  <c r="I57" i="3"/>
  <c r="J57" i="3" s="1"/>
  <c r="I51" i="3"/>
  <c r="J51" i="3" s="1"/>
  <c r="I58" i="3"/>
  <c r="J58" i="3" s="1"/>
  <c r="I53" i="3"/>
  <c r="J53" i="3" s="1"/>
  <c r="I48" i="3"/>
  <c r="J48" i="3" s="1"/>
  <c r="I59" i="3"/>
  <c r="J59" i="3" s="1"/>
  <c r="I49" i="3"/>
  <c r="J49" i="3" s="1"/>
  <c r="I64" i="3"/>
  <c r="J64" i="3" s="1"/>
  <c r="I52" i="3"/>
  <c r="J52" i="3" s="1"/>
  <c r="I62" i="3"/>
  <c r="J62" i="3" s="1"/>
  <c r="I67" i="3"/>
  <c r="J67" i="3" s="1"/>
  <c r="I66" i="3"/>
  <c r="J66" i="3" s="1"/>
  <c r="I56" i="3"/>
  <c r="J56" i="3" s="1"/>
  <c r="I50" i="3"/>
  <c r="J50" i="3" s="1"/>
  <c r="I60" i="3"/>
  <c r="J60" i="3" s="1"/>
  <c r="I65" i="3"/>
  <c r="J65" i="3" s="1"/>
  <c r="I27" i="3"/>
  <c r="J27" i="3" s="1"/>
  <c r="I26" i="3"/>
  <c r="J26" i="3" s="1"/>
  <c r="I63" i="3"/>
  <c r="J63" i="3" s="1"/>
  <c r="I54" i="3"/>
  <c r="J54" i="3" s="1"/>
  <c r="I18" i="3"/>
  <c r="J18" i="3" s="1"/>
  <c r="I21" i="3"/>
  <c r="J21" i="3" s="1"/>
  <c r="I19" i="3"/>
  <c r="J19" i="3" s="1"/>
  <c r="I22" i="3"/>
  <c r="J22" i="3" s="1"/>
  <c r="I29" i="3"/>
  <c r="J29" i="3" s="1"/>
  <c r="I20" i="3"/>
  <c r="J20" i="3" s="1"/>
  <c r="I24" i="3"/>
  <c r="J24" i="3" s="1"/>
  <c r="I10" i="3"/>
  <c r="J10" i="3" s="1"/>
  <c r="I7" i="3"/>
  <c r="J7" i="3" s="1"/>
  <c r="I11" i="3"/>
  <c r="J11" i="3" s="1"/>
  <c r="I4" i="3"/>
  <c r="J4" i="3" s="1"/>
  <c r="I9" i="3"/>
  <c r="J9" i="3" s="1"/>
  <c r="I13" i="3"/>
  <c r="J13" i="3" s="1"/>
  <c r="I8" i="3"/>
  <c r="J8" i="3" s="1"/>
  <c r="I6" i="3"/>
  <c r="J6" i="3" s="1"/>
  <c r="I12" i="3"/>
  <c r="J12" i="3" s="1"/>
  <c r="I5" i="3"/>
  <c r="J5" i="3" s="1"/>
  <c r="I34" i="3"/>
  <c r="J34" i="3" s="1"/>
  <c r="I28" i="3"/>
  <c r="J28" i="3" s="1"/>
  <c r="I33" i="3"/>
  <c r="J33" i="3" s="1"/>
  <c r="I25" i="3"/>
  <c r="J25" i="3" s="1"/>
  <c r="I23" i="3"/>
  <c r="J23" i="3" s="1"/>
  <c r="I32" i="3"/>
  <c r="J32" i="3" s="1"/>
  <c r="I31" i="3"/>
  <c r="J31" i="3" s="1"/>
  <c r="I30" i="3"/>
  <c r="J30" i="3" s="1"/>
  <c r="I55" i="3"/>
  <c r="J55" i="3" s="1"/>
  <c r="H72" i="3" l="1"/>
  <c r="F72" i="3"/>
  <c r="Q20" i="3"/>
  <c r="S20" i="3" s="1"/>
  <c r="Q24" i="3"/>
  <c r="S24" i="3" s="1"/>
  <c r="T24" i="3" s="1"/>
  <c r="V24" i="3" s="1"/>
  <c r="Q28" i="3"/>
  <c r="S28" i="3" s="1"/>
  <c r="T28" i="3" s="1"/>
  <c r="V28" i="3" s="1"/>
  <c r="Q32" i="3"/>
  <c r="S32" i="3" s="1"/>
  <c r="Q48" i="3"/>
  <c r="S48" i="3" s="1"/>
  <c r="T48" i="3" s="1"/>
  <c r="V48" i="3" s="1"/>
  <c r="Q52" i="3"/>
  <c r="S52" i="3" s="1"/>
  <c r="U52" i="3" s="1"/>
  <c r="Q56" i="3"/>
  <c r="S56" i="3" s="1"/>
  <c r="Q60" i="3"/>
  <c r="S60" i="3" s="1"/>
  <c r="Q64" i="3"/>
  <c r="S64" i="3" s="1"/>
  <c r="U64" i="3" s="1"/>
  <c r="Q49" i="3"/>
  <c r="S49" i="3" s="1"/>
  <c r="U49" i="3" s="1"/>
  <c r="Q53" i="3"/>
  <c r="S53" i="3" s="1"/>
  <c r="U53" i="3" s="1"/>
  <c r="Q57" i="3"/>
  <c r="S57" i="3" s="1"/>
  <c r="U57" i="3" s="1"/>
  <c r="Q65" i="3"/>
  <c r="S65" i="3" s="1"/>
  <c r="Q61" i="3"/>
  <c r="S61" i="3" s="1"/>
  <c r="U61" i="3" s="1"/>
  <c r="Q19" i="3"/>
  <c r="S19" i="3" s="1"/>
  <c r="T19" i="3" s="1"/>
  <c r="V19" i="3" s="1"/>
  <c r="Q27" i="3"/>
  <c r="S27" i="3" s="1"/>
  <c r="Q67" i="3"/>
  <c r="S67" i="3" s="1"/>
  <c r="T67" i="3" s="1"/>
  <c r="V67" i="3" s="1"/>
  <c r="Q23" i="3"/>
  <c r="S23" i="3" s="1"/>
  <c r="U23" i="3" s="1"/>
  <c r="Q31" i="3"/>
  <c r="S31" i="3" s="1"/>
  <c r="Q51" i="3"/>
  <c r="S51" i="3" s="1"/>
  <c r="U51" i="3" s="1"/>
  <c r="Q59" i="3"/>
  <c r="S59" i="3" s="1"/>
  <c r="U59" i="3" s="1"/>
  <c r="O14" i="3"/>
  <c r="Q63" i="3"/>
  <c r="S63" i="3" s="1"/>
  <c r="U63" i="3" s="1"/>
  <c r="T23" i="6"/>
  <c r="S23" i="6"/>
  <c r="U23" i="6" s="1"/>
  <c r="T24" i="6"/>
  <c r="S24" i="6"/>
  <c r="U24" i="6" s="1"/>
  <c r="S25" i="6"/>
  <c r="U25" i="6" s="1"/>
  <c r="T25" i="6"/>
  <c r="T26" i="6"/>
  <c r="S26" i="6"/>
  <c r="U26" i="6" s="1"/>
  <c r="T27" i="6"/>
  <c r="S27" i="6"/>
  <c r="U27" i="6" s="1"/>
  <c r="T22" i="6"/>
  <c r="T15" i="6"/>
  <c r="S15" i="6"/>
  <c r="U15" i="6" s="1"/>
  <c r="T16" i="6"/>
  <c r="S16" i="6"/>
  <c r="U16" i="6" s="1"/>
  <c r="S14" i="6"/>
  <c r="U14" i="6" s="1"/>
  <c r="T14" i="6"/>
  <c r="R4" i="6"/>
  <c r="T4" i="6" s="1"/>
  <c r="P14" i="3"/>
  <c r="S6" i="8"/>
  <c r="U6" i="8" s="1"/>
  <c r="Q21" i="3"/>
  <c r="S21" i="3" s="1"/>
  <c r="T21" i="3" s="1"/>
  <c r="V21" i="3" s="1"/>
  <c r="Q25" i="3"/>
  <c r="S25" i="3" s="1"/>
  <c r="T25" i="3" s="1"/>
  <c r="V25" i="3" s="1"/>
  <c r="Q29" i="3"/>
  <c r="S29" i="3" s="1"/>
  <c r="T29" i="3" s="1"/>
  <c r="V29" i="3" s="1"/>
  <c r="Q33" i="3"/>
  <c r="S33" i="3" s="1"/>
  <c r="T33" i="3" s="1"/>
  <c r="V33" i="3" s="1"/>
  <c r="S5" i="8"/>
  <c r="U5" i="8" s="1"/>
  <c r="V5" i="8" s="1"/>
  <c r="X5" i="8" s="1"/>
  <c r="S9" i="8"/>
  <c r="U9" i="8" s="1"/>
  <c r="V9" i="8" s="1"/>
  <c r="X9" i="8" s="1"/>
  <c r="S13" i="8"/>
  <c r="U13" i="8" s="1"/>
  <c r="W13" i="8" s="1"/>
  <c r="S21" i="8"/>
  <c r="U21" i="8" s="1"/>
  <c r="W21" i="8" s="1"/>
  <c r="S25" i="8"/>
  <c r="U25" i="8" s="1"/>
  <c r="W25" i="8" s="1"/>
  <c r="Q18" i="3"/>
  <c r="S18" i="3" s="1"/>
  <c r="U18" i="3" s="1"/>
  <c r="Q22" i="3"/>
  <c r="S22" i="3" s="1"/>
  <c r="U22" i="3" s="1"/>
  <c r="Q26" i="3"/>
  <c r="S26" i="3" s="1"/>
  <c r="U26" i="3" s="1"/>
  <c r="Q30" i="3"/>
  <c r="S30" i="3" s="1"/>
  <c r="U30" i="3" s="1"/>
  <c r="Q34" i="3"/>
  <c r="S34" i="3" s="1"/>
  <c r="U34" i="3" s="1"/>
  <c r="Q50" i="3"/>
  <c r="S50" i="3" s="1"/>
  <c r="U50" i="3" s="1"/>
  <c r="Q54" i="3"/>
  <c r="S54" i="3" s="1"/>
  <c r="T54" i="3" s="1"/>
  <c r="V54" i="3" s="1"/>
  <c r="Q58" i="3"/>
  <c r="S58" i="3" s="1"/>
  <c r="U58" i="3" s="1"/>
  <c r="Q62" i="3"/>
  <c r="S62" i="3" s="1"/>
  <c r="U62" i="3" s="1"/>
  <c r="Q66" i="3"/>
  <c r="S66" i="3" s="1"/>
  <c r="U66" i="3" s="1"/>
  <c r="V18" i="8"/>
  <c r="X18" i="8" s="1"/>
  <c r="W18" i="8"/>
  <c r="W23" i="8"/>
  <c r="V23" i="8"/>
  <c r="X23" i="8" s="1"/>
  <c r="W16" i="8"/>
  <c r="V16" i="8"/>
  <c r="X16" i="8" s="1"/>
  <c r="W22" i="8"/>
  <c r="V22" i="8"/>
  <c r="X22" i="8" s="1"/>
  <c r="W11" i="8"/>
  <c r="V11" i="8"/>
  <c r="X11" i="8" s="1"/>
  <c r="W4" i="8"/>
  <c r="V4" i="8"/>
  <c r="X4" i="8" s="1"/>
  <c r="W12" i="8"/>
  <c r="V12" i="8"/>
  <c r="X12" i="8" s="1"/>
  <c r="V20" i="8"/>
  <c r="X20" i="8" s="1"/>
  <c r="W20" i="8"/>
  <c r="W6" i="8"/>
  <c r="V6" i="8"/>
  <c r="X6" i="8" s="1"/>
  <c r="V14" i="8"/>
  <c r="X14" i="8" s="1"/>
  <c r="W14" i="8"/>
  <c r="W19" i="8"/>
  <c r="V19" i="8"/>
  <c r="X19" i="8" s="1"/>
  <c r="W10" i="8"/>
  <c r="V10" i="8"/>
  <c r="X10" i="8" s="1"/>
  <c r="W7" i="8"/>
  <c r="V7" i="8"/>
  <c r="X7" i="8" s="1"/>
  <c r="W15" i="8"/>
  <c r="V15" i="8"/>
  <c r="X15" i="8" s="1"/>
  <c r="V8" i="8"/>
  <c r="X8" i="8" s="1"/>
  <c r="W8" i="8"/>
  <c r="W24" i="8"/>
  <c r="V24" i="8"/>
  <c r="X24" i="8" s="1"/>
  <c r="V17" i="8"/>
  <c r="X17" i="8" s="1"/>
  <c r="W17" i="8"/>
  <c r="V21" i="8"/>
  <c r="X21" i="8" s="1"/>
  <c r="W3" i="8"/>
  <c r="V3" i="8"/>
  <c r="X3" i="8" s="1"/>
  <c r="T21" i="6"/>
  <c r="S21" i="6"/>
  <c r="U21" i="6" s="1"/>
  <c r="T13" i="6"/>
  <c r="S13" i="6"/>
  <c r="U13" i="6" s="1"/>
  <c r="T7" i="6"/>
  <c r="S7" i="6"/>
  <c r="U7" i="6" s="1"/>
  <c r="T8" i="6"/>
  <c r="S8" i="6"/>
  <c r="U8" i="6" s="1"/>
  <c r="T5" i="6"/>
  <c r="S5" i="6"/>
  <c r="U5" i="6" s="1"/>
  <c r="T6" i="6"/>
  <c r="S6" i="6"/>
  <c r="U6" i="6" s="1"/>
  <c r="T61" i="3"/>
  <c r="V61" i="3" s="1"/>
  <c r="U55" i="3"/>
  <c r="T55" i="3"/>
  <c r="V55" i="3" s="1"/>
  <c r="U65" i="3"/>
  <c r="T65" i="3"/>
  <c r="V65" i="3" s="1"/>
  <c r="T51" i="3"/>
  <c r="V51" i="3" s="1"/>
  <c r="U56" i="3"/>
  <c r="T56" i="3"/>
  <c r="V56" i="3" s="1"/>
  <c r="U60" i="3"/>
  <c r="T60" i="3"/>
  <c r="V60" i="3" s="1"/>
  <c r="T64" i="3"/>
  <c r="V64" i="3" s="1"/>
  <c r="U47" i="3"/>
  <c r="T47" i="3"/>
  <c r="V47" i="3" s="1"/>
  <c r="U31" i="3"/>
  <c r="T31" i="3"/>
  <c r="V31" i="3" s="1"/>
  <c r="T32" i="3"/>
  <c r="V32" i="3" s="1"/>
  <c r="U32" i="3"/>
  <c r="U19" i="3"/>
  <c r="T23" i="3"/>
  <c r="V23" i="3" s="1"/>
  <c r="U20" i="3"/>
  <c r="T20" i="3"/>
  <c r="V20" i="3" s="1"/>
  <c r="U27" i="3"/>
  <c r="T27" i="3"/>
  <c r="V27" i="3" s="1"/>
  <c r="U28" i="3"/>
  <c r="Q7" i="3"/>
  <c r="S7" i="3" s="1"/>
  <c r="U7" i="3" s="1"/>
  <c r="Q11" i="3"/>
  <c r="S11" i="3" s="1"/>
  <c r="T11" i="3" s="1"/>
  <c r="V11" i="3" s="1"/>
  <c r="Q5" i="3"/>
  <c r="S5" i="3" s="1"/>
  <c r="U5" i="3" s="1"/>
  <c r="Q13" i="3"/>
  <c r="S13" i="3" s="1"/>
  <c r="T13" i="3" s="1"/>
  <c r="V13" i="3" s="1"/>
  <c r="Q9" i="3"/>
  <c r="S9" i="3" s="1"/>
  <c r="T9" i="3" s="1"/>
  <c r="V9" i="3" s="1"/>
  <c r="Q4" i="3"/>
  <c r="S4" i="3" s="1"/>
  <c r="U4" i="3" s="1"/>
  <c r="Q12" i="3"/>
  <c r="S12" i="3" s="1"/>
  <c r="U12" i="3" s="1"/>
  <c r="Q6" i="3"/>
  <c r="S6" i="3" s="1"/>
  <c r="U6" i="3" s="1"/>
  <c r="Q10" i="3"/>
  <c r="S10" i="3" s="1"/>
  <c r="T10" i="3" s="1"/>
  <c r="V10" i="3" s="1"/>
  <c r="N14" i="3"/>
  <c r="Q8" i="3"/>
  <c r="S8" i="3" s="1"/>
  <c r="U8" i="3" s="1"/>
  <c r="H28" i="6"/>
  <c r="J32" i="6"/>
  <c r="H17" i="6"/>
  <c r="H32" i="6" s="1"/>
  <c r="E32" i="6"/>
  <c r="K32" i="6"/>
  <c r="L68" i="3"/>
  <c r="J35" i="3"/>
  <c r="L35" i="3"/>
  <c r="L72" i="3" s="1"/>
  <c r="J68" i="3"/>
  <c r="I68" i="3"/>
  <c r="I35" i="3"/>
  <c r="I4" i="6"/>
  <c r="I9" i="6" s="1"/>
  <c r="I32" i="6" s="1"/>
  <c r="J14" i="3"/>
  <c r="L14" i="3"/>
  <c r="I14" i="3"/>
  <c r="U24" i="3" l="1"/>
  <c r="U48" i="3"/>
  <c r="T52" i="3"/>
  <c r="V52" i="3" s="1"/>
  <c r="T22" i="3"/>
  <c r="V22" i="3" s="1"/>
  <c r="U67" i="3"/>
  <c r="T59" i="3"/>
  <c r="V59" i="3" s="1"/>
  <c r="T57" i="3"/>
  <c r="V57" i="3" s="1"/>
  <c r="Q14" i="3"/>
  <c r="S14" i="3" s="1"/>
  <c r="T14" i="3" s="1"/>
  <c r="V14" i="3" s="1"/>
  <c r="T49" i="3"/>
  <c r="V49" i="3" s="1"/>
  <c r="T63" i="3"/>
  <c r="V63" i="3" s="1"/>
  <c r="T53" i="3"/>
  <c r="V53" i="3" s="1"/>
  <c r="T50" i="3"/>
  <c r="V50" i="3" s="1"/>
  <c r="U33" i="3"/>
  <c r="U29" i="3"/>
  <c r="T30" i="3"/>
  <c r="V30" i="3" s="1"/>
  <c r="U21" i="3"/>
  <c r="T34" i="3"/>
  <c r="V34" i="3" s="1"/>
  <c r="S4" i="6"/>
  <c r="U4" i="6" s="1"/>
  <c r="T58" i="3"/>
  <c r="V58" i="3" s="1"/>
  <c r="T62" i="3"/>
  <c r="V62" i="3" s="1"/>
  <c r="T26" i="3"/>
  <c r="V26" i="3" s="1"/>
  <c r="U25" i="3"/>
  <c r="T7" i="3"/>
  <c r="V7" i="3" s="1"/>
  <c r="U54" i="3"/>
  <c r="T66" i="3"/>
  <c r="V66" i="3" s="1"/>
  <c r="W5" i="8"/>
  <c r="W9" i="8"/>
  <c r="U13" i="3"/>
  <c r="V25" i="8"/>
  <c r="X25" i="8" s="1"/>
  <c r="T18" i="3"/>
  <c r="V18" i="3" s="1"/>
  <c r="V13" i="8"/>
  <c r="X13" i="8" s="1"/>
  <c r="T5" i="3"/>
  <c r="V5" i="3" s="1"/>
  <c r="U11" i="3"/>
  <c r="U9" i="3"/>
  <c r="U10" i="3"/>
  <c r="T4" i="3"/>
  <c r="V4" i="3" s="1"/>
  <c r="T6" i="3"/>
  <c r="V6" i="3" s="1"/>
  <c r="T12" i="3"/>
  <c r="V12" i="3" s="1"/>
  <c r="T8" i="3"/>
  <c r="V8" i="3" s="1"/>
  <c r="I72" i="3"/>
  <c r="J72" i="3"/>
  <c r="U14" i="3" l="1"/>
</calcChain>
</file>

<file path=xl/sharedStrings.xml><?xml version="1.0" encoding="utf-8"?>
<sst xmlns="http://schemas.openxmlformats.org/spreadsheetml/2006/main" count="580" uniqueCount="184">
  <si>
    <t>REGION</t>
  </si>
  <si>
    <t>AREA</t>
  </si>
  <si>
    <t>KODE CUST</t>
  </si>
  <si>
    <t>CUSTOMER</t>
  </si>
  <si>
    <t>HET</t>
  </si>
  <si>
    <t>CHANNEL</t>
  </si>
  <si>
    <t>Group Outlet</t>
  </si>
  <si>
    <t>11. NOV</t>
  </si>
  <si>
    <t>GT</t>
  </si>
  <si>
    <t>MT</t>
  </si>
  <si>
    <t>SUMBAGSEL</t>
  </si>
  <si>
    <t>BENGKULU</t>
  </si>
  <si>
    <t>CST0035506</t>
  </si>
  <si>
    <t>MISS GLAM GROUP</t>
  </si>
  <si>
    <t>SUMBAGTENG</t>
  </si>
  <si>
    <t>JAMBI</t>
  </si>
  <si>
    <t>JAMTOS GROUP</t>
  </si>
  <si>
    <t>JMB01548</t>
  </si>
  <si>
    <t>CV.INSPIRATION COSMETICS JAMBI</t>
  </si>
  <si>
    <t>TRONA GROUP</t>
  </si>
  <si>
    <t>JMB00269</t>
  </si>
  <si>
    <t>TOKO LONDON - JAMBI</t>
  </si>
  <si>
    <t>FRESH GROUP</t>
  </si>
  <si>
    <t>JMB00111</t>
  </si>
  <si>
    <t>TOKO LADIES STUFF8 STORE - JAMBI</t>
  </si>
  <si>
    <t>JMB01493</t>
  </si>
  <si>
    <t>TOKO AMEL STORE SAROLANGUN - JAMBI</t>
  </si>
  <si>
    <t>MANDALA GROUP</t>
  </si>
  <si>
    <t>JMB00331</t>
  </si>
  <si>
    <t>TOKO TREE FASHION SINGKUT - JAMBI</t>
  </si>
  <si>
    <t>JMB00911</t>
  </si>
  <si>
    <t>HAPPY SHOP 808-JAMBI</t>
  </si>
  <si>
    <t>JMB01337</t>
  </si>
  <si>
    <t>MISS GLAM MA.BUNGO - JAMBI</t>
  </si>
  <si>
    <t>JMB01339</t>
  </si>
  <si>
    <t>MISS GLAM - JAMBI</t>
  </si>
  <si>
    <t>JMB01190</t>
  </si>
  <si>
    <t>TOKO GITA KOSMETIK - JAMBI</t>
  </si>
  <si>
    <t>JMB00828</t>
  </si>
  <si>
    <t>TOKO NANDA JAYA BUNGO - JAMBI</t>
  </si>
  <si>
    <t>JMB00256</t>
  </si>
  <si>
    <t>TOKO ABIMBI I-JMB</t>
  </si>
  <si>
    <t>MM.EMLY (BULIAN)-JAMBI</t>
  </si>
  <si>
    <t>JMB00113</t>
  </si>
  <si>
    <t>COSMETIC WULAN R.BUJANG - JAMBI</t>
  </si>
  <si>
    <t>SUMBAGUT</t>
  </si>
  <si>
    <t>MEDAN</t>
  </si>
  <si>
    <t>MISS GLAM MEDAN</t>
  </si>
  <si>
    <t>RPT026</t>
  </si>
  <si>
    <t>MISS GLAM RANTAU PRAPAT</t>
  </si>
  <si>
    <t>TANJUNG PINANG</t>
  </si>
  <si>
    <t>R222</t>
  </si>
  <si>
    <t>LAMPUNG</t>
  </si>
  <si>
    <t>MISS GLAM, MM</t>
  </si>
  <si>
    <t>BUDIMAN SWALAYAN</t>
  </si>
  <si>
    <t>MISS GLAM KEDATON</t>
  </si>
  <si>
    <t>BANGKA</t>
  </si>
  <si>
    <t>23SPC0200</t>
  </si>
  <si>
    <t>PADANG</t>
  </si>
  <si>
    <t>M058</t>
  </si>
  <si>
    <t>MISS GLAM BKT</t>
  </si>
  <si>
    <t>H019</t>
  </si>
  <si>
    <t>HNH M.YUNUS</t>
  </si>
  <si>
    <t>B001</t>
  </si>
  <si>
    <t>BURMA BUKITTINGGI</t>
  </si>
  <si>
    <t>H001</t>
  </si>
  <si>
    <t>HASRAT</t>
  </si>
  <si>
    <t>T040</t>
  </si>
  <si>
    <t>TOKO GADIH RANCAK</t>
  </si>
  <si>
    <t>H037</t>
  </si>
  <si>
    <t>HELMA COST</t>
  </si>
  <si>
    <t>M015</t>
  </si>
  <si>
    <t>MELLA COSMETIC</t>
  </si>
  <si>
    <t>M024</t>
  </si>
  <si>
    <t>MISS GLAM</t>
  </si>
  <si>
    <t>CITRA SWALAYAN</t>
  </si>
  <si>
    <t>M070</t>
  </si>
  <si>
    <t>MISS GLAM DAMAR</t>
  </si>
  <si>
    <t>B040</t>
  </si>
  <si>
    <t>BURMA PADANG</t>
  </si>
  <si>
    <t>K041</t>
  </si>
  <si>
    <t>KADAI BEAUTY PSM</t>
  </si>
  <si>
    <t>PELANGI SWALAYAN</t>
  </si>
  <si>
    <t>M079</t>
  </si>
  <si>
    <t>MISS GLAM SOLOK</t>
  </si>
  <si>
    <t>J005</t>
  </si>
  <si>
    <t>JUN SOLOK</t>
  </si>
  <si>
    <t>T012</t>
  </si>
  <si>
    <t>TOKO ARSY</t>
  </si>
  <si>
    <t>GRAND CITRA SWL</t>
  </si>
  <si>
    <t>V002</t>
  </si>
  <si>
    <t>VARIA I</t>
  </si>
  <si>
    <t>k028</t>
  </si>
  <si>
    <t>KADAI BEAUTY 2</t>
  </si>
  <si>
    <t>M072</t>
  </si>
  <si>
    <t>MISS GLAM PAYAKUMBUH</t>
  </si>
  <si>
    <t>U012</t>
  </si>
  <si>
    <t>URANGBUAKALUANG</t>
  </si>
  <si>
    <t>A055</t>
  </si>
  <si>
    <t>ARM</t>
  </si>
  <si>
    <t>A070</t>
  </si>
  <si>
    <t>AYAH KOSMETIK</t>
  </si>
  <si>
    <t>B043</t>
  </si>
  <si>
    <t>BATANG GADIS</t>
  </si>
  <si>
    <t>K027</t>
  </si>
  <si>
    <t>KADAI BEAUTY LA</t>
  </si>
  <si>
    <t>PEKANBARU</t>
  </si>
  <si>
    <t>GRS. RAYA</t>
  </si>
  <si>
    <t>USAHA BARU</t>
  </si>
  <si>
    <t>MANDIRI GORUP</t>
  </si>
  <si>
    <t>MISS GLAM DUMAI</t>
  </si>
  <si>
    <t>GRS. JAYA PRIMA</t>
  </si>
  <si>
    <t>CV. TIGA M GROUP</t>
  </si>
  <si>
    <t>PT. DINAMIKA</t>
  </si>
  <si>
    <t>KARTIN SHOP</t>
  </si>
  <si>
    <t>TO. MODIS</t>
  </si>
  <si>
    <t>999 GROUP</t>
  </si>
  <si>
    <t>APOTIK PERKASA</t>
  </si>
  <si>
    <t>ISTANA COSMETIK</t>
  </si>
  <si>
    <t>CV. JAYA ABADI</t>
  </si>
  <si>
    <t>HAWAI GROUP</t>
  </si>
  <si>
    <t>HOLY KOSMETIK</t>
  </si>
  <si>
    <t>AM-3120012</t>
  </si>
  <si>
    <t>IDOLA COSMETIK</t>
  </si>
  <si>
    <t>MISS GLAIM TEMBILAHAN</t>
  </si>
  <si>
    <t>AKAR SARI KODIM</t>
  </si>
  <si>
    <t>BEST COSMETIC</t>
  </si>
  <si>
    <t>CV. BUDIMAN ARIFIN AHMAD</t>
  </si>
  <si>
    <t>SIN LUXURIOUS BEAUTY</t>
  </si>
  <si>
    <t>TOKO HIDAYAH BEAUTY</t>
  </si>
  <si>
    <t>JINAAN STORE</t>
  </si>
  <si>
    <t>AM-3230084</t>
  </si>
  <si>
    <t>IDOLA KOSMETIK TLK</t>
  </si>
  <si>
    <t>AKAR SARI</t>
  </si>
  <si>
    <t>GROSIR AULIA</t>
  </si>
  <si>
    <t>PALEMBANG</t>
  </si>
  <si>
    <t>MISS GLAM LUBUK LINGGAU</t>
  </si>
  <si>
    <t>12. DEC</t>
  </si>
  <si>
    <t>M092</t>
  </si>
  <si>
    <t>MISS GLAM SUTOMO</t>
  </si>
  <si>
    <t>ALANA BEAUTY</t>
  </si>
  <si>
    <t>KOMAVO  KOSMETIK</t>
  </si>
  <si>
    <t>01. JAN</t>
  </si>
  <si>
    <t>AA043520</t>
  </si>
  <si>
    <t>AA413615</t>
  </si>
  <si>
    <t>M094</t>
  </si>
  <si>
    <t>MISS GLAM PASAMAN</t>
  </si>
  <si>
    <t>ISTANA COSMETIK 3</t>
  </si>
  <si>
    <t>BEAUTY ONLINE STORE</t>
  </si>
  <si>
    <t>MDN867</t>
  </si>
  <si>
    <t>MDN868</t>
  </si>
  <si>
    <t>MISS GLAM HALAT</t>
  </si>
  <si>
    <t>PT. BERSAMA GLAMINDO INDONESIA</t>
  </si>
  <si>
    <t>PT.BERSAMA GLAMINDO INDONESIA</t>
  </si>
  <si>
    <t>Grand Total</t>
  </si>
  <si>
    <t>Avg 3 Bulan</t>
  </si>
  <si>
    <t>GROWT 10%</t>
  </si>
  <si>
    <t>TARGET / BULAN</t>
  </si>
  <si>
    <t>TARGET 3 BULAN</t>
  </si>
  <si>
    <t>NO</t>
  </si>
  <si>
    <t>TOTAL</t>
  </si>
  <si>
    <t>CASHBACK</t>
  </si>
  <si>
    <t>AVG 3 BULAN</t>
  </si>
  <si>
    <t>GROUP OUTLET</t>
  </si>
  <si>
    <t>LIST OUTLET PENGAJUAN PROGRAN CASHBACK PERIODE MARET - MEI 2025 GT AREA SUMBAGTENG</t>
  </si>
  <si>
    <t>GRAND TOTAL</t>
  </si>
  <si>
    <t>PT. BERSAMA GLAMINDO JAYA ( MISS GLAM ) PANAM</t>
  </si>
  <si>
    <t>PT. BERSAMA GLAMINDO JAYA ( MISS GLAM ) SUDIRMAN</t>
  </si>
  <si>
    <t>GROWTH 10%</t>
  </si>
  <si>
    <t>Di Ajukan Oleh</t>
  </si>
  <si>
    <t xml:space="preserve">     Al Azhar</t>
  </si>
  <si>
    <t>Padang, 05 Maret 2025</t>
  </si>
  <si>
    <t xml:space="preserve">RSM </t>
  </si>
  <si>
    <t>VALIDASI ADMIN SALES</t>
  </si>
  <si>
    <t>12. DES</t>
  </si>
  <si>
    <t>AVG</t>
  </si>
  <si>
    <t>Growth</t>
  </si>
  <si>
    <t>Target/bulan HET</t>
  </si>
  <si>
    <t>Target 3 bulan HET</t>
  </si>
  <si>
    <t>Target/bulan DPP</t>
  </si>
  <si>
    <t>Target 3 bulan DPP</t>
  </si>
  <si>
    <t>average dibawah 15jt</t>
  </si>
  <si>
    <t>LIST OUTLET PENGAJUAN PROGRAM CASHBACK PERIODE MARET - MEI 2025 MT AREA SUMBAGTENG</t>
  </si>
  <si>
    <t>LIST OUTLET PENGAJUAN MT MISS GLAM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</si>
</sst>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1" fillId="0" borderId="0" xfId="0" applyFont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1" xfId="0" applyFont="1" applyFill="1" applyBorder="1"/>
    <xf numFmtId="165" fontId="3" fillId="3" borderId="1" xfId="3" applyNumberFormat="1" applyFont="1" applyFill="1" applyBorder="1" applyAlignment="1">
      <alignment horizontal="center" vertical="center"/>
    </xf>
    <xf numFmtId="0" fontId="3" fillId="3" borderId="1" xfId="2" applyFill="1" applyBorder="1" applyAlignment="1">
      <alignment horizontal="center" vertical="center"/>
    </xf>
    <xf numFmtId="41" fontId="0" fillId="4" borderId="1" xfId="1" applyNumberFormat="1" applyFont="1" applyFill="1" applyBorder="1"/>
    <xf numFmtId="9" fontId="0" fillId="4" borderId="1" xfId="1" applyFont="1" applyFill="1" applyBorder="1"/>
    <xf numFmtId="164" fontId="1" fillId="0" borderId="0" xfId="0" applyNumberFormat="1" applyFont="1"/>
    <xf numFmtId="0" fontId="1" fillId="0" borderId="0" xfId="0" applyFont="1"/>
    <xf numFmtId="0" fontId="2" fillId="0" borderId="4" xfId="0" applyFont="1" applyBorder="1"/>
    <xf numFmtId="0" fontId="0" fillId="5" borderId="1" xfId="0" applyFill="1" applyBorder="1"/>
    <xf numFmtId="164" fontId="0" fillId="5" borderId="1" xfId="0" applyNumberFormat="1" applyFill="1" applyBorder="1"/>
    <xf numFmtId="9" fontId="0" fillId="5" borderId="1" xfId="0" applyNumberFormat="1" applyFill="1" applyBorder="1"/>
    <xf numFmtId="41" fontId="0" fillId="5" borderId="1" xfId="1" applyNumberFormat="1" applyFont="1" applyFill="1" applyBorder="1"/>
    <xf numFmtId="9" fontId="0" fillId="5" borderId="1" xfId="1" applyFont="1" applyFill="1" applyBorder="1"/>
    <xf numFmtId="0" fontId="0" fillId="5" borderId="0" xfId="0" applyFill="1"/>
    <xf numFmtId="0" fontId="4" fillId="3" borderId="1" xfId="2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5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/>
    <xf numFmtId="9" fontId="0" fillId="6" borderId="1" xfId="0" applyNumberFormat="1" applyFill="1" applyBorder="1"/>
    <xf numFmtId="41" fontId="0" fillId="6" borderId="1" xfId="1" applyNumberFormat="1" applyFont="1" applyFill="1" applyBorder="1"/>
    <xf numFmtId="9" fontId="0" fillId="6" borderId="1" xfId="1" applyFont="1" applyFill="1" applyBorder="1"/>
    <xf numFmtId="0" fontId="0" fillId="6" borderId="0" xfId="0" applyFill="1"/>
  </cellXfs>
  <cellStyles count="4">
    <cellStyle name="Comma 2" xfId="3" xr:uid="{96F0E508-4AAB-46C6-85C0-BFFD69F98BAD}"/>
    <cellStyle name="Normal" xfId="0" builtinId="0"/>
    <cellStyle name="Normal 8 2" xfId="2" xr:uid="{2B1F4331-0B76-44E4-9C0E-D04788FC71C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75</xdr:row>
      <xdr:rowOff>0</xdr:rowOff>
    </xdr:from>
    <xdr:to>
      <xdr:col>2</xdr:col>
      <xdr:colOff>1443156</xdr:colOff>
      <xdr:row>79</xdr:row>
      <xdr:rowOff>103865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12F1C-8F7E-4E1E-9E31-F46D886A4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15055850"/>
          <a:ext cx="1290756" cy="8404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463550</xdr:colOff>
      <xdr:row>34</xdr:row>
      <xdr:rowOff>158750</xdr:rowOff>
    </xdr:from>
    <xdr:to>
      <xdr:col>1</xdr:col>
      <xdr:colOff>1754306</xdr:colOff>
      <xdr:row>39</xdr:row>
      <xdr:rowOff>78465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D8D4E-95DB-424F-9CAA-0790164D8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6502400"/>
          <a:ext cx="1290756" cy="8404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28</xdr:row>
      <xdr:rowOff>171450</xdr:rowOff>
    </xdr:from>
    <xdr:to>
      <xdr:col>2</xdr:col>
      <xdr:colOff>1995606</xdr:colOff>
      <xdr:row>33</xdr:row>
      <xdr:rowOff>91165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BE612-528D-4FE7-B050-D968D43C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00" y="5410200"/>
          <a:ext cx="1290756" cy="8404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JENG/01.%20DATA%20SI%20STM/CLOSING%202025/01.%20JAN%202025/08.%20DATA%20STM%20JANUARI%202025%20(HANASUI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JENG/01.%20DATA%20SI%20STM/CLOSING%202024/12.%20DEC%202024/DATA%20STM%20NOVEMBER-DE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MASTER"/>
    </sheetNames>
    <sheetDataSet>
      <sheetData sheetId="0">
        <row r="1">
          <cell r="A1" t="str">
            <v>REGION</v>
          </cell>
          <cell r="B1" t="str">
            <v>(Multiple Items)</v>
          </cell>
        </row>
        <row r="2">
          <cell r="A2" t="str">
            <v>AREA</v>
          </cell>
          <cell r="B2" t="str">
            <v>(All)</v>
          </cell>
        </row>
        <row r="3">
          <cell r="A3" t="str">
            <v>SUB KATEGORI</v>
          </cell>
          <cell r="B3" t="str">
            <v>(All)</v>
          </cell>
        </row>
        <row r="4">
          <cell r="A4" t="str">
            <v>Sum of TOTAL HET</v>
          </cell>
        </row>
        <row r="5">
          <cell r="A5" t="str">
            <v>KODE CUST</v>
          </cell>
          <cell r="B5" t="str">
            <v>CUSTOMER</v>
          </cell>
          <cell r="C5" t="str">
            <v>Total</v>
          </cell>
        </row>
        <row r="6">
          <cell r="A6">
            <v>1</v>
          </cell>
          <cell r="B6" t="str">
            <v>KING MART</v>
          </cell>
          <cell r="C6">
            <v>211909.09090909088</v>
          </cell>
        </row>
        <row r="7">
          <cell r="A7">
            <v>3</v>
          </cell>
          <cell r="B7" t="str">
            <v>TOKO OBAT WILLY</v>
          </cell>
          <cell r="C7">
            <v>0</v>
          </cell>
        </row>
        <row r="8">
          <cell r="A8">
            <v>4</v>
          </cell>
          <cell r="B8" t="str">
            <v>LOTUS MAKMUR MANDIRI</v>
          </cell>
          <cell r="C8">
            <v>1129417.2272727273</v>
          </cell>
        </row>
        <row r="9">
          <cell r="A9">
            <v>5</v>
          </cell>
          <cell r="B9" t="str">
            <v>BUANA</v>
          </cell>
          <cell r="C9">
            <v>1533062.7272727278</v>
          </cell>
        </row>
        <row r="10">
          <cell r="A10">
            <v>6</v>
          </cell>
          <cell r="B10" t="str">
            <v>VY ACC</v>
          </cell>
          <cell r="C10">
            <v>4519467.5454545459</v>
          </cell>
        </row>
        <row r="11">
          <cell r="A11">
            <v>7</v>
          </cell>
          <cell r="B11" t="str">
            <v>VIE COLLECTION</v>
          </cell>
          <cell r="C11">
            <v>5588912.8636363652</v>
          </cell>
        </row>
        <row r="12">
          <cell r="A12">
            <v>9</v>
          </cell>
          <cell r="B12" t="str">
            <v>LK MART</v>
          </cell>
          <cell r="C12">
            <v>1518828.4090909089</v>
          </cell>
        </row>
        <row r="13">
          <cell r="A13">
            <v>10</v>
          </cell>
          <cell r="B13" t="str">
            <v>THINK MART</v>
          </cell>
          <cell r="C13">
            <v>240940.90909090909</v>
          </cell>
        </row>
        <row r="14">
          <cell r="A14">
            <v>12</v>
          </cell>
          <cell r="B14" t="str">
            <v>NELLY COSMETIC</v>
          </cell>
          <cell r="C14">
            <v>1898095.5454545454</v>
          </cell>
        </row>
        <row r="15">
          <cell r="A15">
            <v>14</v>
          </cell>
          <cell r="B15" t="str">
            <v>DEMA MART</v>
          </cell>
          <cell r="C15">
            <v>226800</v>
          </cell>
        </row>
        <row r="16">
          <cell r="A16">
            <v>16</v>
          </cell>
          <cell r="B16" t="str">
            <v>MIDI MART</v>
          </cell>
          <cell r="C16">
            <v>205022.04545454547</v>
          </cell>
        </row>
        <row r="17">
          <cell r="A17">
            <v>17</v>
          </cell>
          <cell r="B17" t="str">
            <v>SUNDARI KOSMETIC</v>
          </cell>
          <cell r="C17">
            <v>4983038.1818181816</v>
          </cell>
        </row>
        <row r="18">
          <cell r="A18">
            <v>23</v>
          </cell>
          <cell r="B18" t="str">
            <v>LIBRA</v>
          </cell>
          <cell r="C18">
            <v>9681037.7727272734</v>
          </cell>
        </row>
        <row r="19">
          <cell r="A19">
            <v>26</v>
          </cell>
          <cell r="B19" t="str">
            <v>CV. ARVIZA PUTRA MAKMUR</v>
          </cell>
          <cell r="C19">
            <v>382420.22727272729</v>
          </cell>
        </row>
        <row r="20">
          <cell r="A20">
            <v>29</v>
          </cell>
          <cell r="B20" t="str">
            <v>PELANGI MART</v>
          </cell>
          <cell r="C20">
            <v>330048.40909090906</v>
          </cell>
        </row>
        <row r="21">
          <cell r="A21">
            <v>33</v>
          </cell>
          <cell r="B21" t="str">
            <v xml:space="preserve">CV. ASOKA </v>
          </cell>
          <cell r="C21">
            <v>896461.36363636365</v>
          </cell>
        </row>
        <row r="22">
          <cell r="A22">
            <v>39</v>
          </cell>
          <cell r="B22" t="str">
            <v>CV. ASOKA LARIS JAYA</v>
          </cell>
          <cell r="C22">
            <v>623700</v>
          </cell>
        </row>
        <row r="23">
          <cell r="A23">
            <v>41</v>
          </cell>
          <cell r="B23" t="str">
            <v>TOKO SIMPANG BARO</v>
          </cell>
          <cell r="C23">
            <v>152120.45454545456</v>
          </cell>
        </row>
        <row r="24">
          <cell r="A24">
            <v>44</v>
          </cell>
          <cell r="B24" t="str">
            <v>878 MART</v>
          </cell>
          <cell r="C24">
            <v>56700</v>
          </cell>
        </row>
        <row r="25">
          <cell r="A25">
            <v>45</v>
          </cell>
          <cell r="B25" t="str">
            <v>ARFA MART</v>
          </cell>
          <cell r="C25">
            <v>708729.81818181823</v>
          </cell>
        </row>
        <row r="26">
          <cell r="A26">
            <v>50</v>
          </cell>
          <cell r="B26" t="str">
            <v>CITRA MART</v>
          </cell>
          <cell r="C26">
            <v>759355.90909090894</v>
          </cell>
        </row>
        <row r="27">
          <cell r="A27">
            <v>51</v>
          </cell>
          <cell r="B27" t="str">
            <v>RAMOS</v>
          </cell>
          <cell r="C27">
            <v>298788.40909090912</v>
          </cell>
        </row>
        <row r="28">
          <cell r="A28">
            <v>52</v>
          </cell>
          <cell r="B28" t="str">
            <v>LIBRA 2</v>
          </cell>
          <cell r="C28">
            <v>7463432.909090912</v>
          </cell>
        </row>
        <row r="29">
          <cell r="A29">
            <v>58</v>
          </cell>
          <cell r="B29" t="str">
            <v>AT SHOP</v>
          </cell>
          <cell r="C29">
            <v>25563196.909090918</v>
          </cell>
        </row>
        <row r="30">
          <cell r="A30">
            <v>62</v>
          </cell>
          <cell r="B30" t="str">
            <v>TOKO ASIONG</v>
          </cell>
          <cell r="C30">
            <v>1506640.9090909089</v>
          </cell>
        </row>
        <row r="31">
          <cell r="A31">
            <v>70</v>
          </cell>
          <cell r="B31" t="str">
            <v>SHEA BEAUTY</v>
          </cell>
          <cell r="C31">
            <v>33202584.954545457</v>
          </cell>
        </row>
        <row r="32">
          <cell r="A32">
            <v>73</v>
          </cell>
          <cell r="B32" t="str">
            <v>CV. DUTA HARMONY</v>
          </cell>
          <cell r="C32">
            <v>487000</v>
          </cell>
        </row>
        <row r="33">
          <cell r="A33">
            <v>78</v>
          </cell>
          <cell r="B33" t="str">
            <v>CV. BABEL MART</v>
          </cell>
          <cell r="C33">
            <v>2628961.3636363642</v>
          </cell>
        </row>
        <row r="34">
          <cell r="A34">
            <v>83</v>
          </cell>
          <cell r="B34" t="str">
            <v>BLESS PINK</v>
          </cell>
          <cell r="C34">
            <v>485271.81818181812</v>
          </cell>
        </row>
        <row r="35">
          <cell r="A35">
            <v>88</v>
          </cell>
          <cell r="B35" t="str">
            <v>TIMUR JAYA</v>
          </cell>
          <cell r="C35">
            <v>245636.36363636365</v>
          </cell>
        </row>
        <row r="36">
          <cell r="A36">
            <v>91</v>
          </cell>
          <cell r="B36" t="str">
            <v>MUSTIKA NAGA</v>
          </cell>
          <cell r="C36">
            <v>5196129.0454545449</v>
          </cell>
        </row>
        <row r="37">
          <cell r="A37">
            <v>95</v>
          </cell>
          <cell r="B37" t="str">
            <v>TOKO NATALIA</v>
          </cell>
          <cell r="C37">
            <v>204600</v>
          </cell>
        </row>
        <row r="38">
          <cell r="A38">
            <v>97</v>
          </cell>
          <cell r="B38" t="str">
            <v>ELI</v>
          </cell>
          <cell r="C38">
            <v>2548336.3636363633</v>
          </cell>
        </row>
        <row r="39">
          <cell r="A39">
            <v>100</v>
          </cell>
          <cell r="B39" t="str">
            <v>BEAUTY LIE</v>
          </cell>
          <cell r="C39">
            <v>5753608.0000000009</v>
          </cell>
        </row>
        <row r="40">
          <cell r="A40">
            <v>107</v>
          </cell>
          <cell r="B40" t="str">
            <v>MITRA</v>
          </cell>
          <cell r="C40">
            <v>495986.81818181812</v>
          </cell>
        </row>
        <row r="41">
          <cell r="A41">
            <v>123</v>
          </cell>
          <cell r="B41" t="str">
            <v>PUMA</v>
          </cell>
          <cell r="C41">
            <v>671972.72727272718</v>
          </cell>
        </row>
        <row r="42">
          <cell r="A42">
            <v>125</v>
          </cell>
          <cell r="B42" t="str">
            <v>SHEA BEAUTY</v>
          </cell>
          <cell r="C42">
            <v>10264782.136363639</v>
          </cell>
        </row>
        <row r="43">
          <cell r="A43">
            <v>128</v>
          </cell>
          <cell r="B43" t="str">
            <v>INDAH MART</v>
          </cell>
          <cell r="C43">
            <v>506263.63636363629</v>
          </cell>
        </row>
        <row r="44">
          <cell r="A44">
            <v>132</v>
          </cell>
          <cell r="B44" t="str">
            <v>JIWA COSMETIC</v>
          </cell>
          <cell r="C44">
            <v>1642924.9090909087</v>
          </cell>
        </row>
        <row r="45">
          <cell r="A45">
            <v>139</v>
          </cell>
          <cell r="B45" t="str">
            <v>ICHA</v>
          </cell>
          <cell r="C45">
            <v>85318.181818181823</v>
          </cell>
        </row>
        <row r="46">
          <cell r="A46">
            <v>142</v>
          </cell>
          <cell r="B46" t="str">
            <v>DEWI</v>
          </cell>
          <cell r="C46">
            <v>112412.72727272728</v>
          </cell>
        </row>
        <row r="47">
          <cell r="A47">
            <v>152</v>
          </cell>
          <cell r="B47" t="str">
            <v>TIARA</v>
          </cell>
          <cell r="C47">
            <v>24975.000000000007</v>
          </cell>
        </row>
        <row r="48">
          <cell r="A48">
            <v>166</v>
          </cell>
          <cell r="B48" t="str">
            <v xml:space="preserve">CV. LBC SUMBER MEDIS </v>
          </cell>
          <cell r="C48">
            <v>289472.72727272729</v>
          </cell>
        </row>
        <row r="49">
          <cell r="A49">
            <v>171</v>
          </cell>
          <cell r="B49" t="str">
            <v>ADIVA</v>
          </cell>
          <cell r="C49">
            <v>94142.045454545456</v>
          </cell>
        </row>
        <row r="50">
          <cell r="A50">
            <v>198</v>
          </cell>
          <cell r="B50" t="str">
            <v xml:space="preserve">SATRIO PRABOWO </v>
          </cell>
          <cell r="C50">
            <v>104825</v>
          </cell>
        </row>
        <row r="51">
          <cell r="A51">
            <v>216</v>
          </cell>
          <cell r="B51" t="str">
            <v>SKA COLLECTION</v>
          </cell>
          <cell r="C51">
            <v>1701329.4545454546</v>
          </cell>
        </row>
        <row r="52">
          <cell r="A52">
            <v>218</v>
          </cell>
          <cell r="B52" t="str">
            <v>PEPEN</v>
          </cell>
          <cell r="C52">
            <v>204000</v>
          </cell>
        </row>
        <row r="53">
          <cell r="A53">
            <v>219</v>
          </cell>
          <cell r="B53" t="str">
            <v>JUMA</v>
          </cell>
          <cell r="C53">
            <v>459460.909090909</v>
          </cell>
        </row>
        <row r="54">
          <cell r="A54">
            <v>221</v>
          </cell>
          <cell r="B54" t="str">
            <v>NIKO</v>
          </cell>
          <cell r="C54">
            <v>55626.136363636368</v>
          </cell>
        </row>
        <row r="55">
          <cell r="A55">
            <v>222</v>
          </cell>
          <cell r="B55" t="str">
            <v>OLEK</v>
          </cell>
          <cell r="C55">
            <v>394823.86363636365</v>
          </cell>
        </row>
        <row r="56">
          <cell r="A56">
            <v>227</v>
          </cell>
          <cell r="B56" t="str">
            <v>YOSI</v>
          </cell>
          <cell r="C56">
            <v>658103.86363636353</v>
          </cell>
        </row>
        <row r="57">
          <cell r="A57">
            <v>234</v>
          </cell>
          <cell r="B57" t="str">
            <v>DETA</v>
          </cell>
          <cell r="C57">
            <v>30525.000000000007</v>
          </cell>
        </row>
        <row r="58">
          <cell r="A58">
            <v>241</v>
          </cell>
          <cell r="B58" t="str">
            <v>HAMADI</v>
          </cell>
          <cell r="C58">
            <v>241142.04545454547</v>
          </cell>
        </row>
        <row r="59">
          <cell r="A59">
            <v>249</v>
          </cell>
          <cell r="B59" t="str">
            <v>HYZA</v>
          </cell>
          <cell r="C59">
            <v>1300667.7272727273</v>
          </cell>
        </row>
        <row r="60">
          <cell r="A60">
            <v>252</v>
          </cell>
          <cell r="B60" t="str">
            <v>DESI</v>
          </cell>
          <cell r="C60">
            <v>354000</v>
          </cell>
        </row>
        <row r="61">
          <cell r="A61">
            <v>253</v>
          </cell>
          <cell r="B61" t="str">
            <v>CINDY</v>
          </cell>
          <cell r="C61">
            <v>68972965.363636345</v>
          </cell>
        </row>
        <row r="62">
          <cell r="A62">
            <v>254</v>
          </cell>
          <cell r="B62" t="str">
            <v>ADELIN</v>
          </cell>
          <cell r="C62">
            <v>249250</v>
          </cell>
        </row>
        <row r="63">
          <cell r="A63">
            <v>269</v>
          </cell>
          <cell r="B63" t="str">
            <v>ALIYAH MART</v>
          </cell>
          <cell r="C63">
            <v>199800.00000000003</v>
          </cell>
        </row>
        <row r="64">
          <cell r="A64">
            <v>280</v>
          </cell>
          <cell r="B64" t="str">
            <v>NATALIA 2</v>
          </cell>
          <cell r="C64">
            <v>707289.54545454541</v>
          </cell>
        </row>
        <row r="65">
          <cell r="A65">
            <v>1002</v>
          </cell>
          <cell r="B65" t="str">
            <v>ISTANA COSMETIK 3</v>
          </cell>
          <cell r="C65">
            <v>240678065.04545444</v>
          </cell>
        </row>
        <row r="66">
          <cell r="A66">
            <v>1005</v>
          </cell>
          <cell r="B66" t="str">
            <v>RATU BEAUTY</v>
          </cell>
          <cell r="C66">
            <v>25172702.727272734</v>
          </cell>
        </row>
        <row r="67">
          <cell r="A67">
            <v>1010</v>
          </cell>
          <cell r="B67" t="str">
            <v>MM BERKAH</v>
          </cell>
          <cell r="C67">
            <v>631347.95454545459</v>
          </cell>
        </row>
        <row r="68">
          <cell r="A68">
            <v>1029</v>
          </cell>
          <cell r="B68" t="str">
            <v>CV. BUDIMAN SIMPANG TIGA</v>
          </cell>
          <cell r="C68">
            <v>33257643.363636374</v>
          </cell>
        </row>
        <row r="69">
          <cell r="A69">
            <v>1036</v>
          </cell>
          <cell r="B69" t="str">
            <v>GALAXY SWALAYAN HANGTUAH</v>
          </cell>
          <cell r="C69">
            <v>5898557.7272727303</v>
          </cell>
        </row>
        <row r="70">
          <cell r="A70">
            <v>1040</v>
          </cell>
          <cell r="B70" t="str">
            <v>APT. DUTA 8</v>
          </cell>
          <cell r="C70">
            <v>800977.27272727259</v>
          </cell>
        </row>
        <row r="71">
          <cell r="A71">
            <v>1047</v>
          </cell>
          <cell r="B71" t="str">
            <v>APT. CAHAYA 2</v>
          </cell>
          <cell r="C71">
            <v>705880.90909090906</v>
          </cell>
        </row>
        <row r="72">
          <cell r="A72">
            <v>1052</v>
          </cell>
          <cell r="B72" t="str">
            <v>BEAUTY ONLINE STORE</v>
          </cell>
          <cell r="C72">
            <v>720631064.72727275</v>
          </cell>
        </row>
        <row r="73">
          <cell r="A73">
            <v>6266</v>
          </cell>
          <cell r="B73" t="str">
            <v>ABADI JAYA (AHIUNG)</v>
          </cell>
          <cell r="C73">
            <v>43232557.49999997</v>
          </cell>
        </row>
        <row r="74">
          <cell r="A74">
            <v>6317</v>
          </cell>
          <cell r="B74" t="str">
            <v>INTAN MART,SANGGAU</v>
          </cell>
          <cell r="C74">
            <v>2593233.6818181826</v>
          </cell>
        </row>
        <row r="75">
          <cell r="A75">
            <v>6317</v>
          </cell>
          <cell r="B75" t="str">
            <v>TOP MARKET,PINOH</v>
          </cell>
          <cell r="C75">
            <v>5963640.5454545459</v>
          </cell>
        </row>
        <row r="76">
          <cell r="A76">
            <v>6341</v>
          </cell>
          <cell r="B76" t="str">
            <v>LAPAK MURAH NATUNA/DAILY</v>
          </cell>
          <cell r="C76">
            <v>4001248.0909090904</v>
          </cell>
        </row>
        <row r="77">
          <cell r="A77">
            <v>6342</v>
          </cell>
          <cell r="B77" t="str">
            <v>MITRA NIAGA,NGABANG</v>
          </cell>
          <cell r="C77">
            <v>133200.00000000003</v>
          </cell>
        </row>
        <row r="78">
          <cell r="A78">
            <v>145006</v>
          </cell>
          <cell r="B78" t="str">
            <v>MEDIKA FARMA S</v>
          </cell>
          <cell r="C78">
            <v>953160.68181818165</v>
          </cell>
        </row>
        <row r="79">
          <cell r="A79">
            <v>214984</v>
          </cell>
          <cell r="B79" t="str">
            <v>ANJ WENI</v>
          </cell>
          <cell r="C79">
            <v>57500</v>
          </cell>
        </row>
        <row r="80">
          <cell r="A80">
            <v>1100262</v>
          </cell>
          <cell r="B80" t="str">
            <v>MARULI FARMA</v>
          </cell>
          <cell r="C80">
            <v>2968913.3636363642</v>
          </cell>
        </row>
        <row r="81">
          <cell r="A81">
            <v>1102256</v>
          </cell>
          <cell r="B81" t="str">
            <v>RAYYA KOSMETIK</v>
          </cell>
          <cell r="C81">
            <v>7321496.8636363642</v>
          </cell>
        </row>
        <row r="82">
          <cell r="A82">
            <v>1102257</v>
          </cell>
          <cell r="B82" t="str">
            <v>TOS. TUJUH WARNA</v>
          </cell>
          <cell r="C82">
            <v>6052026.4090909082</v>
          </cell>
        </row>
        <row r="83">
          <cell r="A83">
            <v>1102276</v>
          </cell>
          <cell r="B83" t="str">
            <v>PN BABY SHOP</v>
          </cell>
          <cell r="C83">
            <v>10920801.136363637</v>
          </cell>
        </row>
        <row r="84">
          <cell r="A84">
            <v>1102301</v>
          </cell>
          <cell r="B84" t="str">
            <v>TO. SAUDARA</v>
          </cell>
          <cell r="C84">
            <v>1848862.0909090911</v>
          </cell>
        </row>
        <row r="85">
          <cell r="A85">
            <v>1102309</v>
          </cell>
          <cell r="B85" t="str">
            <v>Apotek Bersama</v>
          </cell>
          <cell r="C85">
            <v>270082.72727272724</v>
          </cell>
        </row>
        <row r="86">
          <cell r="A86">
            <v>1102315</v>
          </cell>
          <cell r="B86" t="str">
            <v>APT. AYUNDA</v>
          </cell>
          <cell r="C86">
            <v>354947.72727272729</v>
          </cell>
        </row>
        <row r="87">
          <cell r="A87">
            <v>1102414</v>
          </cell>
          <cell r="B87" t="str">
            <v>BEST COSMETIC</v>
          </cell>
          <cell r="C87">
            <v>25073438.18181818</v>
          </cell>
        </row>
        <row r="88">
          <cell r="A88">
            <v>1102418</v>
          </cell>
          <cell r="B88" t="str">
            <v>DUTA SWALAYAN</v>
          </cell>
          <cell r="C88">
            <v>647987.72727272729</v>
          </cell>
        </row>
        <row r="89">
          <cell r="A89">
            <v>1102441</v>
          </cell>
          <cell r="B89" t="str">
            <v>89 MART</v>
          </cell>
          <cell r="C89">
            <v>229964.31818181818</v>
          </cell>
        </row>
        <row r="90">
          <cell r="A90">
            <v>1110024</v>
          </cell>
          <cell r="B90" t="str">
            <v>PT. HAWAI RITAILINDO</v>
          </cell>
          <cell r="C90">
            <v>15220156.272727277</v>
          </cell>
        </row>
        <row r="91">
          <cell r="A91">
            <v>1110032</v>
          </cell>
          <cell r="B91" t="str">
            <v>PT. METRO ABADI SEMPURNA SEMESTA</v>
          </cell>
          <cell r="C91">
            <v>1935824.7727272729</v>
          </cell>
        </row>
        <row r="92">
          <cell r="A92">
            <v>1110036</v>
          </cell>
          <cell r="B92" t="str">
            <v>PT. PASAR BUAH 88</v>
          </cell>
          <cell r="C92">
            <v>4777853.3181818193</v>
          </cell>
        </row>
        <row r="93">
          <cell r="A93">
            <v>1110042</v>
          </cell>
          <cell r="B93" t="str">
            <v>PT. DINAMIKA BUAH NUSANTARA</v>
          </cell>
          <cell r="C93">
            <v>17287428.13636364</v>
          </cell>
        </row>
        <row r="94">
          <cell r="A94">
            <v>1120013</v>
          </cell>
          <cell r="B94" t="str">
            <v>CV. CENDANA NIAGA PERSADA</v>
          </cell>
          <cell r="C94">
            <v>536962.5</v>
          </cell>
        </row>
        <row r="95">
          <cell r="A95">
            <v>1120017</v>
          </cell>
          <cell r="B95" t="str">
            <v>CV. ERINA LESTARI</v>
          </cell>
          <cell r="C95">
            <v>585171.81818181812</v>
          </cell>
        </row>
        <row r="96">
          <cell r="A96">
            <v>1120030</v>
          </cell>
          <cell r="B96" t="str">
            <v>BUYUNG FAMILY</v>
          </cell>
          <cell r="C96">
            <v>225368.18181818182</v>
          </cell>
        </row>
        <row r="97">
          <cell r="A97">
            <v>1120032</v>
          </cell>
          <cell r="B97" t="str">
            <v>CV. CENDANA NIAGA PERSADA</v>
          </cell>
          <cell r="C97">
            <v>474582.27272727271</v>
          </cell>
        </row>
        <row r="98">
          <cell r="A98">
            <v>1120039</v>
          </cell>
          <cell r="B98" t="str">
            <v>PT. DAILY SUKSES SEJAHTERA</v>
          </cell>
          <cell r="C98">
            <v>920304.54545454553</v>
          </cell>
        </row>
        <row r="99">
          <cell r="A99">
            <v>1120052</v>
          </cell>
          <cell r="B99" t="str">
            <v>FRESH MART</v>
          </cell>
          <cell r="C99">
            <v>483954.54545454547</v>
          </cell>
        </row>
        <row r="100">
          <cell r="A100">
            <v>1120053</v>
          </cell>
          <cell r="B100" t="str">
            <v>GALAXY SWLYN</v>
          </cell>
          <cell r="C100">
            <v>2607328.6363636362</v>
          </cell>
        </row>
        <row r="101">
          <cell r="A101">
            <v>1120056</v>
          </cell>
          <cell r="B101" t="str">
            <v>Golden Mart</v>
          </cell>
          <cell r="C101">
            <v>912448.63636363647</v>
          </cell>
        </row>
        <row r="102">
          <cell r="A102">
            <v>1120062</v>
          </cell>
          <cell r="B102" t="str">
            <v>CV. TIGA M SUKSES ABADI</v>
          </cell>
          <cell r="C102">
            <v>777783.86363636365</v>
          </cell>
        </row>
        <row r="103">
          <cell r="A103">
            <v>1120064</v>
          </cell>
          <cell r="B103" t="str">
            <v>PLANET MART</v>
          </cell>
          <cell r="C103">
            <v>955756.36363636365</v>
          </cell>
        </row>
        <row r="104">
          <cell r="A104">
            <v>1120068</v>
          </cell>
          <cell r="B104" t="str">
            <v>CV. ERINA LESTARI</v>
          </cell>
          <cell r="C104">
            <v>337802.72727272729</v>
          </cell>
        </row>
        <row r="105">
          <cell r="A105">
            <v>1120069</v>
          </cell>
          <cell r="B105" t="str">
            <v>CV. ERINA LESTARI</v>
          </cell>
          <cell r="C105">
            <v>171317.04545454547</v>
          </cell>
        </row>
        <row r="106">
          <cell r="A106">
            <v>1120074</v>
          </cell>
          <cell r="B106" t="str">
            <v>JUMBO MART</v>
          </cell>
          <cell r="C106">
            <v>2506389.9545454551</v>
          </cell>
        </row>
        <row r="107">
          <cell r="A107">
            <v>1120075</v>
          </cell>
          <cell r="B107" t="str">
            <v>CV. TIGA M SUKSES ABADI</v>
          </cell>
          <cell r="C107">
            <v>555895.22727272729</v>
          </cell>
        </row>
        <row r="108">
          <cell r="A108">
            <v>1120085</v>
          </cell>
          <cell r="B108" t="str">
            <v>MARINA</v>
          </cell>
          <cell r="C108">
            <v>-38143.636363636368</v>
          </cell>
        </row>
        <row r="109">
          <cell r="A109">
            <v>1120119</v>
          </cell>
          <cell r="B109" t="str">
            <v>MULIA MART</v>
          </cell>
          <cell r="C109">
            <v>1904896.3636363642</v>
          </cell>
        </row>
        <row r="110">
          <cell r="A110">
            <v>1120133</v>
          </cell>
          <cell r="B110" t="str">
            <v>MULIA MART</v>
          </cell>
          <cell r="C110">
            <v>1947180.2727272734</v>
          </cell>
        </row>
        <row r="111">
          <cell r="A111">
            <v>1120165</v>
          </cell>
          <cell r="B111" t="str">
            <v>MM. TIARA</v>
          </cell>
          <cell r="C111">
            <v>172100.45454545456</v>
          </cell>
        </row>
        <row r="112">
          <cell r="A112">
            <v>1120179</v>
          </cell>
          <cell r="B112" t="str">
            <v>AMI SWALAYAN</v>
          </cell>
          <cell r="C112">
            <v>-95359.090909090912</v>
          </cell>
        </row>
        <row r="113">
          <cell r="A113">
            <v>1120189</v>
          </cell>
          <cell r="B113" t="str">
            <v>CV. ERINA LESTARI</v>
          </cell>
          <cell r="C113">
            <v>172892.04545454547</v>
          </cell>
        </row>
        <row r="114">
          <cell r="A114">
            <v>1120248</v>
          </cell>
          <cell r="B114" t="str">
            <v>CV. TIGA M SUKSES ABADI</v>
          </cell>
          <cell r="C114">
            <v>1161348.6363636362</v>
          </cell>
        </row>
        <row r="115">
          <cell r="A115">
            <v>1120254</v>
          </cell>
          <cell r="B115" t="str">
            <v>CV. TIGA M SUKSES ABADI</v>
          </cell>
          <cell r="C115">
            <v>1486630.3636363633</v>
          </cell>
        </row>
        <row r="116">
          <cell r="A116">
            <v>1127603</v>
          </cell>
          <cell r="B116" t="str">
            <v>PLAZA MINI ARAFA MART 2</v>
          </cell>
          <cell r="C116">
            <v>2237083.1818181816</v>
          </cell>
        </row>
        <row r="117">
          <cell r="A117">
            <v>1127698</v>
          </cell>
          <cell r="B117" t="str">
            <v>ANGKASA MART 7</v>
          </cell>
          <cell r="C117">
            <v>177038.59090909091</v>
          </cell>
        </row>
        <row r="118">
          <cell r="A118">
            <v>1130011</v>
          </cell>
          <cell r="B118" t="str">
            <v>APOTEK PERKASA</v>
          </cell>
          <cell r="C118">
            <v>207170903</v>
          </cell>
        </row>
        <row r="119">
          <cell r="A119">
            <v>1130012</v>
          </cell>
          <cell r="B119" t="str">
            <v>MILLION JAYA</v>
          </cell>
          <cell r="C119">
            <v>1284865.2727272729</v>
          </cell>
        </row>
        <row r="120">
          <cell r="A120">
            <v>1130097</v>
          </cell>
          <cell r="B120" t="str">
            <v>APT. KASIH IBU</v>
          </cell>
          <cell r="C120">
            <v>2781306.8181818184</v>
          </cell>
        </row>
        <row r="121">
          <cell r="A121">
            <v>1130146</v>
          </cell>
          <cell r="B121" t="str">
            <v>SUHERI</v>
          </cell>
          <cell r="C121">
            <v>858011.31818181812</v>
          </cell>
        </row>
        <row r="122">
          <cell r="A122">
            <v>1135156</v>
          </cell>
          <cell r="B122" t="str">
            <v>ANGKASA MART 6</v>
          </cell>
          <cell r="C122">
            <v>423861.13636363641</v>
          </cell>
        </row>
        <row r="123">
          <cell r="A123">
            <v>1137573</v>
          </cell>
          <cell r="B123" t="str">
            <v>UD. GLOBAL MANDIRI PKU</v>
          </cell>
          <cell r="C123">
            <v>177473.86363636365</v>
          </cell>
        </row>
        <row r="124">
          <cell r="A124">
            <v>1140425</v>
          </cell>
          <cell r="B124" t="str">
            <v>HASANAH</v>
          </cell>
          <cell r="C124">
            <v>1069902.2727272727</v>
          </cell>
        </row>
        <row r="125">
          <cell r="A125">
            <v>1140439</v>
          </cell>
          <cell r="B125" t="str">
            <v>BERKAH JAYA</v>
          </cell>
          <cell r="C125">
            <v>-196000</v>
          </cell>
        </row>
        <row r="126">
          <cell r="A126">
            <v>1140528</v>
          </cell>
          <cell r="B126" t="str">
            <v>CASH</v>
          </cell>
          <cell r="C126">
            <v>179586.36363636365</v>
          </cell>
        </row>
        <row r="127">
          <cell r="A127">
            <v>1140797</v>
          </cell>
          <cell r="B127" t="str">
            <v>GLORIS</v>
          </cell>
          <cell r="C127">
            <v>-140000</v>
          </cell>
        </row>
        <row r="128">
          <cell r="A128">
            <v>1141339</v>
          </cell>
          <cell r="B128" t="str">
            <v>ANGKASA MART</v>
          </cell>
          <cell r="C128">
            <v>162245.04545454547</v>
          </cell>
        </row>
        <row r="129">
          <cell r="A129">
            <v>1141405</v>
          </cell>
          <cell r="B129" t="str">
            <v>RIDHO FARMA</v>
          </cell>
          <cell r="C129">
            <v>712014.54545454541</v>
          </cell>
        </row>
        <row r="130">
          <cell r="A130">
            <v>1141543</v>
          </cell>
          <cell r="B130" t="str">
            <v>TK. SEMANGAT BARU</v>
          </cell>
          <cell r="C130">
            <v>635727.27272727259</v>
          </cell>
        </row>
        <row r="131">
          <cell r="A131">
            <v>1141736</v>
          </cell>
          <cell r="B131" t="str">
            <v>RANGGON JAYA</v>
          </cell>
          <cell r="C131">
            <v>262266.13636363635</v>
          </cell>
        </row>
        <row r="132">
          <cell r="A132">
            <v>1142577</v>
          </cell>
          <cell r="B132" t="str">
            <v>TOKO DIKI</v>
          </cell>
          <cell r="C132">
            <v>317868</v>
          </cell>
        </row>
        <row r="133">
          <cell r="A133">
            <v>1142609</v>
          </cell>
          <cell r="B133" t="str">
            <v>777 SWALAYAN</v>
          </cell>
          <cell r="C133">
            <v>398522.72727272729</v>
          </cell>
        </row>
        <row r="134">
          <cell r="A134">
            <v>1142611</v>
          </cell>
          <cell r="B134" t="str">
            <v>JASO BUNDO</v>
          </cell>
          <cell r="C134">
            <v>2896634.1818181816</v>
          </cell>
        </row>
        <row r="135">
          <cell r="A135">
            <v>1142625</v>
          </cell>
          <cell r="B135" t="str">
            <v>TO. RIMBUN INDAH</v>
          </cell>
          <cell r="C135">
            <v>3616520.0454545454</v>
          </cell>
        </row>
        <row r="136">
          <cell r="A136">
            <v>1143154</v>
          </cell>
          <cell r="B136" t="str">
            <v>CV. SEMBILAN SEMBILAN</v>
          </cell>
          <cell r="C136">
            <v>15210302.13636364</v>
          </cell>
        </row>
        <row r="137">
          <cell r="A137">
            <v>1143166</v>
          </cell>
          <cell r="B137" t="str">
            <v>AR RAFA MART</v>
          </cell>
          <cell r="C137">
            <v>5702668.6363636386</v>
          </cell>
        </row>
        <row r="138">
          <cell r="A138">
            <v>1143242</v>
          </cell>
          <cell r="B138" t="str">
            <v>MASRAN</v>
          </cell>
          <cell r="C138">
            <v>1609947.2272727271</v>
          </cell>
        </row>
        <row r="139">
          <cell r="A139">
            <v>1144016</v>
          </cell>
          <cell r="B139" t="str">
            <v>ARUNA JAYA</v>
          </cell>
          <cell r="C139">
            <v>826741.36363636341</v>
          </cell>
        </row>
        <row r="140">
          <cell r="A140">
            <v>1144077</v>
          </cell>
          <cell r="B140" t="str">
            <v>TO. MODIS</v>
          </cell>
          <cell r="C140">
            <v>48874208.18181818</v>
          </cell>
        </row>
        <row r="141">
          <cell r="A141">
            <v>1144734</v>
          </cell>
          <cell r="B141" t="str">
            <v>APT. ZAIDAH FARMA</v>
          </cell>
          <cell r="C141">
            <v>792182.77272727271</v>
          </cell>
        </row>
        <row r="142">
          <cell r="A142">
            <v>1144863</v>
          </cell>
          <cell r="B142" t="str">
            <v>IZZAN FARMA</v>
          </cell>
          <cell r="C142">
            <v>-201436.36363636365</v>
          </cell>
        </row>
        <row r="143">
          <cell r="A143">
            <v>1146375</v>
          </cell>
          <cell r="B143" t="str">
            <v>APT. SAHABAT SEHAT</v>
          </cell>
          <cell r="C143">
            <v>592390.90909090906</v>
          </cell>
        </row>
        <row r="144">
          <cell r="A144">
            <v>1146404</v>
          </cell>
          <cell r="B144" t="str">
            <v>APT. RAQILA</v>
          </cell>
          <cell r="C144">
            <v>535575</v>
          </cell>
        </row>
        <row r="145">
          <cell r="A145">
            <v>1146422</v>
          </cell>
          <cell r="B145" t="str">
            <v>APT. SAUDARA JAYA</v>
          </cell>
          <cell r="C145">
            <v>1309061.1818181816</v>
          </cell>
        </row>
        <row r="146">
          <cell r="A146">
            <v>1146516</v>
          </cell>
          <cell r="B146" t="str">
            <v>ZANAFA MART</v>
          </cell>
          <cell r="C146">
            <v>151200</v>
          </cell>
        </row>
        <row r="147">
          <cell r="A147">
            <v>1146554</v>
          </cell>
          <cell r="B147" t="str">
            <v>MUSLIM MADANI 1</v>
          </cell>
          <cell r="C147">
            <v>199067.5</v>
          </cell>
        </row>
        <row r="148">
          <cell r="A148">
            <v>1147100</v>
          </cell>
          <cell r="B148" t="str">
            <v>TK. HAURA</v>
          </cell>
          <cell r="C148">
            <v>394302.27272727271</v>
          </cell>
        </row>
        <row r="149">
          <cell r="A149">
            <v>1148884</v>
          </cell>
          <cell r="B149" t="str">
            <v>PANAM MART</v>
          </cell>
          <cell r="C149">
            <v>670768.63636363635</v>
          </cell>
        </row>
        <row r="150">
          <cell r="A150">
            <v>1150002</v>
          </cell>
          <cell r="B150" t="str">
            <v>KARIMAH</v>
          </cell>
          <cell r="C150">
            <v>-146015.45454545456</v>
          </cell>
        </row>
        <row r="151">
          <cell r="A151">
            <v>1150013</v>
          </cell>
          <cell r="B151" t="str">
            <v>AKAR SARI</v>
          </cell>
          <cell r="C151">
            <v>121839382.18181819</v>
          </cell>
        </row>
        <row r="152">
          <cell r="A152">
            <v>1150016</v>
          </cell>
          <cell r="B152" t="str">
            <v>APT. ANDALAN</v>
          </cell>
          <cell r="C152">
            <v>-111000</v>
          </cell>
        </row>
        <row r="153">
          <cell r="A153">
            <v>1150017</v>
          </cell>
          <cell r="B153" t="str">
            <v>ANUGERAH COS</v>
          </cell>
          <cell r="C153">
            <v>25389150.272727273</v>
          </cell>
        </row>
        <row r="154">
          <cell r="A154">
            <v>1150025</v>
          </cell>
          <cell r="B154" t="str">
            <v>APT. ALFA</v>
          </cell>
          <cell r="C154">
            <v>185420.45454545453</v>
          </cell>
        </row>
        <row r="155">
          <cell r="A155">
            <v>1150026</v>
          </cell>
          <cell r="B155" t="str">
            <v>APT. ALITA</v>
          </cell>
          <cell r="C155">
            <v>735627.99999999988</v>
          </cell>
        </row>
        <row r="156">
          <cell r="A156">
            <v>1150033</v>
          </cell>
          <cell r="B156" t="str">
            <v>APT. AULIA</v>
          </cell>
          <cell r="C156">
            <v>207897.95454545459</v>
          </cell>
        </row>
        <row r="157">
          <cell r="A157">
            <v>1150036</v>
          </cell>
          <cell r="B157" t="str">
            <v>APT. AZIMA FARMA</v>
          </cell>
          <cell r="C157">
            <v>874460.45454545435</v>
          </cell>
        </row>
        <row r="158">
          <cell r="A158">
            <v>1150046</v>
          </cell>
          <cell r="B158" t="str">
            <v>APT. CENDANA FARMA</v>
          </cell>
          <cell r="C158">
            <v>222000.00000000003</v>
          </cell>
        </row>
        <row r="159">
          <cell r="A159">
            <v>1150053</v>
          </cell>
          <cell r="B159" t="str">
            <v>APT. FARMASIA</v>
          </cell>
          <cell r="C159">
            <v>1193503.7272727275</v>
          </cell>
        </row>
        <row r="160">
          <cell r="A160">
            <v>1150056</v>
          </cell>
          <cell r="B160" t="str">
            <v>APT. GEMILANG</v>
          </cell>
          <cell r="C160">
            <v>609433.63636363635</v>
          </cell>
        </row>
        <row r="161">
          <cell r="A161">
            <v>1150078</v>
          </cell>
          <cell r="B161" t="str">
            <v>APT. SAHABAT PLUS</v>
          </cell>
          <cell r="C161">
            <v>-134003.86363636365</v>
          </cell>
        </row>
        <row r="162">
          <cell r="A162">
            <v>1150097</v>
          </cell>
          <cell r="B162" t="str">
            <v>DERY FARMA</v>
          </cell>
          <cell r="C162">
            <v>1597340.4545454546</v>
          </cell>
        </row>
        <row r="163">
          <cell r="A163">
            <v>1150098</v>
          </cell>
          <cell r="B163" t="str">
            <v>DIAN FARMA</v>
          </cell>
          <cell r="C163">
            <v>217206.81818181818</v>
          </cell>
        </row>
        <row r="164">
          <cell r="A164">
            <v>1150104</v>
          </cell>
          <cell r="B164" t="str">
            <v>KAMPAR MEDIKA</v>
          </cell>
          <cell r="C164">
            <v>20787.272727272721</v>
          </cell>
        </row>
        <row r="165">
          <cell r="A165">
            <v>1150112</v>
          </cell>
          <cell r="B165" t="str">
            <v>CENTRAL COSMETIC</v>
          </cell>
          <cell r="C165">
            <v>3246799.7727272739</v>
          </cell>
        </row>
        <row r="166">
          <cell r="A166">
            <v>1150119</v>
          </cell>
          <cell r="B166" t="str">
            <v>ROMAN FARMA</v>
          </cell>
          <cell r="C166">
            <v>168954.54545454544</v>
          </cell>
        </row>
        <row r="167">
          <cell r="A167">
            <v>1150137</v>
          </cell>
          <cell r="B167" t="str">
            <v>TO. ANDRE KOSMETIK</v>
          </cell>
          <cell r="C167">
            <v>909443.18181818165</v>
          </cell>
        </row>
        <row r="168">
          <cell r="A168">
            <v>1150145</v>
          </cell>
          <cell r="B168" t="str">
            <v>TO. DAFA</v>
          </cell>
          <cell r="C168">
            <v>-153180</v>
          </cell>
        </row>
        <row r="169">
          <cell r="A169">
            <v>1150150</v>
          </cell>
          <cell r="B169" t="str">
            <v>TO. ENERGI</v>
          </cell>
          <cell r="C169">
            <v>2808846.2727272743</v>
          </cell>
        </row>
        <row r="170">
          <cell r="A170">
            <v>1150152</v>
          </cell>
          <cell r="B170" t="str">
            <v>TO. FACHRI</v>
          </cell>
          <cell r="C170">
            <v>302886.81818181818</v>
          </cell>
        </row>
        <row r="171">
          <cell r="A171">
            <v>1150181</v>
          </cell>
          <cell r="B171" t="str">
            <v>TO. TIARA</v>
          </cell>
          <cell r="C171">
            <v>249699.54545454547</v>
          </cell>
        </row>
        <row r="172">
          <cell r="A172">
            <v>1150183</v>
          </cell>
          <cell r="B172" t="str">
            <v>TO. WAHYU 99</v>
          </cell>
          <cell r="C172">
            <v>505705.909090909</v>
          </cell>
        </row>
        <row r="173">
          <cell r="A173">
            <v>1150194</v>
          </cell>
          <cell r="B173" t="str">
            <v>TO. YOSSY</v>
          </cell>
          <cell r="C173">
            <v>49950.000000000015</v>
          </cell>
        </row>
        <row r="174">
          <cell r="A174">
            <v>1150270</v>
          </cell>
          <cell r="B174" t="str">
            <v>MUSLIM SUKSES</v>
          </cell>
          <cell r="C174">
            <v>-237538.81818181821</v>
          </cell>
        </row>
        <row r="175">
          <cell r="A175">
            <v>1150278</v>
          </cell>
          <cell r="B175" t="str">
            <v>TO. SMJ</v>
          </cell>
          <cell r="C175">
            <v>650207.72727272718</v>
          </cell>
        </row>
        <row r="176">
          <cell r="A176">
            <v>1150302</v>
          </cell>
          <cell r="B176" t="str">
            <v>APT. GARUDA JAYA</v>
          </cell>
          <cell r="C176">
            <v>-169851.81818181818</v>
          </cell>
        </row>
        <row r="177">
          <cell r="A177">
            <v>1150309</v>
          </cell>
          <cell r="B177" t="str">
            <v>BENING KOSMETIK</v>
          </cell>
          <cell r="C177">
            <v>-458003.18181818182</v>
          </cell>
        </row>
        <row r="178">
          <cell r="A178">
            <v>1150330</v>
          </cell>
          <cell r="B178" t="str">
            <v>APT. BERKAH</v>
          </cell>
          <cell r="C178">
            <v>7950328.0909090927</v>
          </cell>
        </row>
        <row r="179">
          <cell r="A179">
            <v>1150333</v>
          </cell>
          <cell r="B179" t="str">
            <v>TO. LAMTAMA</v>
          </cell>
          <cell r="C179">
            <v>2764382.7272727271</v>
          </cell>
        </row>
        <row r="180">
          <cell r="A180">
            <v>1150335</v>
          </cell>
          <cell r="B180" t="str">
            <v>YAKIN SIKO</v>
          </cell>
          <cell r="C180">
            <v>1432390.9090909089</v>
          </cell>
        </row>
        <row r="181">
          <cell r="A181">
            <v>1150344</v>
          </cell>
          <cell r="B181" t="str">
            <v>APT. ANGGI</v>
          </cell>
          <cell r="C181">
            <v>133200.00000000003</v>
          </cell>
        </row>
        <row r="182">
          <cell r="A182">
            <v>1150351</v>
          </cell>
          <cell r="B182" t="str">
            <v>WIDYA FARMA</v>
          </cell>
          <cell r="C182">
            <v>1320899.9999999998</v>
          </cell>
        </row>
        <row r="183">
          <cell r="A183">
            <v>1150375</v>
          </cell>
          <cell r="B183" t="str">
            <v>TO. ALIF HAN</v>
          </cell>
          <cell r="C183">
            <v>555431.81818181823</v>
          </cell>
        </row>
        <row r="184">
          <cell r="A184">
            <v>1150441</v>
          </cell>
          <cell r="B184" t="str">
            <v>INNER BEAUTY</v>
          </cell>
          <cell r="C184">
            <v>808541.63636363624</v>
          </cell>
        </row>
        <row r="185">
          <cell r="A185">
            <v>1150488</v>
          </cell>
          <cell r="B185" t="str">
            <v>APT. MAMA</v>
          </cell>
          <cell r="C185">
            <v>635308.68181818177</v>
          </cell>
        </row>
        <row r="186">
          <cell r="A186">
            <v>1150493</v>
          </cell>
          <cell r="B186" t="str">
            <v>NANDA FARMA</v>
          </cell>
          <cell r="C186">
            <v>6735453.2272727285</v>
          </cell>
        </row>
        <row r="187">
          <cell r="A187">
            <v>1150494</v>
          </cell>
          <cell r="B187" t="str">
            <v>BUNDA BASAMO 2</v>
          </cell>
          <cell r="C187">
            <v>211909.09090909088</v>
          </cell>
        </row>
        <row r="188">
          <cell r="A188">
            <v>1150712</v>
          </cell>
          <cell r="B188" t="str">
            <v>APT. BUNDA FARMA</v>
          </cell>
          <cell r="C188">
            <v>348923.45454545453</v>
          </cell>
        </row>
        <row r="189">
          <cell r="A189">
            <v>1157391</v>
          </cell>
          <cell r="B189" t="str">
            <v>RAJA FARMA</v>
          </cell>
          <cell r="C189">
            <v>538641.81818181812</v>
          </cell>
        </row>
        <row r="190">
          <cell r="A190">
            <v>1160008</v>
          </cell>
          <cell r="B190" t="str">
            <v>FURAYA HOTEL</v>
          </cell>
          <cell r="C190">
            <v>580101.13636363624</v>
          </cell>
        </row>
        <row r="191">
          <cell r="A191">
            <v>1160214</v>
          </cell>
          <cell r="B191" t="str">
            <v>ANGKASA MART 2</v>
          </cell>
          <cell r="C191">
            <v>2278584.5454545459</v>
          </cell>
        </row>
        <row r="192">
          <cell r="A192">
            <v>1220008</v>
          </cell>
          <cell r="B192" t="str">
            <v>AMSAR</v>
          </cell>
          <cell r="C192">
            <v>315593.18181818188</v>
          </cell>
        </row>
        <row r="193">
          <cell r="A193">
            <v>1220014</v>
          </cell>
          <cell r="B193" t="str">
            <v>MALAYA</v>
          </cell>
          <cell r="C193">
            <v>340200</v>
          </cell>
        </row>
        <row r="194">
          <cell r="A194">
            <v>1224024</v>
          </cell>
          <cell r="B194" t="str">
            <v>ISTANA COSMETIK</v>
          </cell>
          <cell r="C194">
            <v>381784233.81818205</v>
          </cell>
        </row>
        <row r="195">
          <cell r="A195">
            <v>1224026</v>
          </cell>
          <cell r="B195" t="str">
            <v>SERBA MURAH</v>
          </cell>
          <cell r="C195">
            <v>796234.09090909082</v>
          </cell>
        </row>
        <row r="196">
          <cell r="A196">
            <v>1240091</v>
          </cell>
          <cell r="B196" t="str">
            <v>ACHIKA JAYA</v>
          </cell>
          <cell r="C196">
            <v>543838.63636363635</v>
          </cell>
        </row>
        <row r="197">
          <cell r="A197">
            <v>1240116</v>
          </cell>
          <cell r="B197" t="str">
            <v>NISA</v>
          </cell>
          <cell r="C197">
            <v>25212456.818181816</v>
          </cell>
        </row>
        <row r="198">
          <cell r="A198">
            <v>1240133</v>
          </cell>
          <cell r="B198" t="str">
            <v>MM. SHIVA</v>
          </cell>
          <cell r="C198">
            <v>984317.09090909082</v>
          </cell>
        </row>
        <row r="199">
          <cell r="A199">
            <v>1241415</v>
          </cell>
          <cell r="B199" t="str">
            <v>HASBI SWL</v>
          </cell>
          <cell r="C199">
            <v>1351132.6363636362</v>
          </cell>
        </row>
        <row r="200">
          <cell r="A200">
            <v>1243276</v>
          </cell>
          <cell r="B200" t="str">
            <v>APT. KHANZA</v>
          </cell>
          <cell r="C200">
            <v>2472087.2727272725</v>
          </cell>
        </row>
        <row r="201">
          <cell r="A201">
            <v>1245232</v>
          </cell>
          <cell r="B201" t="str">
            <v>MITRA MART</v>
          </cell>
          <cell r="C201">
            <v>423818.18181818177</v>
          </cell>
        </row>
        <row r="202">
          <cell r="A202">
            <v>1265760</v>
          </cell>
          <cell r="B202" t="str">
            <v>APT. LABORA</v>
          </cell>
          <cell r="C202">
            <v>6959079.8181818202</v>
          </cell>
        </row>
        <row r="203">
          <cell r="A203">
            <v>1310011</v>
          </cell>
          <cell r="B203" t="str">
            <v>PT. BANGUN SEJAHTERA BERSAMA</v>
          </cell>
          <cell r="C203">
            <v>961445.86363636376</v>
          </cell>
        </row>
        <row r="204">
          <cell r="A204">
            <v>1310020</v>
          </cell>
          <cell r="B204" t="str">
            <v>AMIN BAROKAH</v>
          </cell>
          <cell r="C204">
            <v>105954.54545454544</v>
          </cell>
        </row>
        <row r="205">
          <cell r="A205">
            <v>1310022</v>
          </cell>
          <cell r="B205" t="str">
            <v>ANDA MART</v>
          </cell>
          <cell r="C205">
            <v>423818.18181818171</v>
          </cell>
        </row>
        <row r="206">
          <cell r="A206">
            <v>1320003</v>
          </cell>
          <cell r="B206" t="str">
            <v>BAZ MART</v>
          </cell>
          <cell r="C206">
            <v>330166.36363636365</v>
          </cell>
        </row>
        <row r="207">
          <cell r="A207">
            <v>1330017</v>
          </cell>
          <cell r="B207" t="str">
            <v>JAYA ABADI</v>
          </cell>
          <cell r="C207">
            <v>393265.90909090912</v>
          </cell>
        </row>
        <row r="208">
          <cell r="A208">
            <v>1340206</v>
          </cell>
          <cell r="B208" t="str">
            <v>LON JAYA</v>
          </cell>
          <cell r="C208">
            <v>859731.63636363624</v>
          </cell>
        </row>
        <row r="209">
          <cell r="A209">
            <v>1402576</v>
          </cell>
          <cell r="B209" t="str">
            <v>APT. JAMI</v>
          </cell>
          <cell r="C209">
            <v>226800</v>
          </cell>
        </row>
        <row r="210">
          <cell r="A210">
            <v>1420003</v>
          </cell>
          <cell r="B210" t="str">
            <v>BEDEPE SWALAYAN</v>
          </cell>
          <cell r="C210">
            <v>322101.81818181818</v>
          </cell>
        </row>
        <row r="211">
          <cell r="A211">
            <v>1420006</v>
          </cell>
          <cell r="B211" t="str">
            <v>HAPPY MART</v>
          </cell>
          <cell r="C211">
            <v>2109810.0454545449</v>
          </cell>
        </row>
        <row r="212">
          <cell r="A212">
            <v>1420007</v>
          </cell>
          <cell r="B212" t="str">
            <v>GEBYAR SWALAYAN</v>
          </cell>
          <cell r="C212">
            <v>317863.63636363635</v>
          </cell>
        </row>
        <row r="213">
          <cell r="A213">
            <v>1420020</v>
          </cell>
          <cell r="B213" t="str">
            <v>FARIZ MART</v>
          </cell>
          <cell r="C213">
            <v>272331.81818181818</v>
          </cell>
        </row>
        <row r="214">
          <cell r="A214">
            <v>1420036</v>
          </cell>
          <cell r="B214" t="str">
            <v>LATIFA SWL II</v>
          </cell>
          <cell r="C214">
            <v>1104361.3636363635</v>
          </cell>
        </row>
        <row r="215">
          <cell r="A215">
            <v>1420053</v>
          </cell>
          <cell r="B215" t="str">
            <v>BUNDA SWALAYAN</v>
          </cell>
          <cell r="C215">
            <v>105954.54545454544</v>
          </cell>
        </row>
        <row r="216">
          <cell r="A216">
            <v>1430067</v>
          </cell>
          <cell r="B216" t="str">
            <v>ANGKASA MART 5</v>
          </cell>
          <cell r="C216">
            <v>188284.09090909091</v>
          </cell>
        </row>
        <row r="217">
          <cell r="A217">
            <v>1430091</v>
          </cell>
          <cell r="B217" t="str">
            <v>TO. MUTIARA GUNUNG FARMA</v>
          </cell>
          <cell r="C217">
            <v>205084.09090909091</v>
          </cell>
        </row>
        <row r="218">
          <cell r="A218">
            <v>1430097</v>
          </cell>
          <cell r="B218" t="str">
            <v>TO. GHIFARY</v>
          </cell>
          <cell r="C218">
            <v>685223.18181818177</v>
          </cell>
        </row>
        <row r="219">
          <cell r="A219">
            <v>1430146</v>
          </cell>
          <cell r="B219" t="str">
            <v>RESTU FARMA</v>
          </cell>
          <cell r="C219">
            <v>208415.45454545456</v>
          </cell>
        </row>
        <row r="220">
          <cell r="A220">
            <v>1430183</v>
          </cell>
          <cell r="B220" t="str">
            <v>RJ MART</v>
          </cell>
          <cell r="C220">
            <v>1607885.1818181816</v>
          </cell>
        </row>
        <row r="221">
          <cell r="A221">
            <v>1431561</v>
          </cell>
          <cell r="B221" t="str">
            <v>APT. AMINA FARMA</v>
          </cell>
          <cell r="C221">
            <v>1172679.0909090908</v>
          </cell>
        </row>
        <row r="222">
          <cell r="A222">
            <v>1431570</v>
          </cell>
          <cell r="B222" t="str">
            <v>NALAKU SWALAYAN</v>
          </cell>
          <cell r="C222">
            <v>732390.90909090906</v>
          </cell>
        </row>
        <row r="223">
          <cell r="A223">
            <v>1431571</v>
          </cell>
          <cell r="B223" t="str">
            <v>INDRAGIRI MART</v>
          </cell>
          <cell r="C223">
            <v>56342.045454545456</v>
          </cell>
        </row>
        <row r="224">
          <cell r="A224">
            <v>1431583</v>
          </cell>
          <cell r="B224" t="str">
            <v>BUNGA RAYA SWALAYAN</v>
          </cell>
          <cell r="C224">
            <v>258392.04545454553</v>
          </cell>
        </row>
        <row r="225">
          <cell r="A225">
            <v>1431587</v>
          </cell>
          <cell r="B225" t="str">
            <v>TOKO NADIRA</v>
          </cell>
          <cell r="C225">
            <v>258175.00000000006</v>
          </cell>
        </row>
        <row r="226">
          <cell r="A226">
            <v>1431599</v>
          </cell>
          <cell r="B226" t="str">
            <v>CV. JAYA ABADI</v>
          </cell>
          <cell r="C226">
            <v>294262530.90909106</v>
          </cell>
        </row>
        <row r="227">
          <cell r="A227">
            <v>1431621</v>
          </cell>
          <cell r="B227" t="str">
            <v>PT. HAWAI RITAILINDO</v>
          </cell>
          <cell r="C227">
            <v>13061010.409090906</v>
          </cell>
        </row>
        <row r="228">
          <cell r="A228">
            <v>1431623</v>
          </cell>
          <cell r="B228" t="str">
            <v>PT. BERSAMA GLAMINDO JAYA ( MISS GLAM )</v>
          </cell>
          <cell r="C228">
            <v>71391519.136363611</v>
          </cell>
        </row>
        <row r="229">
          <cell r="A229">
            <v>1431624</v>
          </cell>
          <cell r="B229" t="str">
            <v>CV. TIGA M SUKSES ABADI</v>
          </cell>
          <cell r="C229">
            <v>1348789.8181818181</v>
          </cell>
        </row>
        <row r="230">
          <cell r="A230">
            <v>1431628</v>
          </cell>
          <cell r="B230" t="str">
            <v>AYENA COSMETIC</v>
          </cell>
          <cell r="C230">
            <v>453895.90909090912</v>
          </cell>
        </row>
        <row r="231">
          <cell r="A231">
            <v>1431665</v>
          </cell>
          <cell r="B231" t="str">
            <v>TK. QIYYA</v>
          </cell>
          <cell r="C231">
            <v>456436.36363636365</v>
          </cell>
        </row>
        <row r="232">
          <cell r="A232">
            <v>1431681</v>
          </cell>
          <cell r="B232" t="str">
            <v>KOMAVO  KOSMETIK</v>
          </cell>
          <cell r="C232">
            <v>56148038.636363633</v>
          </cell>
        </row>
        <row r="233">
          <cell r="A233">
            <v>1431685</v>
          </cell>
          <cell r="B233" t="str">
            <v>ANGKASA MART 12</v>
          </cell>
          <cell r="C233">
            <v>161887.09090909091</v>
          </cell>
        </row>
        <row r="234">
          <cell r="A234">
            <v>1431694</v>
          </cell>
          <cell r="B234" t="str">
            <v>DEWI KOSMETIK</v>
          </cell>
          <cell r="C234">
            <v>2526130.9090909092</v>
          </cell>
        </row>
        <row r="235">
          <cell r="A235">
            <v>1431695</v>
          </cell>
          <cell r="B235" t="str">
            <v>RPS KOSMETIK</v>
          </cell>
          <cell r="C235">
            <v>25051845.000000011</v>
          </cell>
        </row>
        <row r="236">
          <cell r="A236">
            <v>1431736</v>
          </cell>
          <cell r="B236" t="str">
            <v>APT. RAFIZIY</v>
          </cell>
          <cell r="C236">
            <v>221399.59090909094</v>
          </cell>
        </row>
        <row r="237">
          <cell r="A237">
            <v>1431739</v>
          </cell>
          <cell r="B237" t="str">
            <v>TO. ANUGERAH JAYA</v>
          </cell>
          <cell r="C237">
            <v>-351625.90909090906</v>
          </cell>
        </row>
        <row r="238">
          <cell r="A238">
            <v>1431747</v>
          </cell>
          <cell r="B238" t="str">
            <v>TO. HAFIZAH</v>
          </cell>
          <cell r="C238">
            <v>460084.09090909088</v>
          </cell>
        </row>
        <row r="239">
          <cell r="A239">
            <v>1431752</v>
          </cell>
          <cell r="B239" t="str">
            <v>ANGKASA MART KUBANG</v>
          </cell>
          <cell r="C239">
            <v>389239.77272727271</v>
          </cell>
        </row>
        <row r="240">
          <cell r="A240">
            <v>1431782</v>
          </cell>
          <cell r="B240" t="str">
            <v>APT. PRATAMA 2</v>
          </cell>
          <cell r="C240">
            <v>3724341.8181818179</v>
          </cell>
        </row>
        <row r="241">
          <cell r="A241">
            <v>1431789</v>
          </cell>
          <cell r="B241" t="str">
            <v>AKAR SARI 3</v>
          </cell>
          <cell r="C241">
            <v>29121124.363636367</v>
          </cell>
        </row>
        <row r="242">
          <cell r="A242">
            <v>1431821</v>
          </cell>
          <cell r="B242" t="str">
            <v>MALAYA MART</v>
          </cell>
          <cell r="C242">
            <v>2999156.181818183</v>
          </cell>
        </row>
        <row r="243">
          <cell r="A243">
            <v>1431838</v>
          </cell>
          <cell r="B243" t="str">
            <v>APT. REBEN</v>
          </cell>
          <cell r="C243">
            <v>327886.36363636365</v>
          </cell>
        </row>
        <row r="244">
          <cell r="A244">
            <v>1431858</v>
          </cell>
          <cell r="B244" t="str">
            <v>HY FLOW</v>
          </cell>
          <cell r="C244">
            <v>28406974.318181831</v>
          </cell>
        </row>
        <row r="245">
          <cell r="A245">
            <v>1431867</v>
          </cell>
          <cell r="B245" t="str">
            <v>MY COSMETIC</v>
          </cell>
          <cell r="C245">
            <v>28981604.409090925</v>
          </cell>
        </row>
        <row r="246">
          <cell r="A246">
            <v>1431868</v>
          </cell>
          <cell r="B246" t="str">
            <v>C4 MART</v>
          </cell>
          <cell r="C246">
            <v>1495810.2727272725</v>
          </cell>
        </row>
        <row r="247">
          <cell r="A247">
            <v>1431877</v>
          </cell>
          <cell r="B247" t="str">
            <v>CV. RIAU GEMILANG MANDIRI</v>
          </cell>
          <cell r="C247">
            <v>6559230.8636363633</v>
          </cell>
        </row>
        <row r="248">
          <cell r="A248">
            <v>1431887</v>
          </cell>
          <cell r="B248" t="str">
            <v>HOLY KOSMETIK</v>
          </cell>
          <cell r="C248">
            <v>99867169.3636363</v>
          </cell>
        </row>
        <row r="249">
          <cell r="A249">
            <v>1431891</v>
          </cell>
          <cell r="B249" t="str">
            <v>TO. SEDARAM 3</v>
          </cell>
          <cell r="C249">
            <v>270600</v>
          </cell>
        </row>
        <row r="250">
          <cell r="A250">
            <v>1431907</v>
          </cell>
          <cell r="B250" t="str">
            <v>KARTIN SHOP</v>
          </cell>
          <cell r="C250">
            <v>29933193.545454543</v>
          </cell>
        </row>
        <row r="251">
          <cell r="A251">
            <v>1431915</v>
          </cell>
          <cell r="B251" t="str">
            <v>TO. DAMAI</v>
          </cell>
          <cell r="C251">
            <v>301397.72727272729</v>
          </cell>
        </row>
        <row r="252">
          <cell r="A252">
            <v>1431916</v>
          </cell>
          <cell r="B252" t="str">
            <v>APT. DAFFA FARMA</v>
          </cell>
          <cell r="C252">
            <v>442284.54545454541</v>
          </cell>
        </row>
        <row r="253">
          <cell r="A253">
            <v>1431933</v>
          </cell>
          <cell r="B253" t="str">
            <v>TK. VIO</v>
          </cell>
          <cell r="C253">
            <v>74168.181818181823</v>
          </cell>
        </row>
        <row r="254">
          <cell r="A254">
            <v>1431943</v>
          </cell>
          <cell r="B254" t="str">
            <v>BYLIAS BEAUTY</v>
          </cell>
          <cell r="C254">
            <v>8378942.7272727285</v>
          </cell>
        </row>
        <row r="255">
          <cell r="A255">
            <v>1431949</v>
          </cell>
          <cell r="B255" t="str">
            <v>TO. ABI TEROPONG</v>
          </cell>
          <cell r="C255">
            <v>-318923.18181818177</v>
          </cell>
        </row>
        <row r="256">
          <cell r="A256">
            <v>1431969</v>
          </cell>
          <cell r="B256" t="str">
            <v>ZIA MART</v>
          </cell>
          <cell r="C256">
            <v>105954.54545454544</v>
          </cell>
        </row>
        <row r="257">
          <cell r="A257">
            <v>1431989</v>
          </cell>
          <cell r="B257" t="str">
            <v>APT. ESA FARMA 1</v>
          </cell>
          <cell r="C257">
            <v>411936.54545454541</v>
          </cell>
        </row>
        <row r="258">
          <cell r="A258">
            <v>1431990</v>
          </cell>
          <cell r="B258" t="str">
            <v>IZZAT FARMA</v>
          </cell>
          <cell r="C258">
            <v>802984.09090909082</v>
          </cell>
        </row>
        <row r="259">
          <cell r="A259">
            <v>1431993</v>
          </cell>
          <cell r="B259" t="str">
            <v>APT. ESA FARMA 2</v>
          </cell>
          <cell r="C259">
            <v>185420.45454545453</v>
          </cell>
        </row>
        <row r="260">
          <cell r="A260">
            <v>1432006</v>
          </cell>
          <cell r="B260" t="str">
            <v>APT. FAMILY BELIMBING</v>
          </cell>
          <cell r="C260">
            <v>-188923.63636363635</v>
          </cell>
        </row>
        <row r="261">
          <cell r="A261">
            <v>1432007</v>
          </cell>
          <cell r="B261" t="str">
            <v>APT. MC MELATI</v>
          </cell>
          <cell r="C261">
            <v>84000</v>
          </cell>
        </row>
        <row r="262">
          <cell r="A262">
            <v>1432024</v>
          </cell>
          <cell r="B262" t="str">
            <v>PT. PEPUTRA MAHA JAYA</v>
          </cell>
          <cell r="C262">
            <v>206762.72727272729</v>
          </cell>
        </row>
        <row r="263">
          <cell r="A263">
            <v>1432073</v>
          </cell>
          <cell r="B263" t="str">
            <v>APT. PURNAMA KARTAMA</v>
          </cell>
          <cell r="C263">
            <v>-171646.36363636362</v>
          </cell>
        </row>
        <row r="264">
          <cell r="A264">
            <v>1432091</v>
          </cell>
          <cell r="B264" t="str">
            <v>APT. AFIZA FARMA</v>
          </cell>
          <cell r="C264">
            <v>201122.72727272726</v>
          </cell>
        </row>
        <row r="265">
          <cell r="A265">
            <v>1432093</v>
          </cell>
          <cell r="B265" t="str">
            <v>ALIYA FARMA</v>
          </cell>
          <cell r="C265">
            <v>697180.90909090906</v>
          </cell>
        </row>
        <row r="266">
          <cell r="A266">
            <v>1432104</v>
          </cell>
          <cell r="B266" t="str">
            <v>APT. RISA TEROPONG</v>
          </cell>
          <cell r="C266">
            <v>-318923.18181818182</v>
          </cell>
        </row>
        <row r="267">
          <cell r="A267">
            <v>1432114</v>
          </cell>
          <cell r="B267" t="str">
            <v>TO. ALGIFARI</v>
          </cell>
          <cell r="C267">
            <v>-133636.36363636365</v>
          </cell>
        </row>
        <row r="268">
          <cell r="A268">
            <v>1432119</v>
          </cell>
          <cell r="B268" t="str">
            <v>APT. ESKA UTAMA</v>
          </cell>
          <cell r="C268">
            <v>-185420.45454545453</v>
          </cell>
        </row>
        <row r="269">
          <cell r="A269">
            <v>1432128</v>
          </cell>
          <cell r="B269" t="str">
            <v>CAHAYA FARMA TEROPONG</v>
          </cell>
          <cell r="C269">
            <v>274472.72727272729</v>
          </cell>
        </row>
        <row r="270">
          <cell r="A270">
            <v>1432131</v>
          </cell>
          <cell r="B270" t="str">
            <v>ASSALAM MART</v>
          </cell>
          <cell r="C270">
            <v>256057.18181818182</v>
          </cell>
        </row>
        <row r="271">
          <cell r="A271">
            <v>1432145</v>
          </cell>
          <cell r="B271" t="str">
            <v>SYARIAH MART</v>
          </cell>
          <cell r="C271">
            <v>515090.45454545447</v>
          </cell>
        </row>
        <row r="272">
          <cell r="A272">
            <v>1432147</v>
          </cell>
          <cell r="B272" t="str">
            <v>PT. KEDAI BAHAN RETAILINDO</v>
          </cell>
          <cell r="C272">
            <v>1161712.6363636365</v>
          </cell>
        </row>
        <row r="273">
          <cell r="A273">
            <v>1432155</v>
          </cell>
          <cell r="B273" t="str">
            <v>NAYLA COSMETIK</v>
          </cell>
          <cell r="C273">
            <v>1448699.9999999998</v>
          </cell>
        </row>
        <row r="274">
          <cell r="A274">
            <v>1432158</v>
          </cell>
          <cell r="B274" t="str">
            <v>LIZ BEAUTY</v>
          </cell>
          <cell r="C274">
            <v>-50000</v>
          </cell>
        </row>
        <row r="275">
          <cell r="A275">
            <v>1432162</v>
          </cell>
          <cell r="B275" t="str">
            <v>RICKY BARU</v>
          </cell>
          <cell r="C275">
            <v>490742.72727272729</v>
          </cell>
        </row>
        <row r="276">
          <cell r="A276">
            <v>1432164</v>
          </cell>
          <cell r="B276" t="str">
            <v>RIZKI SAKINAH</v>
          </cell>
          <cell r="C276">
            <v>282797.72727272729</v>
          </cell>
        </row>
        <row r="277">
          <cell r="A277">
            <v>1432171</v>
          </cell>
          <cell r="B277" t="str">
            <v>MEDIKA FARMA 6</v>
          </cell>
          <cell r="C277">
            <v>488100</v>
          </cell>
        </row>
        <row r="278">
          <cell r="A278">
            <v>1432173</v>
          </cell>
          <cell r="B278" t="str">
            <v>HASANAH KOSMETIK</v>
          </cell>
          <cell r="C278">
            <v>875790</v>
          </cell>
        </row>
        <row r="279">
          <cell r="A279">
            <v>1432178</v>
          </cell>
          <cell r="B279" t="str">
            <v>VIT MART</v>
          </cell>
          <cell r="C279">
            <v>935646.54545454553</v>
          </cell>
        </row>
        <row r="280">
          <cell r="A280">
            <v>1432184</v>
          </cell>
          <cell r="B280" t="str">
            <v>ANGKASA MART 18</v>
          </cell>
          <cell r="C280">
            <v>181196.59090909091</v>
          </cell>
        </row>
        <row r="281">
          <cell r="A281">
            <v>1432186</v>
          </cell>
          <cell r="B281" t="str">
            <v>TO. URBAN PHARMACY</v>
          </cell>
          <cell r="C281">
            <v>170132.72727272729</v>
          </cell>
        </row>
        <row r="282">
          <cell r="A282">
            <v>1432195</v>
          </cell>
          <cell r="B282" t="str">
            <v>UTANG KARYAWAN</v>
          </cell>
          <cell r="C282">
            <v>1218589.8863636362</v>
          </cell>
        </row>
        <row r="283">
          <cell r="A283">
            <v>1432202</v>
          </cell>
          <cell r="B283" t="str">
            <v>HAFIZ MART</v>
          </cell>
          <cell r="C283">
            <v>317863.63636363635</v>
          </cell>
        </row>
        <row r="284">
          <cell r="A284">
            <v>1432206</v>
          </cell>
          <cell r="B284" t="str">
            <v>BAROKAH MART</v>
          </cell>
          <cell r="C284">
            <v>278811.81818181818</v>
          </cell>
        </row>
        <row r="285">
          <cell r="A285">
            <v>1432209</v>
          </cell>
          <cell r="B285" t="str">
            <v>MENTARI COSMETIK</v>
          </cell>
          <cell r="C285">
            <v>168954.54545454544</v>
          </cell>
        </row>
        <row r="286">
          <cell r="A286">
            <v>1432210</v>
          </cell>
          <cell r="B286" t="str">
            <v>APT. HANNA</v>
          </cell>
          <cell r="C286">
            <v>743421.81818181812</v>
          </cell>
        </row>
        <row r="287">
          <cell r="A287">
            <v>1432212</v>
          </cell>
          <cell r="B287" t="str">
            <v>CV. BUDIMAN ARIFIN AHMAD</v>
          </cell>
          <cell r="C287">
            <v>4667769.9545454541</v>
          </cell>
        </row>
        <row r="288">
          <cell r="A288">
            <v>1432222</v>
          </cell>
          <cell r="B288" t="str">
            <v>SALAM MART</v>
          </cell>
          <cell r="C288">
            <v>856704.5454545453</v>
          </cell>
        </row>
        <row r="289">
          <cell r="A289">
            <v>1432240</v>
          </cell>
          <cell r="B289" t="str">
            <v>TO. ARAFAH 5</v>
          </cell>
          <cell r="C289">
            <v>1531670.4545454551</v>
          </cell>
        </row>
        <row r="290">
          <cell r="A290">
            <v>1432252</v>
          </cell>
          <cell r="B290" t="str">
            <v>FAMILY MART SUKA MULYA</v>
          </cell>
          <cell r="C290">
            <v>3771791.5</v>
          </cell>
        </row>
        <row r="291">
          <cell r="A291">
            <v>1432260</v>
          </cell>
          <cell r="B291" t="str">
            <v>GAFA MART</v>
          </cell>
          <cell r="C291">
            <v>154748.04545454547</v>
          </cell>
        </row>
        <row r="292">
          <cell r="A292">
            <v>1432276</v>
          </cell>
          <cell r="B292" t="str">
            <v>TOKO DZAKI</v>
          </cell>
          <cell r="C292">
            <v>273702.68181818182</v>
          </cell>
        </row>
        <row r="293">
          <cell r="A293">
            <v>1432288</v>
          </cell>
          <cell r="B293" t="str">
            <v>JINAAN STORE</v>
          </cell>
          <cell r="C293">
            <v>25068131</v>
          </cell>
        </row>
        <row r="294">
          <cell r="A294">
            <v>1432315</v>
          </cell>
          <cell r="B294" t="str">
            <v>ARRAFA MART BANGKINANG</v>
          </cell>
          <cell r="C294">
            <v>900066.81818181882</v>
          </cell>
        </row>
        <row r="295">
          <cell r="A295">
            <v>1432323</v>
          </cell>
          <cell r="B295" t="str">
            <v>APT. SEHAT BERJAYA</v>
          </cell>
          <cell r="C295">
            <v>-112636.36363636363</v>
          </cell>
        </row>
        <row r="296">
          <cell r="A296">
            <v>1432373</v>
          </cell>
          <cell r="B296" t="str">
            <v>AFRIMA MART</v>
          </cell>
          <cell r="C296">
            <v>351239.31818181818</v>
          </cell>
        </row>
        <row r="297">
          <cell r="A297">
            <v>1432377</v>
          </cell>
          <cell r="B297" t="str">
            <v>KUALU FARMA</v>
          </cell>
          <cell r="C297">
            <v>-132443.18181818182</v>
          </cell>
        </row>
        <row r="298">
          <cell r="A298">
            <v>1432394</v>
          </cell>
          <cell r="B298" t="str">
            <v>APT. ILONA</v>
          </cell>
          <cell r="C298">
            <v>-185420.45454545453</v>
          </cell>
        </row>
        <row r="299">
          <cell r="A299">
            <v>1432398</v>
          </cell>
          <cell r="B299" t="str">
            <v>TEGUH FARMA</v>
          </cell>
          <cell r="C299">
            <v>823530.90909090918</v>
          </cell>
        </row>
        <row r="300">
          <cell r="A300">
            <v>1432418</v>
          </cell>
          <cell r="B300" t="str">
            <v>APT. PHILEO FARMA</v>
          </cell>
          <cell r="C300">
            <v>1039070.4545454544</v>
          </cell>
        </row>
        <row r="301">
          <cell r="A301">
            <v>1432429</v>
          </cell>
          <cell r="B301" t="str">
            <v>ANGKASA MART 16</v>
          </cell>
          <cell r="C301">
            <v>509913.81818181818</v>
          </cell>
        </row>
        <row r="302">
          <cell r="A302">
            <v>1432431</v>
          </cell>
          <cell r="B302" t="str">
            <v>TO. HANGTUAH</v>
          </cell>
          <cell r="C302">
            <v>432294.54545454541</v>
          </cell>
        </row>
        <row r="303">
          <cell r="A303">
            <v>1432435</v>
          </cell>
          <cell r="B303" t="str">
            <v>CV. TIGA M SUKSES ABADI</v>
          </cell>
          <cell r="C303">
            <v>603176.81818181812</v>
          </cell>
        </row>
        <row r="304">
          <cell r="A304">
            <v>1432436</v>
          </cell>
          <cell r="B304" t="str">
            <v>CV. TIGA M SUKSES ABADI</v>
          </cell>
          <cell r="C304">
            <v>699619.09090909082</v>
          </cell>
        </row>
        <row r="305">
          <cell r="A305">
            <v>1432445</v>
          </cell>
          <cell r="B305" t="str">
            <v>CV. TIGA M SUKSES ABADI</v>
          </cell>
          <cell r="C305">
            <v>859697.50000000012</v>
          </cell>
        </row>
        <row r="306">
          <cell r="A306">
            <v>1432460</v>
          </cell>
          <cell r="B306" t="str">
            <v>APT. YULIA FARMA</v>
          </cell>
          <cell r="C306">
            <v>-315465.90909090906</v>
          </cell>
        </row>
        <row r="307">
          <cell r="A307">
            <v>1432470</v>
          </cell>
          <cell r="B307" t="str">
            <v>APT. ANANDA</v>
          </cell>
          <cell r="C307">
            <v>-169851.81818181818</v>
          </cell>
        </row>
        <row r="308">
          <cell r="A308">
            <v>1432472</v>
          </cell>
          <cell r="B308" t="str">
            <v>APT. BERLIAN</v>
          </cell>
          <cell r="C308">
            <v>158931.81818181818</v>
          </cell>
        </row>
        <row r="309">
          <cell r="A309">
            <v>1432474</v>
          </cell>
          <cell r="B309" t="str">
            <v>PT. KIMBERLY KOSMETIKA INDONESIA</v>
          </cell>
          <cell r="C309">
            <v>2427850.9545454546</v>
          </cell>
        </row>
        <row r="310">
          <cell r="A310">
            <v>1432476</v>
          </cell>
          <cell r="B310" t="str">
            <v>MISS GLAIM TEMBILAHAN</v>
          </cell>
          <cell r="C310">
            <v>37875726.13636364</v>
          </cell>
        </row>
        <row r="311">
          <cell r="A311">
            <v>1432479</v>
          </cell>
          <cell r="B311" t="str">
            <v>APT. RAJASA JAYA</v>
          </cell>
          <cell r="C311">
            <v>-88800</v>
          </cell>
        </row>
        <row r="312">
          <cell r="A312">
            <v>1440189</v>
          </cell>
          <cell r="B312" t="str">
            <v>SHEILA MM</v>
          </cell>
          <cell r="C312">
            <v>5920836.1363636367</v>
          </cell>
        </row>
        <row r="313">
          <cell r="A313">
            <v>1440258</v>
          </cell>
          <cell r="B313" t="str">
            <v>TOKO MELDA</v>
          </cell>
          <cell r="C313">
            <v>10776965.454545455</v>
          </cell>
        </row>
        <row r="314">
          <cell r="A314">
            <v>1450273</v>
          </cell>
          <cell r="B314" t="str">
            <v>ATAN KOSMETIK</v>
          </cell>
          <cell r="C314">
            <v>2572140.5454545454</v>
          </cell>
        </row>
        <row r="315">
          <cell r="A315">
            <v>1520003</v>
          </cell>
          <cell r="B315" t="str">
            <v>D&amp;D</v>
          </cell>
          <cell r="C315">
            <v>553947.95454545459</v>
          </cell>
        </row>
        <row r="316">
          <cell r="A316">
            <v>1520010</v>
          </cell>
          <cell r="B316" t="str">
            <v>LUCKY</v>
          </cell>
          <cell r="C316">
            <v>900613.63636363612</v>
          </cell>
        </row>
        <row r="317">
          <cell r="A317">
            <v>1520015</v>
          </cell>
          <cell r="B317" t="str">
            <v>RAFA MART</v>
          </cell>
          <cell r="C317">
            <v>469063.63636363629</v>
          </cell>
        </row>
        <row r="318">
          <cell r="A318">
            <v>1540043</v>
          </cell>
          <cell r="B318" t="str">
            <v>FADHIL JAYA</v>
          </cell>
          <cell r="C318">
            <v>416401.36363636359</v>
          </cell>
        </row>
        <row r="319">
          <cell r="A319">
            <v>1542635</v>
          </cell>
          <cell r="B319" t="str">
            <v>APT. ANTARA</v>
          </cell>
          <cell r="C319">
            <v>840434.31818181812</v>
          </cell>
        </row>
        <row r="320">
          <cell r="A320">
            <v>1542643</v>
          </cell>
          <cell r="B320" t="str">
            <v>VITA FARMA</v>
          </cell>
          <cell r="C320">
            <v>-375375</v>
          </cell>
        </row>
        <row r="321">
          <cell r="A321">
            <v>1550003</v>
          </cell>
          <cell r="B321" t="str">
            <v>APT. ANDALAN JAYA</v>
          </cell>
          <cell r="C321">
            <v>-576509.09090909082</v>
          </cell>
        </row>
        <row r="322">
          <cell r="A322">
            <v>1560030</v>
          </cell>
          <cell r="B322" t="str">
            <v>CAHAYA HATI MART</v>
          </cell>
          <cell r="C322">
            <v>189128.86363636365</v>
          </cell>
        </row>
        <row r="323">
          <cell r="A323">
            <v>1560041</v>
          </cell>
          <cell r="B323" t="str">
            <v>PT. BERSAMA GLAMINDO JAYA ( MISS GLAM )</v>
          </cell>
          <cell r="C323">
            <v>72959385.818181798</v>
          </cell>
        </row>
        <row r="324">
          <cell r="A324">
            <v>2046191</v>
          </cell>
          <cell r="B324" t="str">
            <v>TK. SERAPU</v>
          </cell>
          <cell r="C324">
            <v>116550.00000000003</v>
          </cell>
        </row>
        <row r="325">
          <cell r="A325">
            <v>2110003</v>
          </cell>
          <cell r="B325" t="str">
            <v>PT. MANDIRI SWADAYA PERKASA</v>
          </cell>
          <cell r="C325">
            <v>1538884.9090909092</v>
          </cell>
        </row>
        <row r="326">
          <cell r="A326">
            <v>2120009</v>
          </cell>
          <cell r="B326" t="str">
            <v>CV. SARIGUNA SWALAYAN</v>
          </cell>
          <cell r="C326">
            <v>780070.90909090918</v>
          </cell>
        </row>
        <row r="327">
          <cell r="A327">
            <v>2130009</v>
          </cell>
          <cell r="B327" t="str">
            <v>GRS. JAYA PRIMA</v>
          </cell>
          <cell r="C327">
            <v>108195122.72727273</v>
          </cell>
        </row>
        <row r="328">
          <cell r="A328">
            <v>2130010</v>
          </cell>
          <cell r="B328" t="str">
            <v>GRS. JIHAN</v>
          </cell>
          <cell r="C328">
            <v>681000.00000000012</v>
          </cell>
        </row>
        <row r="329">
          <cell r="A329">
            <v>2140005</v>
          </cell>
          <cell r="B329" t="str">
            <v>ALIKA FARMA</v>
          </cell>
          <cell r="C329">
            <v>123815.45454545456</v>
          </cell>
        </row>
        <row r="330">
          <cell r="A330">
            <v>2140022</v>
          </cell>
          <cell r="B330" t="str">
            <v>APT. DATABO</v>
          </cell>
          <cell r="C330">
            <v>1533918.4090909092</v>
          </cell>
        </row>
        <row r="331">
          <cell r="A331">
            <v>2140023</v>
          </cell>
          <cell r="B331" t="str">
            <v>APT. MANDAU</v>
          </cell>
          <cell r="C331">
            <v>1329642.2727272729</v>
          </cell>
        </row>
        <row r="332">
          <cell r="A332">
            <v>2140038</v>
          </cell>
          <cell r="B332" t="str">
            <v>ECY ANJ</v>
          </cell>
          <cell r="C332">
            <v>79268.863636363647</v>
          </cell>
        </row>
        <row r="333">
          <cell r="A333">
            <v>2140059</v>
          </cell>
          <cell r="B333" t="str">
            <v>MITRA FARMA</v>
          </cell>
          <cell r="C333">
            <v>1787809.0909090906</v>
          </cell>
        </row>
        <row r="334">
          <cell r="A334">
            <v>2140094</v>
          </cell>
          <cell r="B334" t="str">
            <v>TK. ANNISA COSMETIK</v>
          </cell>
          <cell r="C334">
            <v>23406864.545454547</v>
          </cell>
        </row>
        <row r="335">
          <cell r="A335">
            <v>2140160</v>
          </cell>
          <cell r="B335" t="str">
            <v>TK. KASIH MANJUR</v>
          </cell>
          <cell r="C335">
            <v>344352.27272727271</v>
          </cell>
        </row>
        <row r="336">
          <cell r="A336">
            <v>2140184</v>
          </cell>
          <cell r="B336" t="str">
            <v>TK. RAJA</v>
          </cell>
          <cell r="C336">
            <v>169303.63636363638</v>
          </cell>
        </row>
        <row r="337">
          <cell r="A337">
            <v>2140216</v>
          </cell>
          <cell r="B337" t="str">
            <v>TK. SON PONSEL</v>
          </cell>
          <cell r="C337">
            <v>32000</v>
          </cell>
        </row>
        <row r="338">
          <cell r="A338">
            <v>2140237</v>
          </cell>
          <cell r="B338" t="str">
            <v>TK. YOLANDA FARMA</v>
          </cell>
          <cell r="C338">
            <v>770289.5454545453</v>
          </cell>
        </row>
        <row r="339">
          <cell r="A339">
            <v>2140275</v>
          </cell>
          <cell r="B339" t="str">
            <v>AULIA COSMETIC</v>
          </cell>
          <cell r="C339">
            <v>114430.9090909091</v>
          </cell>
        </row>
        <row r="340">
          <cell r="A340">
            <v>2140482</v>
          </cell>
          <cell r="B340" t="str">
            <v>TK. 3 SAUDARA</v>
          </cell>
          <cell r="C340">
            <v>23310.000000000004</v>
          </cell>
        </row>
        <row r="341">
          <cell r="A341">
            <v>2140495</v>
          </cell>
          <cell r="B341" t="str">
            <v>ANJ DIAN</v>
          </cell>
          <cell r="C341">
            <v>67609.090909090912</v>
          </cell>
        </row>
        <row r="342">
          <cell r="A342">
            <v>2140520</v>
          </cell>
          <cell r="B342" t="str">
            <v>ANJ AGUS</v>
          </cell>
          <cell r="C342">
            <v>75757.5</v>
          </cell>
        </row>
        <row r="343">
          <cell r="A343">
            <v>2140521</v>
          </cell>
          <cell r="B343" t="str">
            <v>TK. LILIS</v>
          </cell>
          <cell r="C343">
            <v>185421.18181818179</v>
          </cell>
        </row>
        <row r="344">
          <cell r="A344">
            <v>2140582</v>
          </cell>
          <cell r="B344" t="str">
            <v>APT. SAUDARA</v>
          </cell>
          <cell r="C344">
            <v>574841.81818181823</v>
          </cell>
        </row>
        <row r="345">
          <cell r="A345">
            <v>2140789</v>
          </cell>
          <cell r="B345" t="str">
            <v>TK. JASA MEDIKA</v>
          </cell>
          <cell r="C345">
            <v>25000</v>
          </cell>
        </row>
        <row r="346">
          <cell r="A346">
            <v>2140805</v>
          </cell>
          <cell r="B346" t="str">
            <v>TK. RONA TIO</v>
          </cell>
          <cell r="C346">
            <v>1883854.5454545459</v>
          </cell>
        </row>
        <row r="347">
          <cell r="A347">
            <v>2140845</v>
          </cell>
          <cell r="B347" t="str">
            <v>TK. DUA BINTANG</v>
          </cell>
          <cell r="C347">
            <v>4210349.1818181826</v>
          </cell>
        </row>
        <row r="348">
          <cell r="A348">
            <v>2140890</v>
          </cell>
          <cell r="B348" t="str">
            <v>ANJ WANDA</v>
          </cell>
          <cell r="C348">
            <v>22780.227272727272</v>
          </cell>
        </row>
        <row r="349">
          <cell r="A349">
            <v>2140895</v>
          </cell>
          <cell r="B349" t="str">
            <v>TK. TIO JAYA</v>
          </cell>
          <cell r="C349">
            <v>2025425.7272727275</v>
          </cell>
        </row>
        <row r="350">
          <cell r="A350">
            <v>2140943</v>
          </cell>
          <cell r="B350" t="str">
            <v>TK. HALIZA</v>
          </cell>
          <cell r="C350">
            <v>113400</v>
          </cell>
        </row>
        <row r="351">
          <cell r="A351">
            <v>2140959</v>
          </cell>
          <cell r="B351" t="str">
            <v>ANJ RAIS</v>
          </cell>
          <cell r="C351">
            <v>21000</v>
          </cell>
        </row>
        <row r="352">
          <cell r="A352">
            <v>2140966</v>
          </cell>
          <cell r="B352" t="str">
            <v>TK. IQBAL</v>
          </cell>
          <cell r="C352">
            <v>158931.81818181818</v>
          </cell>
        </row>
        <row r="353">
          <cell r="A353">
            <v>2140995</v>
          </cell>
          <cell r="B353" t="str">
            <v>ANJ FAHMI</v>
          </cell>
          <cell r="C353">
            <v>19071.818181818184</v>
          </cell>
        </row>
        <row r="354">
          <cell r="A354">
            <v>2141043</v>
          </cell>
          <cell r="B354" t="str">
            <v>TK. TEGALSARI</v>
          </cell>
          <cell r="C354">
            <v>344352.27272727265</v>
          </cell>
        </row>
        <row r="355">
          <cell r="A355">
            <v>2141082</v>
          </cell>
          <cell r="B355" t="str">
            <v>TK. AZKA</v>
          </cell>
          <cell r="C355">
            <v>344352.27272727271</v>
          </cell>
        </row>
        <row r="356">
          <cell r="A356">
            <v>2141099</v>
          </cell>
          <cell r="B356" t="str">
            <v>TK. OBAT FATMA FARMA</v>
          </cell>
          <cell r="C356">
            <v>114430.9090909091</v>
          </cell>
        </row>
        <row r="357">
          <cell r="A357">
            <v>2141117</v>
          </cell>
          <cell r="B357" t="str">
            <v>UNION MART</v>
          </cell>
          <cell r="C357">
            <v>284609.04545454547</v>
          </cell>
        </row>
        <row r="358">
          <cell r="A358">
            <v>2141119</v>
          </cell>
          <cell r="B358" t="str">
            <v>TK. OBAT DEVITA</v>
          </cell>
          <cell r="C358">
            <v>485478.40909090906</v>
          </cell>
        </row>
        <row r="359">
          <cell r="A359">
            <v>2141130</v>
          </cell>
          <cell r="B359" t="str">
            <v>REKONSILIASI SO</v>
          </cell>
          <cell r="C359">
            <v>1285238.8181818181</v>
          </cell>
        </row>
        <row r="360">
          <cell r="A360">
            <v>2141132</v>
          </cell>
          <cell r="B360" t="str">
            <v>TK. SINAGA SEBANGA</v>
          </cell>
          <cell r="C360">
            <v>133200.00000000003</v>
          </cell>
        </row>
        <row r="361">
          <cell r="A361">
            <v>2141138</v>
          </cell>
          <cell r="B361" t="str">
            <v>MUBARAK COSMETIK</v>
          </cell>
          <cell r="C361">
            <v>339255</v>
          </cell>
        </row>
        <row r="362">
          <cell r="A362">
            <v>2141143</v>
          </cell>
          <cell r="B362" t="str">
            <v>REINISHA BEAUTY STORE</v>
          </cell>
          <cell r="C362">
            <v>-620000</v>
          </cell>
        </row>
        <row r="363">
          <cell r="A363">
            <v>2141144</v>
          </cell>
          <cell r="B363" t="str">
            <v>JAYA FARMA SEBANGA</v>
          </cell>
          <cell r="C363">
            <v>1594446.8181818184</v>
          </cell>
        </row>
        <row r="364">
          <cell r="A364">
            <v>2141146</v>
          </cell>
          <cell r="B364" t="str">
            <v>BEAUTYFORIA</v>
          </cell>
          <cell r="C364">
            <v>3595169.7727272729</v>
          </cell>
        </row>
        <row r="365">
          <cell r="A365">
            <v>2141148</v>
          </cell>
          <cell r="B365" t="str">
            <v>SABRINA STORE</v>
          </cell>
          <cell r="C365">
            <v>21417832.90909091</v>
          </cell>
        </row>
        <row r="366">
          <cell r="A366">
            <v>2141154</v>
          </cell>
          <cell r="B366" t="str">
            <v>TK. OBAT HASRAT</v>
          </cell>
          <cell r="C366">
            <v>648838.63636363635</v>
          </cell>
        </row>
        <row r="367">
          <cell r="A367">
            <v>2141157</v>
          </cell>
          <cell r="B367" t="str">
            <v>APT. MUTIARA</v>
          </cell>
          <cell r="C367">
            <v>622712.72727272729</v>
          </cell>
        </row>
        <row r="368">
          <cell r="A368">
            <v>2141159</v>
          </cell>
          <cell r="B368" t="str">
            <v>TK. OBAT KASIH</v>
          </cell>
          <cell r="C368">
            <v>386352.27272727271</v>
          </cell>
        </row>
        <row r="369">
          <cell r="A369">
            <v>2141165</v>
          </cell>
          <cell r="B369" t="str">
            <v>CV. MARIGOLD PLUS FRESH</v>
          </cell>
          <cell r="C369">
            <v>845255.45454545459</v>
          </cell>
        </row>
        <row r="370">
          <cell r="A370">
            <v>2141183</v>
          </cell>
          <cell r="B370" t="str">
            <v>TK. OBAT KURNIA</v>
          </cell>
          <cell r="C370">
            <v>113320.90909090909</v>
          </cell>
        </row>
        <row r="371">
          <cell r="A371">
            <v>2141245</v>
          </cell>
          <cell r="B371" t="str">
            <v>TK. ZAFRAN CELL</v>
          </cell>
          <cell r="C371">
            <v>114430.90909090909</v>
          </cell>
        </row>
        <row r="372">
          <cell r="A372">
            <v>2141249</v>
          </cell>
          <cell r="B372" t="str">
            <v>MALEM FARMA</v>
          </cell>
          <cell r="C372">
            <v>928620.27272727259</v>
          </cell>
        </row>
        <row r="373">
          <cell r="A373">
            <v>2220005</v>
          </cell>
          <cell r="B373" t="str">
            <v>FAMILY RUPATINDO NIAGA</v>
          </cell>
          <cell r="C373">
            <v>203700.00000000003</v>
          </cell>
        </row>
        <row r="374">
          <cell r="A374">
            <v>2220006</v>
          </cell>
          <cell r="B374" t="str">
            <v>HARI-HARI SWL</v>
          </cell>
          <cell r="C374">
            <v>2635613.1818181816</v>
          </cell>
        </row>
        <row r="375">
          <cell r="A375">
            <v>2220007</v>
          </cell>
          <cell r="B375" t="str">
            <v>CV. INDOJAYA MART</v>
          </cell>
          <cell r="C375">
            <v>443866.90909090906</v>
          </cell>
        </row>
        <row r="376">
          <cell r="A376">
            <v>2220017</v>
          </cell>
          <cell r="B376" t="str">
            <v>CV. BESTA SWALAYAN MANDIRI</v>
          </cell>
          <cell r="C376">
            <v>1014758.5909090908</v>
          </cell>
        </row>
        <row r="377">
          <cell r="A377">
            <v>2220019</v>
          </cell>
          <cell r="B377" t="str">
            <v>CV. BATAM MEGA PERKASA</v>
          </cell>
          <cell r="C377">
            <v>407984.72727272729</v>
          </cell>
        </row>
        <row r="378">
          <cell r="A378">
            <v>2220032</v>
          </cell>
          <cell r="B378" t="str">
            <v>GRS. JY MART</v>
          </cell>
          <cell r="C378">
            <v>13748077.63636364</v>
          </cell>
        </row>
        <row r="379">
          <cell r="A379">
            <v>2230001</v>
          </cell>
          <cell r="B379" t="str">
            <v>DUMAI BARU</v>
          </cell>
          <cell r="C379">
            <v>7674036.8181818193</v>
          </cell>
        </row>
        <row r="380">
          <cell r="A380">
            <v>2240012</v>
          </cell>
          <cell r="B380" t="str">
            <v>APT. MULIA</v>
          </cell>
          <cell r="C380">
            <v>3213601.3636363628</v>
          </cell>
        </row>
        <row r="381">
          <cell r="A381">
            <v>2240015</v>
          </cell>
          <cell r="B381" t="str">
            <v>ARINA BARU</v>
          </cell>
          <cell r="C381">
            <v>4700812.9090909101</v>
          </cell>
        </row>
        <row r="382">
          <cell r="A382">
            <v>2240062</v>
          </cell>
          <cell r="B382" t="str">
            <v>SEHAT UTAMA</v>
          </cell>
          <cell r="C382">
            <v>222979.09090909094</v>
          </cell>
        </row>
        <row r="383">
          <cell r="A383">
            <v>2240068</v>
          </cell>
          <cell r="B383" t="str">
            <v>SNACK PELITA</v>
          </cell>
          <cell r="C383">
            <v>6740280.0909090918</v>
          </cell>
        </row>
        <row r="384">
          <cell r="A384">
            <v>2240084</v>
          </cell>
          <cell r="B384" t="str">
            <v>TK. ALIFA</v>
          </cell>
          <cell r="C384">
            <v>-24899.31818181818</v>
          </cell>
        </row>
        <row r="385">
          <cell r="A385">
            <v>2240088</v>
          </cell>
          <cell r="B385" t="str">
            <v>TK. ANSORI</v>
          </cell>
          <cell r="C385">
            <v>2587322.7272727271</v>
          </cell>
        </row>
        <row r="386">
          <cell r="A386">
            <v>2240105</v>
          </cell>
          <cell r="B386" t="str">
            <v>TK. DAFFA COSMETIC</v>
          </cell>
          <cell r="C386">
            <v>-64102.5</v>
          </cell>
        </row>
        <row r="387">
          <cell r="A387">
            <v>2240110</v>
          </cell>
          <cell r="B387" t="str">
            <v>TK. DONI</v>
          </cell>
          <cell r="C387">
            <v>1041533.1818181816</v>
          </cell>
        </row>
        <row r="388">
          <cell r="A388">
            <v>2240118</v>
          </cell>
          <cell r="B388" t="str">
            <v>TK. FATIMAH</v>
          </cell>
          <cell r="C388">
            <v>190415.45454545459</v>
          </cell>
        </row>
        <row r="389">
          <cell r="A389">
            <v>2240144</v>
          </cell>
          <cell r="B389" t="str">
            <v>TK. MELATI</v>
          </cell>
          <cell r="C389">
            <v>1087341.8181818179</v>
          </cell>
        </row>
        <row r="390">
          <cell r="A390">
            <v>2240162</v>
          </cell>
          <cell r="B390" t="str">
            <v>TK. SALSABILA</v>
          </cell>
          <cell r="C390">
            <v>888504.54545454541</v>
          </cell>
        </row>
        <row r="391">
          <cell r="A391">
            <v>2240163</v>
          </cell>
          <cell r="B391" t="str">
            <v>TK. SEHAT</v>
          </cell>
          <cell r="C391">
            <v>2412624.5454545459</v>
          </cell>
        </row>
        <row r="392">
          <cell r="A392">
            <v>2240215</v>
          </cell>
          <cell r="B392" t="str">
            <v>TK. AYU</v>
          </cell>
          <cell r="C392">
            <v>712512.72727272718</v>
          </cell>
        </row>
        <row r="393">
          <cell r="A393">
            <v>2240246</v>
          </cell>
          <cell r="B393" t="str">
            <v>TK. BINTANG PUTIH</v>
          </cell>
          <cell r="C393">
            <v>344352.27272727271</v>
          </cell>
        </row>
        <row r="394">
          <cell r="A394">
            <v>2240247</v>
          </cell>
          <cell r="B394" t="str">
            <v>TK. SAUDARA CABANG SENTOSA</v>
          </cell>
          <cell r="C394">
            <v>1301059.0909090908</v>
          </cell>
        </row>
        <row r="395">
          <cell r="A395">
            <v>2240267</v>
          </cell>
          <cell r="B395" t="str">
            <v>TK. ABC</v>
          </cell>
          <cell r="C395">
            <v>562146.13636363635</v>
          </cell>
        </row>
        <row r="396">
          <cell r="A396">
            <v>2240299</v>
          </cell>
          <cell r="B396" t="str">
            <v>KEDAI NAYLA</v>
          </cell>
          <cell r="C396">
            <v>938905.90909090906</v>
          </cell>
        </row>
        <row r="397">
          <cell r="A397">
            <v>2240330</v>
          </cell>
          <cell r="B397" t="str">
            <v>TK. SKH</v>
          </cell>
          <cell r="C397">
            <v>170100</v>
          </cell>
        </row>
        <row r="398">
          <cell r="A398">
            <v>2240340</v>
          </cell>
          <cell r="B398" t="str">
            <v>TK. SAMAR</v>
          </cell>
          <cell r="C398">
            <v>246600.00000000003</v>
          </cell>
        </row>
        <row r="399">
          <cell r="A399">
            <v>2240410</v>
          </cell>
          <cell r="B399" t="str">
            <v>TK. AIDIL FARMA</v>
          </cell>
          <cell r="C399">
            <v>973192.49999999977</v>
          </cell>
        </row>
        <row r="400">
          <cell r="A400">
            <v>2240490</v>
          </cell>
          <cell r="B400" t="str">
            <v>TO. NURUL</v>
          </cell>
          <cell r="C400">
            <v>4729722.5000000019</v>
          </cell>
        </row>
        <row r="401">
          <cell r="A401">
            <v>2240540</v>
          </cell>
          <cell r="B401" t="str">
            <v>TK. NINSO</v>
          </cell>
          <cell r="C401">
            <v>754159.09090909106</v>
          </cell>
        </row>
        <row r="402">
          <cell r="A402">
            <v>2240639</v>
          </cell>
          <cell r="B402" t="str">
            <v>TK. 9 NAGA MAS</v>
          </cell>
          <cell r="C402">
            <v>711072</v>
          </cell>
        </row>
        <row r="403">
          <cell r="A403">
            <v>2240640</v>
          </cell>
          <cell r="B403" t="str">
            <v>MAKE UP STORE</v>
          </cell>
          <cell r="C403">
            <v>-12731386.363636371</v>
          </cell>
        </row>
        <row r="404">
          <cell r="A404">
            <v>2240645</v>
          </cell>
          <cell r="B404" t="str">
            <v>APT. MULIA MEDIKA</v>
          </cell>
          <cell r="C404">
            <v>582361.36363636365</v>
          </cell>
        </row>
        <row r="405">
          <cell r="A405">
            <v>2240962</v>
          </cell>
          <cell r="B405" t="str">
            <v>APT. BUNDA</v>
          </cell>
          <cell r="C405">
            <v>126085.90909090909</v>
          </cell>
        </row>
        <row r="406">
          <cell r="A406">
            <v>2240963</v>
          </cell>
          <cell r="B406" t="str">
            <v>TK. PRIMA SEHAT</v>
          </cell>
          <cell r="C406">
            <v>2727583.6363636372</v>
          </cell>
        </row>
        <row r="407">
          <cell r="A407">
            <v>2240980</v>
          </cell>
          <cell r="B407" t="str">
            <v>TK. NAJWA FARMA</v>
          </cell>
          <cell r="C407">
            <v>3000757.9090909106</v>
          </cell>
        </row>
        <row r="408">
          <cell r="A408">
            <v>2241039</v>
          </cell>
          <cell r="B408" t="str">
            <v>TK. INDAH</v>
          </cell>
          <cell r="C408">
            <v>4272078.1363636367</v>
          </cell>
        </row>
        <row r="409">
          <cell r="A409">
            <v>2241042</v>
          </cell>
          <cell r="B409" t="str">
            <v>APT. LABORA</v>
          </cell>
          <cell r="C409">
            <v>344352.27272727271</v>
          </cell>
        </row>
        <row r="410">
          <cell r="A410">
            <v>2241048</v>
          </cell>
          <cell r="B410" t="str">
            <v>TK. RESTU IBU</v>
          </cell>
          <cell r="C410">
            <v>568352.27272727271</v>
          </cell>
        </row>
        <row r="411">
          <cell r="A411">
            <v>2241049</v>
          </cell>
          <cell r="B411" t="str">
            <v>TK. JJ MART</v>
          </cell>
          <cell r="C411">
            <v>598127.72727272718</v>
          </cell>
        </row>
        <row r="412">
          <cell r="A412">
            <v>2241052</v>
          </cell>
          <cell r="B412" t="str">
            <v>TK. JAYA</v>
          </cell>
          <cell r="C412">
            <v>1729193.8636363638</v>
          </cell>
        </row>
        <row r="413">
          <cell r="A413">
            <v>2241054</v>
          </cell>
          <cell r="B413" t="str">
            <v>CV. BATAM GLOBAL PERKASA</v>
          </cell>
          <cell r="C413">
            <v>787833.40909090918</v>
          </cell>
        </row>
        <row r="414">
          <cell r="A414">
            <v>2241055</v>
          </cell>
          <cell r="B414" t="str">
            <v>TK. RYN GRATIA FARMA</v>
          </cell>
          <cell r="C414">
            <v>87598.636363636353</v>
          </cell>
        </row>
        <row r="415">
          <cell r="A415">
            <v>2241057</v>
          </cell>
          <cell r="B415" t="str">
            <v>MISS GLAM DUMAI</v>
          </cell>
          <cell r="C415">
            <v>43871674.954545468</v>
          </cell>
        </row>
        <row r="416">
          <cell r="A416">
            <v>2241058</v>
          </cell>
          <cell r="B416" t="str">
            <v>TK. OSHOP DUMAI</v>
          </cell>
          <cell r="C416">
            <v>10486642.909090908</v>
          </cell>
        </row>
        <row r="417">
          <cell r="A417">
            <v>2241059</v>
          </cell>
          <cell r="B417" t="str">
            <v>MIRACLE BEAUTY STORE</v>
          </cell>
          <cell r="C417">
            <v>1983963.6363636365</v>
          </cell>
        </row>
        <row r="418">
          <cell r="A418">
            <v>2310001</v>
          </cell>
          <cell r="B418" t="str">
            <v>CV. MAKMUR JAYA ABADI SEMPURNA</v>
          </cell>
          <cell r="C418">
            <v>2781187.0909090918</v>
          </cell>
        </row>
        <row r="419">
          <cell r="A419">
            <v>2320001</v>
          </cell>
          <cell r="B419" t="str">
            <v>BINTANG SWALAYAN</v>
          </cell>
          <cell r="C419">
            <v>475009.09090909094</v>
          </cell>
        </row>
        <row r="420">
          <cell r="A420">
            <v>2320014</v>
          </cell>
          <cell r="B420" t="str">
            <v>B MART</v>
          </cell>
          <cell r="C420">
            <v>455604.54545454541</v>
          </cell>
        </row>
        <row r="421">
          <cell r="A421">
            <v>2330019</v>
          </cell>
          <cell r="B421" t="str">
            <v>TK. ANEKA HIKMAH</v>
          </cell>
          <cell r="C421">
            <v>444000</v>
          </cell>
        </row>
        <row r="422">
          <cell r="A422">
            <v>2340009</v>
          </cell>
          <cell r="B422" t="str">
            <v>MULIA MAJU</v>
          </cell>
          <cell r="C422">
            <v>250054.18181818182</v>
          </cell>
        </row>
        <row r="423">
          <cell r="A423">
            <v>2340011</v>
          </cell>
          <cell r="B423" t="str">
            <v>SEHAT FARMA</v>
          </cell>
          <cell r="C423">
            <v>917566.36363636341</v>
          </cell>
        </row>
        <row r="424">
          <cell r="A424">
            <v>2340038</v>
          </cell>
          <cell r="B424" t="str">
            <v>TK. REVAN</v>
          </cell>
          <cell r="C424">
            <v>-158931.81818181818</v>
          </cell>
        </row>
        <row r="425">
          <cell r="A425">
            <v>2340051</v>
          </cell>
          <cell r="B425" t="str">
            <v>TK. TITIPAN ILAHI</v>
          </cell>
          <cell r="C425">
            <v>6776247.5454545459</v>
          </cell>
        </row>
        <row r="426">
          <cell r="A426">
            <v>2340053</v>
          </cell>
          <cell r="B426" t="str">
            <v>TK. ARAFAH</v>
          </cell>
          <cell r="C426">
            <v>388752.27272727271</v>
          </cell>
        </row>
        <row r="427">
          <cell r="A427">
            <v>2340057</v>
          </cell>
          <cell r="B427" t="str">
            <v>TK. VITA FARMA</v>
          </cell>
          <cell r="C427">
            <v>1548972.727272728</v>
          </cell>
        </row>
        <row r="428">
          <cell r="A428">
            <v>2340061</v>
          </cell>
          <cell r="B428" t="str">
            <v>TK. MARTUNAS FARMA</v>
          </cell>
          <cell r="C428">
            <v>177068.18181818182</v>
          </cell>
        </row>
        <row r="429">
          <cell r="A429">
            <v>2340099</v>
          </cell>
          <cell r="B429" t="str">
            <v>TK. BUANA SWALAYAN</v>
          </cell>
          <cell r="C429">
            <v>601363.63636363635</v>
          </cell>
        </row>
        <row r="430">
          <cell r="A430">
            <v>2340107</v>
          </cell>
          <cell r="B430" t="str">
            <v>TK. VITA MARSADA</v>
          </cell>
          <cell r="C430">
            <v>1010852.7272727272</v>
          </cell>
        </row>
        <row r="431">
          <cell r="A431">
            <v>2340109</v>
          </cell>
          <cell r="B431" t="str">
            <v>TK. KUD BANGUN DESA</v>
          </cell>
          <cell r="C431">
            <v>779787.27272727259</v>
          </cell>
        </row>
        <row r="432">
          <cell r="A432">
            <v>2340120</v>
          </cell>
          <cell r="B432" t="str">
            <v>TK. MURAH</v>
          </cell>
          <cell r="C432">
            <v>151800</v>
          </cell>
        </row>
        <row r="433">
          <cell r="A433">
            <v>2340126</v>
          </cell>
          <cell r="B433" t="str">
            <v>TO. SEJAHTERA</v>
          </cell>
          <cell r="C433">
            <v>1796728.6363636376</v>
          </cell>
        </row>
        <row r="434">
          <cell r="A434">
            <v>2340189</v>
          </cell>
          <cell r="B434" t="str">
            <v>TK. SINAR VITA</v>
          </cell>
          <cell r="C434">
            <v>239154.54545454547</v>
          </cell>
        </row>
        <row r="435">
          <cell r="A435">
            <v>2340227</v>
          </cell>
          <cell r="B435" t="str">
            <v>TK. LENTA</v>
          </cell>
          <cell r="C435">
            <v>113400</v>
          </cell>
        </row>
        <row r="436">
          <cell r="A436">
            <v>2340261</v>
          </cell>
          <cell r="B436" t="str">
            <v>TK. BUANA FARMA</v>
          </cell>
          <cell r="C436">
            <v>170000</v>
          </cell>
        </row>
        <row r="437">
          <cell r="A437">
            <v>2340263</v>
          </cell>
          <cell r="B437" t="str">
            <v>TK. BANGUN SEJAHTERA</v>
          </cell>
          <cell r="C437">
            <v>150000</v>
          </cell>
        </row>
        <row r="438">
          <cell r="A438">
            <v>2340270</v>
          </cell>
          <cell r="B438" t="str">
            <v>TK. BUMDES KANDIS</v>
          </cell>
          <cell r="C438">
            <v>112000</v>
          </cell>
        </row>
        <row r="439">
          <cell r="A439">
            <v>2340275</v>
          </cell>
          <cell r="B439" t="str">
            <v>TK. MARTUNAS JAYA</v>
          </cell>
          <cell r="C439">
            <v>490367.72727272729</v>
          </cell>
        </row>
        <row r="440">
          <cell r="A440">
            <v>2340279</v>
          </cell>
          <cell r="B440" t="str">
            <v>TK. GLOBAL</v>
          </cell>
          <cell r="C440">
            <v>1253544.9545454551</v>
          </cell>
        </row>
        <row r="441">
          <cell r="A441">
            <v>2340341</v>
          </cell>
          <cell r="B441" t="str">
            <v>TK. ULTRA</v>
          </cell>
          <cell r="C441">
            <v>141600</v>
          </cell>
        </row>
        <row r="442">
          <cell r="A442">
            <v>2340346</v>
          </cell>
          <cell r="B442" t="str">
            <v>TK. MULIA MAJU 2</v>
          </cell>
          <cell r="C442">
            <v>272638.63636363635</v>
          </cell>
        </row>
        <row r="443">
          <cell r="A443">
            <v>2340347</v>
          </cell>
          <cell r="B443" t="str">
            <v>TK. AMANAH</v>
          </cell>
          <cell r="C443">
            <v>2691176.7272727275</v>
          </cell>
        </row>
        <row r="444">
          <cell r="A444">
            <v>2340351</v>
          </cell>
          <cell r="B444" t="str">
            <v>JAYA FARMA PINGGIR</v>
          </cell>
          <cell r="C444">
            <v>179236.36363636365</v>
          </cell>
        </row>
        <row r="445">
          <cell r="A445">
            <v>2340355</v>
          </cell>
          <cell r="B445" t="str">
            <v>AFIKA COSMETIK</v>
          </cell>
          <cell r="C445">
            <v>1033056.8181818179</v>
          </cell>
        </row>
        <row r="446">
          <cell r="A446">
            <v>2340365</v>
          </cell>
          <cell r="B446" t="str">
            <v>APT. LAMGABE</v>
          </cell>
          <cell r="C446">
            <v>114900</v>
          </cell>
        </row>
        <row r="447">
          <cell r="A447">
            <v>2340366</v>
          </cell>
          <cell r="B447" t="str">
            <v>TK. OBAT SERASI</v>
          </cell>
          <cell r="C447">
            <v>161959.09090909094</v>
          </cell>
        </row>
        <row r="448">
          <cell r="A448">
            <v>2340369</v>
          </cell>
          <cell r="B448" t="str">
            <v>APT. BUANA</v>
          </cell>
          <cell r="C448">
            <v>344352.27272727271</v>
          </cell>
        </row>
        <row r="449">
          <cell r="A449">
            <v>2340372</v>
          </cell>
          <cell r="B449" t="str">
            <v>APT. SANJAYA KANDIS</v>
          </cell>
          <cell r="C449">
            <v>565036.36363636353</v>
          </cell>
        </row>
        <row r="450">
          <cell r="A450">
            <v>2340374</v>
          </cell>
          <cell r="B450" t="str">
            <v>APT. TUNAS LAM JAYA</v>
          </cell>
          <cell r="C450">
            <v>344352.27272727271</v>
          </cell>
        </row>
        <row r="451">
          <cell r="A451">
            <v>2340377</v>
          </cell>
          <cell r="B451" t="str">
            <v>TO. GIO FARMA</v>
          </cell>
          <cell r="C451">
            <v>138840.68181818182</v>
          </cell>
        </row>
        <row r="452">
          <cell r="A452">
            <v>2340387</v>
          </cell>
          <cell r="B452" t="str">
            <v>TK. NAFISAH</v>
          </cell>
          <cell r="C452">
            <v>465000</v>
          </cell>
        </row>
        <row r="453">
          <cell r="A453">
            <v>2340390</v>
          </cell>
          <cell r="B453" t="str">
            <v>TK. GLOBAL 2</v>
          </cell>
          <cell r="C453">
            <v>317868</v>
          </cell>
        </row>
        <row r="454">
          <cell r="A454">
            <v>2420008</v>
          </cell>
          <cell r="B454" t="str">
            <v>SUNLIE</v>
          </cell>
          <cell r="C454">
            <v>1519388.1818181816</v>
          </cell>
        </row>
        <row r="455">
          <cell r="A455">
            <v>2420013</v>
          </cell>
          <cell r="B455" t="str">
            <v>MM. SANDI LAROS</v>
          </cell>
          <cell r="C455">
            <v>751171.36363636353</v>
          </cell>
        </row>
        <row r="456">
          <cell r="A456">
            <v>2440008</v>
          </cell>
          <cell r="B456" t="str">
            <v>BINTANG JAYA</v>
          </cell>
          <cell r="C456">
            <v>2784445.3636363647</v>
          </cell>
        </row>
        <row r="457">
          <cell r="A457">
            <v>2440012</v>
          </cell>
          <cell r="B457" t="str">
            <v>GOZA FARMA</v>
          </cell>
          <cell r="C457">
            <v>10424078.863636367</v>
          </cell>
        </row>
        <row r="458">
          <cell r="A458">
            <v>2440019</v>
          </cell>
          <cell r="B458" t="str">
            <v>SENTOSA</v>
          </cell>
          <cell r="C458">
            <v>4399462.7272727275</v>
          </cell>
        </row>
        <row r="459">
          <cell r="A459">
            <v>2440087</v>
          </cell>
          <cell r="B459" t="str">
            <v>TK. HOK LIE</v>
          </cell>
          <cell r="C459">
            <v>1116306.8181818181</v>
          </cell>
        </row>
        <row r="460">
          <cell r="A460">
            <v>2440090</v>
          </cell>
          <cell r="B460" t="str">
            <v>TK. J FITRI</v>
          </cell>
          <cell r="C460">
            <v>133200.00000000003</v>
          </cell>
        </row>
        <row r="461">
          <cell r="A461">
            <v>2440108</v>
          </cell>
          <cell r="B461" t="str">
            <v>TK. MITRA FARMA</v>
          </cell>
          <cell r="C461">
            <v>1005109.0909090908</v>
          </cell>
        </row>
        <row r="462">
          <cell r="A462">
            <v>2440119</v>
          </cell>
          <cell r="B462" t="str">
            <v>TK. JAYA FARMA</v>
          </cell>
          <cell r="C462">
            <v>277419.27272727271</v>
          </cell>
        </row>
        <row r="463">
          <cell r="A463">
            <v>2440125</v>
          </cell>
          <cell r="B463" t="str">
            <v>TK. DOR MAR LUGA FARMA</v>
          </cell>
          <cell r="C463">
            <v>1841596.1818181816</v>
          </cell>
        </row>
        <row r="464">
          <cell r="A464">
            <v>2440128</v>
          </cell>
          <cell r="B464" t="str">
            <v>TK. NORA</v>
          </cell>
          <cell r="C464">
            <v>1831978.9090909092</v>
          </cell>
        </row>
        <row r="465">
          <cell r="A465">
            <v>2440139</v>
          </cell>
          <cell r="B465" t="str">
            <v>TK. SAFNI</v>
          </cell>
          <cell r="C465">
            <v>1162637.2727272729</v>
          </cell>
        </row>
        <row r="466">
          <cell r="A466">
            <v>2440160</v>
          </cell>
          <cell r="B466" t="str">
            <v>DAPOT FARMA</v>
          </cell>
          <cell r="C466">
            <v>2802252.2727272729</v>
          </cell>
        </row>
        <row r="467">
          <cell r="A467">
            <v>2440162</v>
          </cell>
          <cell r="B467" t="str">
            <v>TK. SINTONG JAYA</v>
          </cell>
          <cell r="C467">
            <v>527000</v>
          </cell>
        </row>
        <row r="468">
          <cell r="A468">
            <v>2440173</v>
          </cell>
          <cell r="B468" t="str">
            <v>TK. RISKI FARMA</v>
          </cell>
          <cell r="C468">
            <v>458152.27272727276</v>
          </cell>
        </row>
        <row r="469">
          <cell r="A469">
            <v>2440188</v>
          </cell>
          <cell r="B469" t="str">
            <v>TK. MITRA FARMAA</v>
          </cell>
          <cell r="C469">
            <v>350154.54545454547</v>
          </cell>
        </row>
        <row r="470">
          <cell r="A470">
            <v>2440189</v>
          </cell>
          <cell r="B470" t="str">
            <v>TK. SAFNI BARU</v>
          </cell>
          <cell r="C470">
            <v>283800.00000000006</v>
          </cell>
        </row>
        <row r="471">
          <cell r="A471">
            <v>2440201</v>
          </cell>
          <cell r="B471" t="str">
            <v>TK. SAFNI 2</v>
          </cell>
          <cell r="C471">
            <v>513688.63636363624</v>
          </cell>
        </row>
        <row r="472">
          <cell r="A472">
            <v>2440203</v>
          </cell>
          <cell r="B472" t="str">
            <v>TK. HANUAR HABIB</v>
          </cell>
          <cell r="C472">
            <v>377652.27272727271</v>
          </cell>
        </row>
        <row r="473">
          <cell r="A473">
            <v>2440207</v>
          </cell>
          <cell r="B473" t="str">
            <v>TK. CAHAYA BINTANG</v>
          </cell>
          <cell r="C473">
            <v>122226.13636363638</v>
          </cell>
        </row>
        <row r="474">
          <cell r="A474">
            <v>2440256</v>
          </cell>
          <cell r="B474" t="str">
            <v>TK. BELEMBUK</v>
          </cell>
          <cell r="C474">
            <v>211909.09090909088</v>
          </cell>
        </row>
        <row r="475">
          <cell r="A475">
            <v>2440261</v>
          </cell>
          <cell r="B475" t="str">
            <v>SEHAT BERSAMA</v>
          </cell>
          <cell r="C475">
            <v>2884599.5454545459</v>
          </cell>
        </row>
        <row r="476">
          <cell r="A476">
            <v>2440309</v>
          </cell>
          <cell r="B476" t="str">
            <v>APT. RAY</v>
          </cell>
          <cell r="C476">
            <v>755758.63636363624</v>
          </cell>
        </row>
        <row r="477">
          <cell r="A477">
            <v>2440327</v>
          </cell>
          <cell r="B477" t="str">
            <v>TK. TOLHAS PONSEL</v>
          </cell>
          <cell r="C477">
            <v>252000</v>
          </cell>
        </row>
        <row r="478">
          <cell r="A478">
            <v>2440336</v>
          </cell>
          <cell r="B478" t="str">
            <v>TK. OBAT SERASI</v>
          </cell>
          <cell r="C478">
            <v>943105.90909090918</v>
          </cell>
        </row>
        <row r="479">
          <cell r="A479">
            <v>2440371</v>
          </cell>
          <cell r="B479" t="str">
            <v>BIDAN HERIATI</v>
          </cell>
          <cell r="C479">
            <v>133200.00000000003</v>
          </cell>
        </row>
        <row r="480">
          <cell r="A480">
            <v>2440373</v>
          </cell>
          <cell r="B480" t="str">
            <v>TK. DOR MAR LUGA FARMA 2</v>
          </cell>
          <cell r="C480">
            <v>1903524.0909090904</v>
          </cell>
        </row>
        <row r="481">
          <cell r="A481">
            <v>2440375</v>
          </cell>
          <cell r="B481" t="str">
            <v>TK. RIAN BANGKO</v>
          </cell>
          <cell r="C481">
            <v>420181.36363636365</v>
          </cell>
        </row>
        <row r="482">
          <cell r="A482">
            <v>2440404</v>
          </cell>
          <cell r="B482" t="str">
            <v>ANJ TIKA</v>
          </cell>
          <cell r="C482">
            <v>48688.636363636368</v>
          </cell>
        </row>
        <row r="483">
          <cell r="A483">
            <v>2440405</v>
          </cell>
          <cell r="B483" t="str">
            <v>TK. AZ-ZAHRA</v>
          </cell>
          <cell r="C483">
            <v>238500</v>
          </cell>
        </row>
        <row r="484">
          <cell r="A484">
            <v>2440406</v>
          </cell>
          <cell r="B484" t="str">
            <v>TK. KHANSA</v>
          </cell>
          <cell r="C484">
            <v>295840.22727272729</v>
          </cell>
        </row>
        <row r="485">
          <cell r="A485">
            <v>2440422</v>
          </cell>
          <cell r="B485" t="str">
            <v>APT. DIFA JAYA</v>
          </cell>
          <cell r="C485">
            <v>815461.36363636353</v>
          </cell>
        </row>
        <row r="486">
          <cell r="A486">
            <v>2440431</v>
          </cell>
          <cell r="B486" t="str">
            <v>TK. BERKAH RISKI FARMA</v>
          </cell>
          <cell r="C486">
            <v>111000.00000000003</v>
          </cell>
        </row>
        <row r="487">
          <cell r="A487">
            <v>2440442</v>
          </cell>
          <cell r="B487" t="str">
            <v>TK. RAMBE</v>
          </cell>
          <cell r="C487">
            <v>3317209.9545454546</v>
          </cell>
        </row>
        <row r="488">
          <cell r="A488">
            <v>2440445</v>
          </cell>
          <cell r="B488" t="str">
            <v>TK. BERKAH</v>
          </cell>
          <cell r="C488">
            <v>368697.95454545453</v>
          </cell>
        </row>
        <row r="489">
          <cell r="A489">
            <v>2440447</v>
          </cell>
          <cell r="B489" t="str">
            <v>TK. R3 GEMILANG</v>
          </cell>
          <cell r="C489">
            <v>200804.54545454547</v>
          </cell>
        </row>
        <row r="490">
          <cell r="A490">
            <v>2440448</v>
          </cell>
          <cell r="B490" t="str">
            <v>TK. RIA FARMA</v>
          </cell>
          <cell r="C490">
            <v>644529.54545454553</v>
          </cell>
        </row>
        <row r="491">
          <cell r="A491">
            <v>2440452</v>
          </cell>
          <cell r="B491" t="str">
            <v>TK. SION</v>
          </cell>
          <cell r="C491">
            <v>299361.81818181818</v>
          </cell>
        </row>
        <row r="492">
          <cell r="A492">
            <v>2440454</v>
          </cell>
          <cell r="B492" t="str">
            <v>TK. DEBANG JAYA</v>
          </cell>
          <cell r="C492">
            <v>611052.27272727259</v>
          </cell>
        </row>
        <row r="493">
          <cell r="A493">
            <v>2440455</v>
          </cell>
          <cell r="B493" t="str">
            <v>DALANTA FARMA</v>
          </cell>
          <cell r="C493">
            <v>1134292.7272727273</v>
          </cell>
        </row>
        <row r="494">
          <cell r="A494">
            <v>2440457</v>
          </cell>
          <cell r="B494" t="str">
            <v>TK. TIO</v>
          </cell>
          <cell r="C494">
            <v>1159817.7272727273</v>
          </cell>
        </row>
        <row r="495">
          <cell r="A495">
            <v>2440458</v>
          </cell>
          <cell r="B495" t="str">
            <v>TK. ISTANA COSMETIK</v>
          </cell>
          <cell r="C495">
            <v>7213022.7272727275</v>
          </cell>
        </row>
        <row r="496">
          <cell r="A496">
            <v>2440459</v>
          </cell>
          <cell r="B496" t="str">
            <v>APT. MR MEDICA</v>
          </cell>
          <cell r="C496">
            <v>344352.27272727271</v>
          </cell>
        </row>
        <row r="497">
          <cell r="A497">
            <v>2440464</v>
          </cell>
          <cell r="B497" t="str">
            <v>ANCEL FARMA</v>
          </cell>
          <cell r="C497">
            <v>1016561.3636363635</v>
          </cell>
        </row>
        <row r="498">
          <cell r="A498">
            <v>2440465</v>
          </cell>
          <cell r="B498" t="str">
            <v>TK. AME</v>
          </cell>
          <cell r="C498">
            <v>1392195.9090909092</v>
          </cell>
        </row>
        <row r="499">
          <cell r="A499">
            <v>2440466</v>
          </cell>
          <cell r="B499" t="str">
            <v>APT. GIBRAN JAYA</v>
          </cell>
          <cell r="C499">
            <v>915068.86363636365</v>
          </cell>
        </row>
        <row r="500">
          <cell r="A500">
            <v>2440482</v>
          </cell>
          <cell r="B500" t="str">
            <v>TK. QUEEN</v>
          </cell>
          <cell r="C500">
            <v>2784525.0000000009</v>
          </cell>
        </row>
        <row r="501">
          <cell r="A501">
            <v>2440484</v>
          </cell>
          <cell r="B501" t="str">
            <v>APT. AISYAH</v>
          </cell>
          <cell r="C501">
            <v>223843.18181818182</v>
          </cell>
        </row>
        <row r="502">
          <cell r="A502">
            <v>2440485</v>
          </cell>
          <cell r="B502" t="str">
            <v>SANNIA KOSMETIK</v>
          </cell>
          <cell r="C502">
            <v>5326480.9090909092</v>
          </cell>
        </row>
        <row r="503">
          <cell r="A503">
            <v>2440488</v>
          </cell>
          <cell r="B503" t="str">
            <v>TK. MARLUGA</v>
          </cell>
          <cell r="C503">
            <v>750605.45454545459</v>
          </cell>
        </row>
        <row r="504">
          <cell r="A504">
            <v>2440491</v>
          </cell>
          <cell r="B504" t="str">
            <v>APT. RAFFA FARMA</v>
          </cell>
          <cell r="C504">
            <v>984812.49999999977</v>
          </cell>
        </row>
        <row r="505">
          <cell r="A505">
            <v>2440492</v>
          </cell>
          <cell r="B505" t="str">
            <v>RAJA COSMETIK</v>
          </cell>
          <cell r="C505">
            <v>1334138.1818181821</v>
          </cell>
        </row>
        <row r="506">
          <cell r="A506">
            <v>2520002</v>
          </cell>
          <cell r="B506" t="str">
            <v>SAMUDRA SWALAYAN</v>
          </cell>
          <cell r="C506">
            <v>4046167.2272727266</v>
          </cell>
        </row>
        <row r="507">
          <cell r="A507">
            <v>2520003</v>
          </cell>
          <cell r="B507" t="str">
            <v>SWALAYAN PELITA</v>
          </cell>
          <cell r="C507">
            <v>1405451.5909090908</v>
          </cell>
        </row>
        <row r="508">
          <cell r="A508">
            <v>2520004</v>
          </cell>
          <cell r="B508" t="str">
            <v>SWALAYAN PELITA 2</v>
          </cell>
          <cell r="C508">
            <v>668301.81818181812</v>
          </cell>
        </row>
        <row r="509">
          <cell r="A509">
            <v>2520007</v>
          </cell>
          <cell r="B509" t="str">
            <v>MM. AR RAHMAN</v>
          </cell>
          <cell r="C509">
            <v>1532082.0000000005</v>
          </cell>
        </row>
        <row r="510">
          <cell r="A510">
            <v>2520013</v>
          </cell>
          <cell r="B510" t="str">
            <v>TK. ULNABARU</v>
          </cell>
          <cell r="C510">
            <v>398550.00000000006</v>
          </cell>
        </row>
        <row r="511">
          <cell r="A511">
            <v>2530011</v>
          </cell>
          <cell r="B511" t="str">
            <v>GRS. BAGAN JAYA</v>
          </cell>
          <cell r="C511">
            <v>2156232.2727272725</v>
          </cell>
        </row>
        <row r="512">
          <cell r="A512">
            <v>2530018</v>
          </cell>
          <cell r="B512" t="str">
            <v>GRS. MUTIARA</v>
          </cell>
          <cell r="C512">
            <v>9340806.8181818184</v>
          </cell>
        </row>
        <row r="513">
          <cell r="A513">
            <v>2530022</v>
          </cell>
          <cell r="B513" t="str">
            <v>GRS. RAYA</v>
          </cell>
          <cell r="C513">
            <v>220343929.09090906</v>
          </cell>
        </row>
        <row r="514">
          <cell r="A514">
            <v>2530029</v>
          </cell>
          <cell r="B514" t="str">
            <v>USAHA BARU</v>
          </cell>
          <cell r="C514">
            <v>23888782.909090918</v>
          </cell>
        </row>
        <row r="515">
          <cell r="A515">
            <v>2530036</v>
          </cell>
          <cell r="B515" t="str">
            <v>TK. ANUGRAH</v>
          </cell>
          <cell r="C515">
            <v>6848749.0909090918</v>
          </cell>
        </row>
        <row r="516">
          <cell r="A516">
            <v>2540004</v>
          </cell>
          <cell r="B516" t="str">
            <v>APT. FARHAN</v>
          </cell>
          <cell r="C516">
            <v>585312.95454545459</v>
          </cell>
        </row>
        <row r="517">
          <cell r="A517">
            <v>2540013</v>
          </cell>
          <cell r="B517" t="str">
            <v>APT. SINAR</v>
          </cell>
          <cell r="C517">
            <v>275514.54545454547</v>
          </cell>
        </row>
        <row r="518">
          <cell r="A518">
            <v>2540022</v>
          </cell>
          <cell r="B518" t="str">
            <v>BINTANG TERANG</v>
          </cell>
          <cell r="C518">
            <v>367800</v>
          </cell>
        </row>
        <row r="519">
          <cell r="A519">
            <v>2540060</v>
          </cell>
          <cell r="B519" t="str">
            <v>TK. FARHAN PONSEL</v>
          </cell>
          <cell r="C519">
            <v>226800</v>
          </cell>
        </row>
        <row r="520">
          <cell r="A520">
            <v>2540065</v>
          </cell>
          <cell r="B520" t="str">
            <v>TK. HUTAPEA</v>
          </cell>
          <cell r="C520">
            <v>126000</v>
          </cell>
        </row>
        <row r="521">
          <cell r="A521">
            <v>2540088</v>
          </cell>
          <cell r="B521" t="str">
            <v>TK. OBAT PERMATA</v>
          </cell>
          <cell r="C521">
            <v>7691851.8181818174</v>
          </cell>
        </row>
        <row r="522">
          <cell r="A522">
            <v>2540090</v>
          </cell>
          <cell r="B522" t="str">
            <v>TK. OBAT RIZKI FARMA</v>
          </cell>
          <cell r="C522">
            <v>583506.81818181812</v>
          </cell>
        </row>
        <row r="523">
          <cell r="A523">
            <v>2540091</v>
          </cell>
          <cell r="B523" t="str">
            <v>TK. OBAT SEHAT</v>
          </cell>
          <cell r="C523">
            <v>366552.27272727265</v>
          </cell>
        </row>
        <row r="524">
          <cell r="A524">
            <v>2540095</v>
          </cell>
          <cell r="B524" t="str">
            <v>TK. OBAT SEHATI</v>
          </cell>
          <cell r="C524">
            <v>1308008.8636363633</v>
          </cell>
        </row>
        <row r="525">
          <cell r="A525">
            <v>2540131</v>
          </cell>
          <cell r="B525" t="str">
            <v>UD. FAMILI</v>
          </cell>
          <cell r="C525">
            <v>578168.18181818188</v>
          </cell>
        </row>
        <row r="526">
          <cell r="A526">
            <v>2540136</v>
          </cell>
          <cell r="B526" t="str">
            <v>TK. ISTANA COSMETIC</v>
          </cell>
          <cell r="C526">
            <v>33793522.909090906</v>
          </cell>
        </row>
        <row r="527">
          <cell r="A527">
            <v>2540150</v>
          </cell>
          <cell r="B527" t="str">
            <v>TK. PRIMA MEDIKA</v>
          </cell>
          <cell r="C527">
            <v>2957157.2727272734</v>
          </cell>
        </row>
        <row r="528">
          <cell r="A528">
            <v>2540184</v>
          </cell>
          <cell r="B528" t="str">
            <v>TK. HIDUP BARU</v>
          </cell>
          <cell r="C528">
            <v>141272.72727272726</v>
          </cell>
        </row>
        <row r="529">
          <cell r="A529">
            <v>2540202</v>
          </cell>
          <cell r="B529" t="str">
            <v>TK. DOA MAMA</v>
          </cell>
          <cell r="C529">
            <v>115000</v>
          </cell>
        </row>
        <row r="530">
          <cell r="A530">
            <v>2540209</v>
          </cell>
          <cell r="B530" t="str">
            <v>TK. JAKARTA</v>
          </cell>
          <cell r="C530">
            <v>587909.09090909082</v>
          </cell>
        </row>
        <row r="531">
          <cell r="A531">
            <v>2540253</v>
          </cell>
          <cell r="B531" t="str">
            <v>TK. BERY</v>
          </cell>
          <cell r="C531">
            <v>814714.77272727271</v>
          </cell>
        </row>
        <row r="532">
          <cell r="A532">
            <v>2540254</v>
          </cell>
          <cell r="B532" t="str">
            <v>TK. JAYA FARMA BARU 2</v>
          </cell>
          <cell r="C532">
            <v>517244.31818181806</v>
          </cell>
        </row>
        <row r="533">
          <cell r="A533">
            <v>2540271</v>
          </cell>
          <cell r="B533" t="str">
            <v>UD. BOBOY</v>
          </cell>
          <cell r="C533">
            <v>252000</v>
          </cell>
        </row>
        <row r="534">
          <cell r="A534">
            <v>2540277</v>
          </cell>
          <cell r="B534" t="str">
            <v>TK. MEY FARMA</v>
          </cell>
          <cell r="C534">
            <v>690586.36363636365</v>
          </cell>
        </row>
        <row r="535">
          <cell r="A535">
            <v>2540326</v>
          </cell>
          <cell r="B535" t="str">
            <v>TK. NORA YOSEVIN</v>
          </cell>
          <cell r="C535">
            <v>794967.27272727271</v>
          </cell>
        </row>
        <row r="536">
          <cell r="A536">
            <v>2540343</v>
          </cell>
          <cell r="B536" t="str">
            <v>TK. SUKAJADI</v>
          </cell>
          <cell r="C536">
            <v>9181947.2727272734</v>
          </cell>
        </row>
        <row r="537">
          <cell r="A537">
            <v>2540347</v>
          </cell>
          <cell r="B537" t="str">
            <v>TK. REZEKY FARMA</v>
          </cell>
          <cell r="C537">
            <v>1339083.4090909092</v>
          </cell>
        </row>
        <row r="538">
          <cell r="A538">
            <v>2540371</v>
          </cell>
          <cell r="B538" t="str">
            <v>TK. RIAN</v>
          </cell>
          <cell r="C538">
            <v>6041203.0909090927</v>
          </cell>
        </row>
        <row r="539">
          <cell r="A539">
            <v>2540429</v>
          </cell>
          <cell r="B539" t="str">
            <v>TK. OBAT LIA</v>
          </cell>
          <cell r="C539">
            <v>1575526.363636364</v>
          </cell>
        </row>
        <row r="540">
          <cell r="A540">
            <v>2540433</v>
          </cell>
          <cell r="B540" t="str">
            <v>BINTANG FARMA</v>
          </cell>
          <cell r="C540">
            <v>155526.13636363641</v>
          </cell>
        </row>
        <row r="541">
          <cell r="A541">
            <v>2540444</v>
          </cell>
          <cell r="B541" t="str">
            <v>TK. OBAT MELATI</v>
          </cell>
          <cell r="C541">
            <v>2336358.4090909092</v>
          </cell>
        </row>
        <row r="542">
          <cell r="A542">
            <v>2540536</v>
          </cell>
          <cell r="B542" t="str">
            <v>TK. RENI PUJUD</v>
          </cell>
          <cell r="C542">
            <v>167862.27272727276</v>
          </cell>
        </row>
        <row r="543">
          <cell r="A543">
            <v>2540537</v>
          </cell>
          <cell r="B543" t="str">
            <v>TK. AZANA COSMETIK</v>
          </cell>
          <cell r="C543">
            <v>927102.27272727247</v>
          </cell>
        </row>
        <row r="544">
          <cell r="A544">
            <v>2540547</v>
          </cell>
          <cell r="B544" t="str">
            <v>TK. REZEQI MART</v>
          </cell>
          <cell r="C544">
            <v>129600.00000000001</v>
          </cell>
        </row>
        <row r="545">
          <cell r="A545">
            <v>2540559</v>
          </cell>
          <cell r="B545" t="str">
            <v>TK. SUGI JAYA</v>
          </cell>
          <cell r="C545">
            <v>366552.27272727265</v>
          </cell>
        </row>
        <row r="546">
          <cell r="A546">
            <v>2540561</v>
          </cell>
          <cell r="B546" t="str">
            <v>TK. OBAT ASIA</v>
          </cell>
          <cell r="C546">
            <v>688704.54545454541</v>
          </cell>
        </row>
        <row r="547">
          <cell r="A547">
            <v>2540562</v>
          </cell>
          <cell r="B547" t="str">
            <v>TK. CAHAYA KASIH</v>
          </cell>
          <cell r="C547">
            <v>141272.72727272726</v>
          </cell>
        </row>
        <row r="548">
          <cell r="A548">
            <v>2540565</v>
          </cell>
          <cell r="B548" t="str">
            <v>APT. MELATI</v>
          </cell>
          <cell r="C548">
            <v>1117593.8181818181</v>
          </cell>
        </row>
        <row r="549">
          <cell r="A549">
            <v>2540569</v>
          </cell>
          <cell r="B549" t="str">
            <v>TK. JIOZA MART</v>
          </cell>
          <cell r="C549">
            <v>1271454.5454545454</v>
          </cell>
        </row>
        <row r="550">
          <cell r="A550">
            <v>2540579</v>
          </cell>
          <cell r="B550" t="str">
            <v>TK. PEBI</v>
          </cell>
          <cell r="C550">
            <v>141272.72727272726</v>
          </cell>
        </row>
        <row r="551">
          <cell r="A551">
            <v>2540583</v>
          </cell>
          <cell r="B551" t="str">
            <v>TK. PELITA FARMA</v>
          </cell>
          <cell r="C551">
            <v>809018.18181818177</v>
          </cell>
        </row>
        <row r="552">
          <cell r="A552">
            <v>2540584</v>
          </cell>
          <cell r="B552" t="str">
            <v>APT. SINEMBAH</v>
          </cell>
          <cell r="C552">
            <v>573214.09090909082</v>
          </cell>
        </row>
        <row r="553">
          <cell r="A553">
            <v>2540589</v>
          </cell>
          <cell r="B553" t="str">
            <v>APT. RATU FARMA</v>
          </cell>
          <cell r="C553">
            <v>1614963.1818181816</v>
          </cell>
        </row>
        <row r="554">
          <cell r="A554">
            <v>2540590</v>
          </cell>
          <cell r="B554" t="str">
            <v>TK. YOHANA COSMETIC</v>
          </cell>
          <cell r="C554">
            <v>1719100.9090909092</v>
          </cell>
        </row>
        <row r="555">
          <cell r="A555">
            <v>2540595</v>
          </cell>
          <cell r="B555" t="str">
            <v>TK. OBAT RIAU JAYA</v>
          </cell>
          <cell r="C555">
            <v>415341.81818181812</v>
          </cell>
        </row>
        <row r="556">
          <cell r="A556">
            <v>2540599</v>
          </cell>
          <cell r="B556" t="str">
            <v>TK. OBAT SEHAT FARMA</v>
          </cell>
          <cell r="C556">
            <v>123300.00000000001</v>
          </cell>
        </row>
        <row r="557">
          <cell r="A557">
            <v>2540601</v>
          </cell>
          <cell r="B557" t="str">
            <v>TK. FAUZI</v>
          </cell>
          <cell r="C557">
            <v>9331419</v>
          </cell>
        </row>
        <row r="558">
          <cell r="A558">
            <v>2540606</v>
          </cell>
          <cell r="B558" t="str">
            <v>TK. VANO</v>
          </cell>
          <cell r="C558">
            <v>114905.45454545456</v>
          </cell>
        </row>
        <row r="559">
          <cell r="A559">
            <v>2540616</v>
          </cell>
          <cell r="B559" t="str">
            <v>RIFFI KOSMETIK</v>
          </cell>
          <cell r="C559">
            <v>235219.09090909091</v>
          </cell>
        </row>
        <row r="560">
          <cell r="A560">
            <v>2540622</v>
          </cell>
          <cell r="B560" t="str">
            <v>TK. RAFHAMARET</v>
          </cell>
          <cell r="C560">
            <v>780268.63636363647</v>
          </cell>
        </row>
        <row r="561">
          <cell r="A561">
            <v>2620002</v>
          </cell>
          <cell r="B561" t="str">
            <v>PT. BERKAT BINA KARYA BERSAMA</v>
          </cell>
          <cell r="C561">
            <v>8012560.454545456</v>
          </cell>
        </row>
        <row r="562">
          <cell r="A562">
            <v>2620003</v>
          </cell>
          <cell r="B562" t="str">
            <v>TK. NARBUJU MART</v>
          </cell>
          <cell r="C562">
            <v>1401947.0454545456</v>
          </cell>
        </row>
        <row r="563">
          <cell r="A563">
            <v>2620004</v>
          </cell>
          <cell r="B563" t="str">
            <v>PEPSI JAYA</v>
          </cell>
          <cell r="C563">
            <v>2392336.3636363638</v>
          </cell>
        </row>
        <row r="564">
          <cell r="A564">
            <v>2620008</v>
          </cell>
          <cell r="B564" t="str">
            <v>GLORI MART</v>
          </cell>
          <cell r="C564">
            <v>458700.00000000006</v>
          </cell>
        </row>
        <row r="565">
          <cell r="A565">
            <v>2620011</v>
          </cell>
          <cell r="B565" t="str">
            <v>WE WE MART</v>
          </cell>
          <cell r="C565">
            <v>211909.09090909091</v>
          </cell>
        </row>
        <row r="566">
          <cell r="A566">
            <v>2620012</v>
          </cell>
          <cell r="B566" t="str">
            <v>MM. MIDO</v>
          </cell>
          <cell r="C566">
            <v>226800</v>
          </cell>
        </row>
        <row r="567">
          <cell r="A567">
            <v>2630002</v>
          </cell>
          <cell r="B567" t="str">
            <v>GRS. LUCY COSMETIC</v>
          </cell>
          <cell r="C567">
            <v>158931.81818181818</v>
          </cell>
        </row>
        <row r="568">
          <cell r="A568">
            <v>2640049</v>
          </cell>
          <cell r="B568" t="str">
            <v>BINTANG HARMONY</v>
          </cell>
          <cell r="C568">
            <v>149395.90909090909</v>
          </cell>
        </row>
        <row r="569">
          <cell r="A569">
            <v>2640057</v>
          </cell>
          <cell r="B569" t="str">
            <v>CV. ADHIMUKTI JAYA LESTARI</v>
          </cell>
          <cell r="C569">
            <v>113400</v>
          </cell>
        </row>
        <row r="570">
          <cell r="A570">
            <v>2640111</v>
          </cell>
          <cell r="B570" t="str">
            <v>TK. ANTARA</v>
          </cell>
          <cell r="C570">
            <v>113000</v>
          </cell>
        </row>
        <row r="571">
          <cell r="A571">
            <v>2640162</v>
          </cell>
          <cell r="B571" t="str">
            <v>TK. RATU COSMETIC</v>
          </cell>
          <cell r="C571">
            <v>2799928.9090909092</v>
          </cell>
        </row>
        <row r="572">
          <cell r="A572">
            <v>2640176</v>
          </cell>
          <cell r="B572" t="str">
            <v>TK. LOVILLEA</v>
          </cell>
          <cell r="C572">
            <v>1033056.818181818</v>
          </cell>
        </row>
        <row r="573">
          <cell r="A573">
            <v>2640184</v>
          </cell>
          <cell r="B573" t="str">
            <v>TK. GLAXI</v>
          </cell>
          <cell r="C573">
            <v>843370.63636363624</v>
          </cell>
        </row>
        <row r="574">
          <cell r="A574">
            <v>2640213</v>
          </cell>
          <cell r="B574" t="str">
            <v>TK. TOBAKU HOUSE</v>
          </cell>
          <cell r="C574">
            <v>827175.00000000012</v>
          </cell>
        </row>
        <row r="575">
          <cell r="A575">
            <v>2640214</v>
          </cell>
          <cell r="B575" t="str">
            <v>TK. KASIH FARMA</v>
          </cell>
          <cell r="C575">
            <v>3348546.8181818193</v>
          </cell>
        </row>
        <row r="576">
          <cell r="A576">
            <v>2640222</v>
          </cell>
          <cell r="B576" t="str">
            <v>TK. ORLIN 2</v>
          </cell>
          <cell r="C576">
            <v>382152.27272727271</v>
          </cell>
        </row>
        <row r="577">
          <cell r="A577">
            <v>2640237</v>
          </cell>
          <cell r="B577" t="str">
            <v>TK. SANDI JAYA</v>
          </cell>
          <cell r="C577">
            <v>1146571.0909090906</v>
          </cell>
        </row>
        <row r="578">
          <cell r="A578">
            <v>2640244</v>
          </cell>
          <cell r="B578" t="str">
            <v>TK. THAYO SWALAYAN</v>
          </cell>
          <cell r="C578">
            <v>5765878.6363636376</v>
          </cell>
        </row>
        <row r="579">
          <cell r="A579">
            <v>2730011</v>
          </cell>
          <cell r="B579" t="str">
            <v>CV. TRISAKTI JAYA</v>
          </cell>
          <cell r="C579">
            <v>27222006.272727273</v>
          </cell>
        </row>
        <row r="580">
          <cell r="A580">
            <v>3431659</v>
          </cell>
          <cell r="B580" t="str">
            <v>SYMPHONY COSMETIC 2</v>
          </cell>
          <cell r="C580">
            <v>3227826.8181818184</v>
          </cell>
        </row>
        <row r="581">
          <cell r="A581">
            <v>3431677</v>
          </cell>
          <cell r="B581" t="str">
            <v>TOKO PURNAMA</v>
          </cell>
          <cell r="C581">
            <v>27256581.81818182</v>
          </cell>
        </row>
        <row r="582">
          <cell r="A582">
            <v>3431701</v>
          </cell>
          <cell r="B582" t="str">
            <v>TO. FITRAH FARMA</v>
          </cell>
          <cell r="C582">
            <v>407311.40909090912</v>
          </cell>
        </row>
        <row r="583">
          <cell r="A583">
            <v>3431730</v>
          </cell>
          <cell r="B583" t="str">
            <v>APT. SERUMPUN</v>
          </cell>
          <cell r="C583">
            <v>-182643.03500000003</v>
          </cell>
        </row>
        <row r="584">
          <cell r="A584">
            <v>3431747</v>
          </cell>
          <cell r="B584" t="str">
            <v>TOKO NELLY</v>
          </cell>
          <cell r="C584">
            <v>690479.99999999988</v>
          </cell>
        </row>
        <row r="585">
          <cell r="A585">
            <v>3431749</v>
          </cell>
          <cell r="B585" t="str">
            <v>SAROHA FARMA</v>
          </cell>
          <cell r="C585">
            <v>3128757.0454545449</v>
          </cell>
        </row>
        <row r="586">
          <cell r="A586">
            <v>3431768</v>
          </cell>
          <cell r="B586" t="str">
            <v>TOKO HIDAYAH BEAUTY</v>
          </cell>
          <cell r="C586">
            <v>-234000</v>
          </cell>
        </row>
        <row r="587">
          <cell r="A587">
            <v>3431819</v>
          </cell>
          <cell r="B587" t="str">
            <v>AYRA KOSMETIK</v>
          </cell>
          <cell r="C587">
            <v>-7450000</v>
          </cell>
        </row>
        <row r="588">
          <cell r="A588">
            <v>3431820</v>
          </cell>
          <cell r="B588" t="str">
            <v>APT. REBEN JAYA</v>
          </cell>
          <cell r="C588">
            <v>2084937.9545454551</v>
          </cell>
        </row>
        <row r="589">
          <cell r="A589">
            <v>3431831</v>
          </cell>
          <cell r="B589" t="str">
            <v>HAWA COSMETIC</v>
          </cell>
          <cell r="C589">
            <v>8694305.4545454569</v>
          </cell>
        </row>
        <row r="590">
          <cell r="A590">
            <v>3431844</v>
          </cell>
          <cell r="B590" t="str">
            <v>TOSERBA L &amp; L</v>
          </cell>
          <cell r="C590">
            <v>829956.40909090894</v>
          </cell>
        </row>
        <row r="591">
          <cell r="A591">
            <v>3431846</v>
          </cell>
          <cell r="B591" t="str">
            <v>BINTANG ABADI U. BATU</v>
          </cell>
          <cell r="C591">
            <v>25034983.636363644</v>
          </cell>
        </row>
        <row r="592">
          <cell r="A592">
            <v>3431871</v>
          </cell>
          <cell r="B592" t="str">
            <v>ALANA BEAUTY</v>
          </cell>
          <cell r="C592">
            <v>21759217.63636364</v>
          </cell>
        </row>
        <row r="593">
          <cell r="A593">
            <v>3431874</v>
          </cell>
          <cell r="B593" t="str">
            <v>TOKO KUANSING</v>
          </cell>
          <cell r="C593">
            <v>6250722.5454545468</v>
          </cell>
        </row>
        <row r="594">
          <cell r="A594">
            <v>3431926</v>
          </cell>
          <cell r="B594" t="str">
            <v>FH MART</v>
          </cell>
          <cell r="C594">
            <v>394271.18181818182</v>
          </cell>
        </row>
        <row r="595">
          <cell r="A595">
            <v>3431962</v>
          </cell>
          <cell r="B595" t="str">
            <v>ALIF</v>
          </cell>
          <cell r="C595">
            <v>174068.18181818185</v>
          </cell>
        </row>
        <row r="596">
          <cell r="A596">
            <v>3431978</v>
          </cell>
          <cell r="B596" t="str">
            <v>APT. MANJUR MANDIR</v>
          </cell>
          <cell r="C596">
            <v>812912.72727272718</v>
          </cell>
        </row>
        <row r="597">
          <cell r="A597">
            <v>3432014</v>
          </cell>
          <cell r="B597" t="str">
            <v>CANN BEAUTY STORE</v>
          </cell>
          <cell r="C597">
            <v>7037494.0909090918</v>
          </cell>
        </row>
        <row r="598">
          <cell r="A598">
            <v>3432026</v>
          </cell>
          <cell r="B598" t="str">
            <v>APT. AISYAH</v>
          </cell>
          <cell r="C598">
            <v>185420.45454545453</v>
          </cell>
        </row>
        <row r="599">
          <cell r="A599">
            <v>3432034</v>
          </cell>
          <cell r="B599" t="str">
            <v>ANEKA COSMETIK</v>
          </cell>
          <cell r="C599">
            <v>1824484.0909090908</v>
          </cell>
        </row>
        <row r="600">
          <cell r="A600">
            <v>3432067</v>
          </cell>
          <cell r="B600" t="str">
            <v>APT. MARWAH</v>
          </cell>
          <cell r="C600">
            <v>423818.18181818171</v>
          </cell>
        </row>
        <row r="601">
          <cell r="A601">
            <v>3432089</v>
          </cell>
          <cell r="B601" t="str">
            <v>TOKO FORTUN</v>
          </cell>
          <cell r="C601">
            <v>403838.18181818177</v>
          </cell>
        </row>
        <row r="602">
          <cell r="A602">
            <v>3432091</v>
          </cell>
          <cell r="B602" t="str">
            <v>APT. CAHAYA</v>
          </cell>
          <cell r="C602">
            <v>890353.63636363612</v>
          </cell>
        </row>
        <row r="603">
          <cell r="A603">
            <v>3432096</v>
          </cell>
          <cell r="B603" t="str">
            <v>APT. 3J FARMA</v>
          </cell>
          <cell r="C603">
            <v>103937.09090909091</v>
          </cell>
        </row>
        <row r="604">
          <cell r="A604">
            <v>3432103</v>
          </cell>
          <cell r="B604" t="str">
            <v>BAZ MART 4</v>
          </cell>
          <cell r="C604">
            <v>107502.95454545454</v>
          </cell>
        </row>
        <row r="605">
          <cell r="A605">
            <v>3432118</v>
          </cell>
          <cell r="B605" t="str">
            <v>MY COSMETIK 2</v>
          </cell>
          <cell r="C605">
            <v>9048708.6363636367</v>
          </cell>
        </row>
        <row r="606">
          <cell r="A606">
            <v>3432120</v>
          </cell>
          <cell r="B606" t="str">
            <v>FB MART</v>
          </cell>
          <cell r="C606">
            <v>1246915.2272727271</v>
          </cell>
        </row>
        <row r="607">
          <cell r="A607">
            <v>3432138</v>
          </cell>
          <cell r="B607" t="str">
            <v>ELLENA BEAUTY</v>
          </cell>
          <cell r="C607">
            <v>33602570.454545453</v>
          </cell>
        </row>
        <row r="608">
          <cell r="A608">
            <v>3432140</v>
          </cell>
          <cell r="B608" t="str">
            <v>NAIRA MART 2</v>
          </cell>
          <cell r="C608">
            <v>169384.09090909091</v>
          </cell>
        </row>
        <row r="609">
          <cell r="A609">
            <v>3432143</v>
          </cell>
          <cell r="B609" t="str">
            <v>TOKO OBAT ARUMI FARMA</v>
          </cell>
          <cell r="C609">
            <v>967215.818181818</v>
          </cell>
        </row>
        <row r="610">
          <cell r="A610">
            <v>3432148</v>
          </cell>
          <cell r="B610" t="str">
            <v>MUARA KOSMETIK</v>
          </cell>
          <cell r="C610">
            <v>-11391099.545454547</v>
          </cell>
        </row>
        <row r="611">
          <cell r="A611">
            <v>3432149</v>
          </cell>
          <cell r="B611" t="str">
            <v>ONE BEAUTY</v>
          </cell>
          <cell r="C611">
            <v>320661.13636363635</v>
          </cell>
        </row>
        <row r="612">
          <cell r="A612">
            <v>3432203</v>
          </cell>
          <cell r="B612" t="str">
            <v>APT. NAMBERSA</v>
          </cell>
          <cell r="C612">
            <v>543849.54545454541</v>
          </cell>
        </row>
        <row r="613">
          <cell r="A613">
            <v>3432216</v>
          </cell>
          <cell r="B613" t="str">
            <v>APT. SUCI</v>
          </cell>
          <cell r="C613">
            <v>108452.04545454547</v>
          </cell>
        </row>
        <row r="614">
          <cell r="A614">
            <v>10000001</v>
          </cell>
          <cell r="B614" t="str">
            <v>AZ ZAHRA, TK</v>
          </cell>
          <cell r="C614">
            <v>723704.5454545453</v>
          </cell>
        </row>
        <row r="615">
          <cell r="A615">
            <v>10000029</v>
          </cell>
          <cell r="B615" t="str">
            <v>GROSMART PRIMA</v>
          </cell>
          <cell r="C615">
            <v>1169241.1363636362</v>
          </cell>
        </row>
        <row r="616">
          <cell r="A616">
            <v>10000030</v>
          </cell>
          <cell r="B616" t="str">
            <v>MITRA 7500 BATU AJI</v>
          </cell>
          <cell r="C616">
            <v>222504.5454545455</v>
          </cell>
        </row>
        <row r="617">
          <cell r="A617">
            <v>10000031</v>
          </cell>
          <cell r="B617" t="str">
            <v>MURNI COSMETIC</v>
          </cell>
          <cell r="C617">
            <v>2270307.2727272725</v>
          </cell>
        </row>
        <row r="618">
          <cell r="A618">
            <v>10000032</v>
          </cell>
          <cell r="B618" t="str">
            <v>CV. VICTORIA AVIARI</v>
          </cell>
          <cell r="C618">
            <v>3570670.3636363652</v>
          </cell>
        </row>
        <row r="619">
          <cell r="A619">
            <v>10000036</v>
          </cell>
          <cell r="B619" t="str">
            <v>TOP 100 SEJATI</v>
          </cell>
          <cell r="C619">
            <v>2914363.6363636362</v>
          </cell>
        </row>
        <row r="620">
          <cell r="A620">
            <v>10000100</v>
          </cell>
          <cell r="B620" t="str">
            <v>SUPERMURAH 8000 CIKITSU</v>
          </cell>
          <cell r="C620">
            <v>6321973.0909090927</v>
          </cell>
        </row>
        <row r="621">
          <cell r="A621">
            <v>10000103</v>
          </cell>
          <cell r="B621" t="str">
            <v>BENGKONG INDAH</v>
          </cell>
          <cell r="C621">
            <v>6180390.409090911</v>
          </cell>
        </row>
        <row r="622">
          <cell r="A622">
            <v>10000104</v>
          </cell>
          <cell r="B622" t="str">
            <v>GOGO SUPERMARKET BENGKONG</v>
          </cell>
          <cell r="C622">
            <v>4761333.9545454541</v>
          </cell>
        </row>
        <row r="623">
          <cell r="A623">
            <v>10000106</v>
          </cell>
          <cell r="B623" t="str">
            <v>JODOH CENTER BENGKONG</v>
          </cell>
          <cell r="C623">
            <v>1495716.8181818181</v>
          </cell>
        </row>
        <row r="624">
          <cell r="A624">
            <v>10000110</v>
          </cell>
          <cell r="B624" t="str">
            <v>TOP 100 BENGKONG</v>
          </cell>
          <cell r="C624">
            <v>1957499.9999999998</v>
          </cell>
        </row>
        <row r="625">
          <cell r="A625">
            <v>10000112</v>
          </cell>
          <cell r="B625" t="str">
            <v>GOGO SUPERMARKET GC</v>
          </cell>
          <cell r="C625">
            <v>7152613.0909090918</v>
          </cell>
        </row>
        <row r="626">
          <cell r="A626">
            <v>10000113</v>
          </cell>
          <cell r="B626" t="str">
            <v>TOP 100 GRAND BATAM MALL</v>
          </cell>
          <cell r="C626">
            <v>4223204.3181818184</v>
          </cell>
        </row>
        <row r="627">
          <cell r="A627">
            <v>10000164</v>
          </cell>
          <cell r="B627" t="str">
            <v>ECO MART</v>
          </cell>
          <cell r="C627">
            <v>5663736.1363636376</v>
          </cell>
        </row>
        <row r="628">
          <cell r="A628">
            <v>10000193</v>
          </cell>
          <cell r="B628" t="str">
            <v>APOTEK A24</v>
          </cell>
          <cell r="C628">
            <v>129870</v>
          </cell>
        </row>
        <row r="629">
          <cell r="A629">
            <v>10000299</v>
          </cell>
          <cell r="B629" t="str">
            <v>ELLY KOSMETIK</v>
          </cell>
          <cell r="C629">
            <v>752452.72727272718</v>
          </cell>
        </row>
        <row r="630">
          <cell r="A630">
            <v>10000300</v>
          </cell>
          <cell r="B630" t="str">
            <v>GLOBAL FASHION</v>
          </cell>
          <cell r="C630">
            <v>310699.09090909094</v>
          </cell>
        </row>
        <row r="631">
          <cell r="A631">
            <v>10000301</v>
          </cell>
          <cell r="B631" t="str">
            <v>QUIN COSMETIC</v>
          </cell>
          <cell r="C631">
            <v>867261.81818181812</v>
          </cell>
        </row>
        <row r="632">
          <cell r="A632">
            <v>10000302</v>
          </cell>
          <cell r="B632" t="str">
            <v>VICTORIA</v>
          </cell>
          <cell r="C632">
            <v>1149208.6363636362</v>
          </cell>
        </row>
        <row r="633">
          <cell r="A633">
            <v>10000309</v>
          </cell>
          <cell r="B633" t="str">
            <v>JODOH CENTER BALOI</v>
          </cell>
          <cell r="C633">
            <v>2827818.4090909096</v>
          </cell>
        </row>
        <row r="634">
          <cell r="A634">
            <v>10000311</v>
          </cell>
          <cell r="B634" t="str">
            <v>ZERO TOTAL (UTAMA 89)</v>
          </cell>
          <cell r="C634">
            <v>641318.45454545459</v>
          </cell>
        </row>
        <row r="635">
          <cell r="A635">
            <v>10000347</v>
          </cell>
          <cell r="B635" t="str">
            <v>SAN MART BP</v>
          </cell>
          <cell r="C635">
            <v>7716050.0000000037</v>
          </cell>
        </row>
        <row r="636">
          <cell r="A636">
            <v>10000389</v>
          </cell>
          <cell r="B636" t="str">
            <v>AFIFAH STORE</v>
          </cell>
          <cell r="C636">
            <v>2591500</v>
          </cell>
        </row>
        <row r="637">
          <cell r="A637">
            <v>10000395</v>
          </cell>
          <cell r="B637" t="str">
            <v>AKYLA BEAUTY KDA</v>
          </cell>
          <cell r="C637">
            <v>222000.00000000003</v>
          </cell>
        </row>
        <row r="638">
          <cell r="A638">
            <v>10000397</v>
          </cell>
          <cell r="B638" t="str">
            <v>TANCOS KOSMETIK</v>
          </cell>
          <cell r="C638">
            <v>23102341.636363644</v>
          </cell>
        </row>
        <row r="639">
          <cell r="A639">
            <v>10000398</v>
          </cell>
          <cell r="B639" t="str">
            <v>TINA COSMETIC</v>
          </cell>
          <cell r="C639">
            <v>1173350.9090909089</v>
          </cell>
        </row>
        <row r="640">
          <cell r="A640">
            <v>10000403</v>
          </cell>
          <cell r="B640" t="str">
            <v>SUSI KOSMETIK</v>
          </cell>
          <cell r="C640">
            <v>1991644.5000000007</v>
          </cell>
        </row>
        <row r="641">
          <cell r="A641">
            <v>10000418</v>
          </cell>
          <cell r="B641" t="str">
            <v>APOTEK R24 BOTANIA</v>
          </cell>
          <cell r="C641">
            <v>435097.72727272724</v>
          </cell>
        </row>
        <row r="642">
          <cell r="A642">
            <v>10000443</v>
          </cell>
          <cell r="B642" t="str">
            <v>HANIFAH</v>
          </cell>
          <cell r="C642">
            <v>15163150.90909091</v>
          </cell>
        </row>
        <row r="643">
          <cell r="A643">
            <v>10000489</v>
          </cell>
          <cell r="B643" t="str">
            <v>SERBA 8000 CENTER PARK</v>
          </cell>
          <cell r="C643">
            <v>37084.090909090912</v>
          </cell>
        </row>
        <row r="644">
          <cell r="A644">
            <v>10000491</v>
          </cell>
          <cell r="B644" t="str">
            <v>SERBA MURAH</v>
          </cell>
          <cell r="C644">
            <v>913227.27272727259</v>
          </cell>
        </row>
        <row r="645">
          <cell r="A645">
            <v>10000495</v>
          </cell>
          <cell r="B645" t="str">
            <v>SS HOME STORE</v>
          </cell>
          <cell r="C645">
            <v>1683777.6818181823</v>
          </cell>
        </row>
        <row r="646">
          <cell r="A646">
            <v>10000559</v>
          </cell>
          <cell r="B646" t="str">
            <v>SAIFUL, TK</v>
          </cell>
          <cell r="C646">
            <v>37084.090909090912</v>
          </cell>
        </row>
        <row r="647">
          <cell r="A647">
            <v>10000628</v>
          </cell>
          <cell r="B647" t="str">
            <v>CASH</v>
          </cell>
          <cell r="C647">
            <v>1458929.3636363642</v>
          </cell>
        </row>
        <row r="648">
          <cell r="A648">
            <v>10000634</v>
          </cell>
          <cell r="B648" t="str">
            <v>BPS</v>
          </cell>
          <cell r="C648">
            <v>2998392.2727272739</v>
          </cell>
        </row>
        <row r="649">
          <cell r="A649">
            <v>10000644</v>
          </cell>
          <cell r="B649" t="str">
            <v>JC SUPERMARKET OBM</v>
          </cell>
          <cell r="C649">
            <v>2294116.3636363638</v>
          </cell>
        </row>
        <row r="650">
          <cell r="A650">
            <v>10000654</v>
          </cell>
          <cell r="B650" t="str">
            <v>TOP 100 NIAGA MAS</v>
          </cell>
          <cell r="C650">
            <v>5691174.5454545468</v>
          </cell>
        </row>
        <row r="651">
          <cell r="A651">
            <v>10000655</v>
          </cell>
          <cell r="B651" t="str">
            <v>PHALOSA, TK</v>
          </cell>
          <cell r="C651">
            <v>4607692.2727272743</v>
          </cell>
        </row>
        <row r="652">
          <cell r="A652">
            <v>10000657</v>
          </cell>
          <cell r="B652" t="str">
            <v>KALUNA</v>
          </cell>
          <cell r="C652">
            <v>6822111.5454545459</v>
          </cell>
        </row>
        <row r="653">
          <cell r="A653">
            <v>10000808</v>
          </cell>
          <cell r="B653" t="str">
            <v>EVA</v>
          </cell>
          <cell r="C653">
            <v>50759118.363636345</v>
          </cell>
        </row>
        <row r="654">
          <cell r="A654">
            <v>10000809</v>
          </cell>
          <cell r="B654" t="str">
            <v>NEW D QUEEN SPM</v>
          </cell>
          <cell r="C654">
            <v>87829.090909090912</v>
          </cell>
        </row>
        <row r="655">
          <cell r="A655">
            <v>10000822</v>
          </cell>
          <cell r="B655" t="str">
            <v>SAMPLE</v>
          </cell>
          <cell r="C655">
            <v>-1.1641532182693481E-10</v>
          </cell>
        </row>
        <row r="656">
          <cell r="A656">
            <v>10000823</v>
          </cell>
          <cell r="B656" t="str">
            <v>TIRTO</v>
          </cell>
          <cell r="C656">
            <v>109393310.00000001</v>
          </cell>
        </row>
        <row r="657">
          <cell r="A657">
            <v>10000827</v>
          </cell>
          <cell r="B657" t="str">
            <v>CV DUTA SEMBAKO MAKMUR</v>
          </cell>
          <cell r="C657">
            <v>5035769.3181818193</v>
          </cell>
        </row>
        <row r="658">
          <cell r="A658">
            <v>10000830</v>
          </cell>
          <cell r="B658" t="str">
            <v>GROS BOTANIA</v>
          </cell>
          <cell r="C658">
            <v>1642989.1363636362</v>
          </cell>
        </row>
        <row r="659">
          <cell r="A659">
            <v>10000831</v>
          </cell>
          <cell r="B659" t="str">
            <v>GLORY MART</v>
          </cell>
          <cell r="C659">
            <v>-20661.13636363636</v>
          </cell>
        </row>
        <row r="660">
          <cell r="A660">
            <v>10000842</v>
          </cell>
          <cell r="B660" t="str">
            <v>TOP 100 KDA</v>
          </cell>
          <cell r="C660">
            <v>883660.90909090906</v>
          </cell>
        </row>
        <row r="661">
          <cell r="A661">
            <v>10000848</v>
          </cell>
          <cell r="B661" t="str">
            <v>HARAPAN INDAH BOTANIA</v>
          </cell>
          <cell r="C661">
            <v>181575.00000000003</v>
          </cell>
        </row>
        <row r="662">
          <cell r="A662">
            <v>10000849</v>
          </cell>
          <cell r="B662" t="str">
            <v>HARAPAN INDAH NONGSA</v>
          </cell>
          <cell r="C662">
            <v>2597287.5000000005</v>
          </cell>
        </row>
        <row r="663">
          <cell r="A663">
            <v>10000850</v>
          </cell>
          <cell r="B663" t="str">
            <v>CV SEMBAKO MUSTAFA LESTARI</v>
          </cell>
          <cell r="C663">
            <v>642957.27272727294</v>
          </cell>
        </row>
        <row r="664">
          <cell r="A664">
            <v>10000854</v>
          </cell>
          <cell r="B664" t="str">
            <v>ALIN COSMETIC</v>
          </cell>
          <cell r="C664">
            <v>2480930.0454545463</v>
          </cell>
        </row>
        <row r="665">
          <cell r="A665">
            <v>10000856</v>
          </cell>
          <cell r="B665" t="str">
            <v>APOTEK R 24</v>
          </cell>
          <cell r="C665">
            <v>178533.40909090912</v>
          </cell>
        </row>
        <row r="666">
          <cell r="A666">
            <v>10000857</v>
          </cell>
          <cell r="B666" t="str">
            <v>DIVA COSMETIK</v>
          </cell>
          <cell r="C666">
            <v>813995.45454545459</v>
          </cell>
        </row>
        <row r="667">
          <cell r="A667">
            <v>10000859</v>
          </cell>
          <cell r="B667" t="str">
            <v>HERLINA</v>
          </cell>
          <cell r="C667">
            <v>635727.27272727271</v>
          </cell>
        </row>
        <row r="668">
          <cell r="A668">
            <v>10000860</v>
          </cell>
          <cell r="B668" t="str">
            <v>JENNY COS</v>
          </cell>
          <cell r="C668">
            <v>-22200.000000000004</v>
          </cell>
        </row>
        <row r="669">
          <cell r="A669">
            <v>10000863</v>
          </cell>
          <cell r="B669" t="str">
            <v>REMSI COMSETIC</v>
          </cell>
          <cell r="C669">
            <v>228861.81818181821</v>
          </cell>
        </row>
        <row r="670">
          <cell r="A670">
            <v>10000864</v>
          </cell>
          <cell r="B670" t="str">
            <v>SYAKILA COSMETIC</v>
          </cell>
          <cell r="C670">
            <v>673201.59090909082</v>
          </cell>
        </row>
        <row r="671">
          <cell r="A671">
            <v>10000865</v>
          </cell>
          <cell r="B671" t="str">
            <v>VANYA COS</v>
          </cell>
          <cell r="C671">
            <v>3236402.0000000005</v>
          </cell>
        </row>
        <row r="672">
          <cell r="A672">
            <v>10000875</v>
          </cell>
          <cell r="B672" t="str">
            <v>AL BAROQAH MART</v>
          </cell>
          <cell r="C672">
            <v>-317863.63636363635</v>
          </cell>
        </row>
        <row r="673">
          <cell r="A673">
            <v>10001247</v>
          </cell>
          <cell r="B673" t="str">
            <v>MARINA INDAH</v>
          </cell>
          <cell r="C673">
            <v>578360.45454545447</v>
          </cell>
        </row>
        <row r="674">
          <cell r="A674">
            <v>10001283</v>
          </cell>
          <cell r="B674" t="str">
            <v>BLESS SM</v>
          </cell>
          <cell r="C674">
            <v>852385.90909090918</v>
          </cell>
        </row>
        <row r="675">
          <cell r="A675">
            <v>10001295</v>
          </cell>
          <cell r="B675" t="str">
            <v>OCEAN MART</v>
          </cell>
          <cell r="C675">
            <v>1235730.4090909092</v>
          </cell>
        </row>
        <row r="676">
          <cell r="A676">
            <v>10001300</v>
          </cell>
          <cell r="B676" t="str">
            <v>ROYAL SUPERMARKET - DAPUR 12</v>
          </cell>
          <cell r="C676">
            <v>1117783.6363636365</v>
          </cell>
        </row>
        <row r="677">
          <cell r="A677">
            <v>10001302</v>
          </cell>
          <cell r="B677" t="str">
            <v>SINAR PELANGI</v>
          </cell>
          <cell r="C677">
            <v>1361137.5</v>
          </cell>
        </row>
        <row r="678">
          <cell r="A678">
            <v>10001304</v>
          </cell>
          <cell r="B678" t="str">
            <v>SUPER MURAH 8000</v>
          </cell>
          <cell r="C678">
            <v>4340380.9090909092</v>
          </cell>
        </row>
        <row r="679">
          <cell r="A679">
            <v>10001306</v>
          </cell>
          <cell r="B679" t="str">
            <v>MINI SUPER, TK</v>
          </cell>
          <cell r="C679">
            <v>2806053.2727272739</v>
          </cell>
        </row>
        <row r="680">
          <cell r="A680">
            <v>10001307</v>
          </cell>
          <cell r="B680" t="str">
            <v>CV. VICTORIA KAVLING LAMA</v>
          </cell>
          <cell r="C680">
            <v>17266641.500000007</v>
          </cell>
        </row>
        <row r="681">
          <cell r="A681">
            <v>10001310</v>
          </cell>
          <cell r="B681" t="str">
            <v>SELLY KOSMETIK</v>
          </cell>
          <cell r="C681">
            <v>417460.90909090906</v>
          </cell>
        </row>
        <row r="682">
          <cell r="A682">
            <v>10001311</v>
          </cell>
          <cell r="B682" t="str">
            <v>SP MART</v>
          </cell>
          <cell r="C682">
            <v>4879388.6363636376</v>
          </cell>
        </row>
        <row r="683">
          <cell r="A683">
            <v>10001315</v>
          </cell>
          <cell r="B683" t="str">
            <v>HENI COSMETIC</v>
          </cell>
          <cell r="C683">
            <v>2098391.7272727266</v>
          </cell>
        </row>
        <row r="684">
          <cell r="A684">
            <v>10001317</v>
          </cell>
          <cell r="B684" t="str">
            <v>MINA COSMETIC</v>
          </cell>
          <cell r="C684">
            <v>2910752.0454545463</v>
          </cell>
        </row>
        <row r="685">
          <cell r="A685">
            <v>10001320</v>
          </cell>
          <cell r="B685" t="str">
            <v>POJOK COSMETIC</v>
          </cell>
          <cell r="C685">
            <v>443797.95454545447</v>
          </cell>
        </row>
        <row r="686">
          <cell r="A686">
            <v>10001321</v>
          </cell>
          <cell r="B686" t="str">
            <v>RIA COSMETIC</v>
          </cell>
          <cell r="C686">
            <v>1378468.6363636365</v>
          </cell>
        </row>
        <row r="687">
          <cell r="A687">
            <v>10001322</v>
          </cell>
          <cell r="B687" t="str">
            <v>ROYAL SUPERMARKET - FANINDO</v>
          </cell>
          <cell r="C687">
            <v>226800</v>
          </cell>
        </row>
        <row r="688">
          <cell r="A688">
            <v>10001324</v>
          </cell>
          <cell r="B688" t="str">
            <v>TOP 100 REGENCY</v>
          </cell>
          <cell r="C688">
            <v>17388636.272727277</v>
          </cell>
        </row>
        <row r="689">
          <cell r="A689">
            <v>10001327</v>
          </cell>
          <cell r="B689" t="str">
            <v>CV. VICTORIA FANINDO</v>
          </cell>
          <cell r="C689">
            <v>22309863.545454554</v>
          </cell>
        </row>
        <row r="690">
          <cell r="A690">
            <v>10001331</v>
          </cell>
          <cell r="B690" t="str">
            <v>OBAT ARTA MULIA, TK</v>
          </cell>
          <cell r="C690">
            <v>105954.54545454546</v>
          </cell>
        </row>
        <row r="691">
          <cell r="A691">
            <v>10001332</v>
          </cell>
          <cell r="B691" t="str">
            <v>TOP 100 TEMBESI</v>
          </cell>
          <cell r="C691">
            <v>10351806</v>
          </cell>
        </row>
        <row r="692">
          <cell r="A692">
            <v>10001333</v>
          </cell>
          <cell r="B692" t="str">
            <v>AILISA COLLECTION</v>
          </cell>
          <cell r="C692">
            <v>2397937.4999999995</v>
          </cell>
        </row>
        <row r="693">
          <cell r="A693">
            <v>10001334</v>
          </cell>
          <cell r="B693" t="str">
            <v>ALANG COSMETIC</v>
          </cell>
          <cell r="C693">
            <v>252878.18181818182</v>
          </cell>
        </row>
        <row r="694">
          <cell r="A694">
            <v>10001337</v>
          </cell>
          <cell r="B694" t="str">
            <v>ATIN KOSMETIK</v>
          </cell>
          <cell r="C694">
            <v>1260879.9999999998</v>
          </cell>
        </row>
        <row r="695">
          <cell r="A695">
            <v>10001340</v>
          </cell>
          <cell r="B695" t="str">
            <v>GRACE COSMETIC JODOH</v>
          </cell>
          <cell r="C695">
            <v>2596367.454545456</v>
          </cell>
        </row>
        <row r="696">
          <cell r="A696">
            <v>10001341</v>
          </cell>
          <cell r="B696" t="str">
            <v>HENY COSMETIC</v>
          </cell>
          <cell r="C696">
            <v>1366099.7727272732</v>
          </cell>
        </row>
        <row r="697">
          <cell r="A697">
            <v>10001345</v>
          </cell>
          <cell r="B697" t="str">
            <v>LISTANAH</v>
          </cell>
          <cell r="C697">
            <v>1307590.9090909087</v>
          </cell>
        </row>
        <row r="698">
          <cell r="A698">
            <v>10001351</v>
          </cell>
          <cell r="B698" t="str">
            <v>VIVI COSMETIC</v>
          </cell>
          <cell r="C698">
            <v>1412374.0909090908</v>
          </cell>
        </row>
        <row r="699">
          <cell r="A699">
            <v>10001352</v>
          </cell>
          <cell r="B699" t="str">
            <v>VIVI DC MALL COSMETIC</v>
          </cell>
          <cell r="C699">
            <v>926251.36363636353</v>
          </cell>
        </row>
        <row r="700">
          <cell r="A700">
            <v>10001354</v>
          </cell>
          <cell r="B700" t="str">
            <v>ASNITA JD</v>
          </cell>
          <cell r="C700">
            <v>56244021.090909101</v>
          </cell>
        </row>
        <row r="701">
          <cell r="A701">
            <v>10001356</v>
          </cell>
          <cell r="B701" t="str">
            <v>DC DIAMOND CITY MALL</v>
          </cell>
          <cell r="C701">
            <v>3514188.5454545463</v>
          </cell>
        </row>
        <row r="702">
          <cell r="A702">
            <v>10001358</v>
          </cell>
          <cell r="B702" t="str">
            <v>JODOH CENTER JODOH</v>
          </cell>
          <cell r="C702">
            <v>989640.68181818177</v>
          </cell>
        </row>
        <row r="703">
          <cell r="A703">
            <v>10001391</v>
          </cell>
          <cell r="B703" t="str">
            <v>MIRACLE KOSMETIK</v>
          </cell>
          <cell r="C703">
            <v>4755749.5454545449</v>
          </cell>
        </row>
        <row r="704">
          <cell r="A704">
            <v>10001426</v>
          </cell>
          <cell r="B704" t="str">
            <v>GLOBAL STAR</v>
          </cell>
          <cell r="C704">
            <v>2543039.9999999995</v>
          </cell>
        </row>
        <row r="705">
          <cell r="A705">
            <v>10001432</v>
          </cell>
          <cell r="B705" t="str">
            <v>ROYAL SUPERMARKET - MEGA LEGENDA</v>
          </cell>
          <cell r="C705">
            <v>435865.90909090906</v>
          </cell>
        </row>
        <row r="706">
          <cell r="A706">
            <v>10001462</v>
          </cell>
          <cell r="B706" t="str">
            <v>BATAM PHOTO(ETINA COSMETIC)</v>
          </cell>
          <cell r="C706">
            <v>1769671.2272727271</v>
          </cell>
        </row>
        <row r="707">
          <cell r="A707">
            <v>10001516</v>
          </cell>
          <cell r="B707" t="str">
            <v>LADY LOVE</v>
          </cell>
          <cell r="C707">
            <v>3777282.9545454546</v>
          </cell>
        </row>
        <row r="708">
          <cell r="A708">
            <v>10001523</v>
          </cell>
          <cell r="B708" t="str">
            <v>SHINE COSMETIC, TK</v>
          </cell>
          <cell r="C708">
            <v>989727.27272727247</v>
          </cell>
        </row>
        <row r="709">
          <cell r="A709">
            <v>10001525</v>
          </cell>
          <cell r="B709" t="str">
            <v>FAMILY SALON</v>
          </cell>
          <cell r="C709">
            <v>661605</v>
          </cell>
        </row>
        <row r="710">
          <cell r="A710">
            <v>10001526</v>
          </cell>
          <cell r="B710" t="str">
            <v>7 MART</v>
          </cell>
          <cell r="C710">
            <v>1131463.6363636362</v>
          </cell>
        </row>
        <row r="711">
          <cell r="A711">
            <v>10001531</v>
          </cell>
          <cell r="B711" t="str">
            <v>BPS NAGOYA</v>
          </cell>
          <cell r="C711">
            <v>4639752.954545456</v>
          </cell>
        </row>
        <row r="712">
          <cell r="A712">
            <v>10001682</v>
          </cell>
          <cell r="B712" t="str">
            <v>SERBA 8000 PUNGGUR</v>
          </cell>
          <cell r="C712">
            <v>551035.22727272729</v>
          </cell>
        </row>
        <row r="713">
          <cell r="A713">
            <v>10001691</v>
          </cell>
          <cell r="B713" t="str">
            <v>ROYAL SUPERMARKET - PUNGGUR</v>
          </cell>
          <cell r="C713">
            <v>2886459.5454545463</v>
          </cell>
        </row>
        <row r="714">
          <cell r="A714">
            <v>10001697</v>
          </cell>
          <cell r="B714" t="str">
            <v>LEMON MART</v>
          </cell>
          <cell r="C714">
            <v>1186613.5909090906</v>
          </cell>
        </row>
        <row r="715">
          <cell r="A715">
            <v>10001698</v>
          </cell>
          <cell r="B715" t="str">
            <v>LJ BEAUTY HOUSE</v>
          </cell>
          <cell r="C715">
            <v>1918760.863636364</v>
          </cell>
        </row>
        <row r="716">
          <cell r="A716">
            <v>10001708</v>
          </cell>
          <cell r="B716" t="str">
            <v>SINAR PIAYU KITA</v>
          </cell>
          <cell r="C716">
            <v>3102779.7272727275</v>
          </cell>
        </row>
        <row r="717">
          <cell r="A717">
            <v>10001736</v>
          </cell>
          <cell r="B717" t="str">
            <v>INDRI KOSMETIK</v>
          </cell>
          <cell r="C717">
            <v>3351375.6363636376</v>
          </cell>
        </row>
        <row r="718">
          <cell r="A718">
            <v>10001753</v>
          </cell>
          <cell r="B718" t="str">
            <v>MINI SS</v>
          </cell>
          <cell r="C718">
            <v>708230.45454545447</v>
          </cell>
        </row>
        <row r="719">
          <cell r="A719">
            <v>10001838</v>
          </cell>
          <cell r="B719" t="str">
            <v>SINAR BIDA AYU -ACIE</v>
          </cell>
          <cell r="C719">
            <v>2060320.0454545463</v>
          </cell>
        </row>
        <row r="720">
          <cell r="A720">
            <v>10001843</v>
          </cell>
          <cell r="B720" t="str">
            <v>GROSMART PIAYU</v>
          </cell>
          <cell r="C720">
            <v>1066990.9090909089</v>
          </cell>
        </row>
        <row r="721">
          <cell r="A721">
            <v>10001844</v>
          </cell>
          <cell r="B721" t="str">
            <v>MM NIAGA MART</v>
          </cell>
          <cell r="C721">
            <v>5784033.8181818202</v>
          </cell>
        </row>
        <row r="722">
          <cell r="A722">
            <v>10001845</v>
          </cell>
          <cell r="B722" t="str">
            <v>MM PERMATA</v>
          </cell>
          <cell r="C722">
            <v>3420797.9999999995</v>
          </cell>
        </row>
        <row r="723">
          <cell r="A723">
            <v>10001853</v>
          </cell>
          <cell r="B723" t="str">
            <v>SINAR INDAH</v>
          </cell>
          <cell r="C723">
            <v>4480534.0909090918</v>
          </cell>
        </row>
        <row r="724">
          <cell r="A724">
            <v>10001888</v>
          </cell>
          <cell r="B724" t="str">
            <v>VR COSMETIC</v>
          </cell>
          <cell r="C724">
            <v>1618239.5454545449</v>
          </cell>
        </row>
        <row r="725">
          <cell r="A725">
            <v>10001891</v>
          </cell>
          <cell r="B725" t="str">
            <v>SUMBER HARAPAN</v>
          </cell>
          <cell r="C725">
            <v>3224798.1818181826</v>
          </cell>
        </row>
        <row r="726">
          <cell r="A726">
            <v>10001903</v>
          </cell>
          <cell r="B726" t="str">
            <v>BEST MART</v>
          </cell>
          <cell r="C726">
            <v>591226.36363636365</v>
          </cell>
        </row>
        <row r="727">
          <cell r="A727">
            <v>10001904</v>
          </cell>
          <cell r="B727" t="str">
            <v>BOY MART</v>
          </cell>
          <cell r="C727">
            <v>2488164.2727272729</v>
          </cell>
        </row>
        <row r="728">
          <cell r="A728">
            <v>10001905</v>
          </cell>
          <cell r="B728" t="str">
            <v>LOVE MARKET</v>
          </cell>
          <cell r="C728">
            <v>9635124.4545454551</v>
          </cell>
        </row>
        <row r="729">
          <cell r="A729">
            <v>10001911</v>
          </cell>
          <cell r="B729" t="str">
            <v>ROYAL SUPERMARKET - KAMPUNG DURIAN</v>
          </cell>
          <cell r="C729">
            <v>1465026.1363636365</v>
          </cell>
        </row>
        <row r="730">
          <cell r="A730">
            <v>10001913</v>
          </cell>
          <cell r="B730" t="str">
            <v>CV. SINAR SUKSES RITELINDO</v>
          </cell>
          <cell r="C730">
            <v>1392531.8181818181</v>
          </cell>
        </row>
        <row r="731">
          <cell r="A731">
            <v>10001968</v>
          </cell>
          <cell r="B731" t="str">
            <v>PRIMART</v>
          </cell>
          <cell r="C731">
            <v>3252931.0454545468</v>
          </cell>
        </row>
        <row r="732">
          <cell r="A732">
            <v>10001970</v>
          </cell>
          <cell r="B732" t="str">
            <v>TOP 100 TIBAN</v>
          </cell>
          <cell r="C732">
            <v>6212107.0909090927</v>
          </cell>
        </row>
        <row r="733">
          <cell r="A733">
            <v>10002023</v>
          </cell>
          <cell r="B733" t="str">
            <v>BUNDOS MART</v>
          </cell>
          <cell r="C733">
            <v>37084.090909090912</v>
          </cell>
        </row>
        <row r="734">
          <cell r="A734">
            <v>10002065</v>
          </cell>
          <cell r="B734" t="str">
            <v>ROYAL SUPERMARKET - CIPTA PURI</v>
          </cell>
          <cell r="C734">
            <v>568925.45454545459</v>
          </cell>
        </row>
        <row r="735">
          <cell r="A735">
            <v>10002066</v>
          </cell>
          <cell r="B735" t="str">
            <v>GOGO SUPERMARKET TIBAN</v>
          </cell>
          <cell r="C735">
            <v>1968687.6818181821</v>
          </cell>
        </row>
        <row r="736">
          <cell r="A736">
            <v>10002068</v>
          </cell>
          <cell r="B736" t="str">
            <v>MM TIBAN INDAH JAYA</v>
          </cell>
          <cell r="C736">
            <v>272065.90909090912</v>
          </cell>
        </row>
        <row r="737">
          <cell r="A737">
            <v>10002070</v>
          </cell>
          <cell r="B737" t="str">
            <v>TATI AKSESORIS</v>
          </cell>
          <cell r="C737">
            <v>5562730.2272727275</v>
          </cell>
        </row>
        <row r="738">
          <cell r="A738">
            <v>10002072</v>
          </cell>
          <cell r="B738" t="str">
            <v>CV. VICTORIA TIBAN</v>
          </cell>
          <cell r="C738">
            <v>4247697</v>
          </cell>
        </row>
        <row r="739">
          <cell r="A739">
            <v>10002084</v>
          </cell>
          <cell r="B739" t="str">
            <v>NARRA</v>
          </cell>
          <cell r="C739">
            <v>52977.272727272728</v>
          </cell>
        </row>
        <row r="740">
          <cell r="A740">
            <v>10002099</v>
          </cell>
          <cell r="B740" t="str">
            <v>HARUM, TK</v>
          </cell>
          <cell r="C740">
            <v>1640075.3181818179</v>
          </cell>
        </row>
        <row r="741">
          <cell r="A741">
            <v>10002136</v>
          </cell>
          <cell r="B741" t="str">
            <v>BUNGSU MINI MARKET (BSS)</v>
          </cell>
          <cell r="C741">
            <v>2893571.1818181821</v>
          </cell>
        </row>
        <row r="742">
          <cell r="A742">
            <v>10002138</v>
          </cell>
          <cell r="B742" t="str">
            <v>MELVIN</v>
          </cell>
          <cell r="C742">
            <v>478800</v>
          </cell>
        </row>
        <row r="743">
          <cell r="A743">
            <v>10002144</v>
          </cell>
          <cell r="B743" t="str">
            <v>PUTRI COSMETIC - JULI, TK</v>
          </cell>
          <cell r="C743">
            <v>1818180</v>
          </cell>
        </row>
        <row r="744">
          <cell r="A744">
            <v>10002156</v>
          </cell>
          <cell r="B744" t="str">
            <v>MIA COSMETIC</v>
          </cell>
          <cell r="C744">
            <v>590166.818181818</v>
          </cell>
        </row>
        <row r="745">
          <cell r="A745">
            <v>10002162</v>
          </cell>
          <cell r="B745" t="str">
            <v>SELLA COSMETIC</v>
          </cell>
          <cell r="C745">
            <v>381522.27272727271</v>
          </cell>
        </row>
        <row r="746">
          <cell r="A746">
            <v>10002201</v>
          </cell>
          <cell r="B746" t="str">
            <v>EMERALD SPM</v>
          </cell>
          <cell r="C746">
            <v>3937663.227272728</v>
          </cell>
        </row>
        <row r="747">
          <cell r="A747">
            <v>10002202</v>
          </cell>
          <cell r="B747" t="str">
            <v>QUEEN</v>
          </cell>
          <cell r="C747">
            <v>811929.54545454541</v>
          </cell>
        </row>
        <row r="748">
          <cell r="A748">
            <v>10002203</v>
          </cell>
          <cell r="B748" t="str">
            <v>KHARISMA COLLECTION</v>
          </cell>
          <cell r="C748">
            <v>3814367.9999999991</v>
          </cell>
        </row>
        <row r="749">
          <cell r="A749">
            <v>10002428</v>
          </cell>
          <cell r="B749" t="str">
            <v>GOGO SUPERMARKET MB2</v>
          </cell>
          <cell r="C749">
            <v>4387640.1363636367</v>
          </cell>
        </row>
        <row r="750">
          <cell r="A750">
            <v>10002505</v>
          </cell>
          <cell r="B750" t="str">
            <v>BEAUTY MART</v>
          </cell>
          <cell r="C750">
            <v>7594148.9090909129</v>
          </cell>
        </row>
        <row r="751">
          <cell r="A751">
            <v>10002524</v>
          </cell>
          <cell r="B751" t="str">
            <v>JAGO MART</v>
          </cell>
          <cell r="C751">
            <v>1452849.8181818181</v>
          </cell>
        </row>
        <row r="752">
          <cell r="A752">
            <v>10002533</v>
          </cell>
          <cell r="B752" t="str">
            <v>ROYAL SUPERMARKET - BATU BESAR</v>
          </cell>
          <cell r="C752">
            <v>1019008.6363636361</v>
          </cell>
        </row>
        <row r="753">
          <cell r="A753">
            <v>10002556</v>
          </cell>
          <cell r="B753" t="str">
            <v>RAINY BEAUTY</v>
          </cell>
          <cell r="C753">
            <v>1464594.5454545454</v>
          </cell>
        </row>
        <row r="754">
          <cell r="A754">
            <v>10002570</v>
          </cell>
          <cell r="B754" t="str">
            <v>AAN GROSIR MART 3</v>
          </cell>
          <cell r="C754">
            <v>211909.09090909088</v>
          </cell>
        </row>
        <row r="755">
          <cell r="A755">
            <v>10002575</v>
          </cell>
          <cell r="B755" t="str">
            <v>AZKALIA COSMETIC</v>
          </cell>
          <cell r="C755">
            <v>1419015.0000000002</v>
          </cell>
        </row>
        <row r="756">
          <cell r="A756">
            <v>10002616</v>
          </cell>
          <cell r="B756" t="str">
            <v>FYORDA COSMETIC</v>
          </cell>
          <cell r="C756">
            <v>2136644.3181818188</v>
          </cell>
        </row>
        <row r="757">
          <cell r="A757">
            <v>10002618</v>
          </cell>
          <cell r="B757" t="str">
            <v>OCEAN MART AVIARI RESIDENCE</v>
          </cell>
          <cell r="C757">
            <v>1916926.3636363633</v>
          </cell>
        </row>
        <row r="758">
          <cell r="A758">
            <v>10002632</v>
          </cell>
          <cell r="B758" t="str">
            <v>PT MONI BATAM INOVASI - CIKITSU</v>
          </cell>
          <cell r="C758">
            <v>58985426.727272749</v>
          </cell>
        </row>
        <row r="759">
          <cell r="A759">
            <v>10002710</v>
          </cell>
          <cell r="B759" t="str">
            <v>PT MONI BATAM INOVASI - TEMBESI</v>
          </cell>
          <cell r="C759">
            <v>238254864.86363629</v>
          </cell>
        </row>
        <row r="760">
          <cell r="A760">
            <v>10002712</v>
          </cell>
          <cell r="B760" t="str">
            <v>VEMALE BEAUTY</v>
          </cell>
          <cell r="C760">
            <v>2256600</v>
          </cell>
        </row>
        <row r="761">
          <cell r="A761">
            <v>10002717</v>
          </cell>
          <cell r="B761" t="str">
            <v>ELVINA BEAUTY</v>
          </cell>
          <cell r="C761">
            <v>848393.18181818165</v>
          </cell>
        </row>
        <row r="762">
          <cell r="A762">
            <v>10002769</v>
          </cell>
          <cell r="B762" t="str">
            <v>TIFFANY COSMETIC</v>
          </cell>
          <cell r="C762">
            <v>2515439.2727272739</v>
          </cell>
        </row>
        <row r="763">
          <cell r="A763">
            <v>10002825</v>
          </cell>
          <cell r="B763" t="str">
            <v>ALDA WR</v>
          </cell>
          <cell r="C763">
            <v>0</v>
          </cell>
        </row>
        <row r="764">
          <cell r="A764">
            <v>10002831</v>
          </cell>
          <cell r="B764" t="str">
            <v>TOP 100 JL BAKAL</v>
          </cell>
          <cell r="C764">
            <v>1763018.1818181816</v>
          </cell>
        </row>
        <row r="765">
          <cell r="A765">
            <v>10002901</v>
          </cell>
          <cell r="B765" t="str">
            <v>LJ BEAUTY HOUSE BA</v>
          </cell>
          <cell r="C765">
            <v>1015746.3636363634</v>
          </cell>
        </row>
        <row r="766">
          <cell r="A766">
            <v>10002939</v>
          </cell>
          <cell r="B766" t="str">
            <v>ASNITA BATAM</v>
          </cell>
          <cell r="C766">
            <v>8862692.0909090918</v>
          </cell>
        </row>
        <row r="767">
          <cell r="A767">
            <v>10002945</v>
          </cell>
          <cell r="B767" t="str">
            <v>GOGO SUPERMARKET DREAMLAND</v>
          </cell>
          <cell r="C767">
            <v>4191244.5000000005</v>
          </cell>
        </row>
        <row r="768">
          <cell r="A768">
            <v>10003399</v>
          </cell>
          <cell r="B768" t="str">
            <v>GALERRY SKINCARE BATAM</v>
          </cell>
          <cell r="C768">
            <v>2674000</v>
          </cell>
        </row>
        <row r="769">
          <cell r="A769">
            <v>10003401</v>
          </cell>
          <cell r="B769" t="str">
            <v>KHIDMAT KREATIF (KK BEAUTY)</v>
          </cell>
          <cell r="C769">
            <v>7404281.8181818184</v>
          </cell>
        </row>
        <row r="770">
          <cell r="A770">
            <v>10003404</v>
          </cell>
          <cell r="B770" t="str">
            <v>LITTLE C BEAUTY &amp;  ACCESSORIES</v>
          </cell>
          <cell r="C770">
            <v>158931.81818181818</v>
          </cell>
        </row>
        <row r="771">
          <cell r="A771">
            <v>10003432</v>
          </cell>
          <cell r="B771" t="str">
            <v>BEAUTY COSMETIC SUPERMARKET</v>
          </cell>
          <cell r="C771">
            <v>8220461.3181818193</v>
          </cell>
        </row>
        <row r="772">
          <cell r="A772">
            <v>10003460</v>
          </cell>
          <cell r="B772" t="str">
            <v>R24 BUKIT KEMUNING</v>
          </cell>
          <cell r="C772">
            <v>794659.09090909094</v>
          </cell>
        </row>
        <row r="773">
          <cell r="A773">
            <v>10003464</v>
          </cell>
          <cell r="B773" t="str">
            <v>FRASTYA COS</v>
          </cell>
          <cell r="C773">
            <v>795627.27272727259</v>
          </cell>
        </row>
        <row r="774">
          <cell r="A774">
            <v>11470025</v>
          </cell>
          <cell r="B774" t="str">
            <v>APT. TIARA</v>
          </cell>
          <cell r="C774">
            <v>2293489.0909090913</v>
          </cell>
        </row>
        <row r="775">
          <cell r="A775">
            <v>11470030</v>
          </cell>
          <cell r="B775" t="str">
            <v>FARIZ MART 2</v>
          </cell>
          <cell r="C775">
            <v>981214.77272727271</v>
          </cell>
        </row>
        <row r="776">
          <cell r="A776">
            <v>11473253</v>
          </cell>
          <cell r="B776" t="str">
            <v>CAHAYA MART</v>
          </cell>
          <cell r="C776">
            <v>836526.13636363612</v>
          </cell>
        </row>
        <row r="777">
          <cell r="A777">
            <v>12563524</v>
          </cell>
          <cell r="B777" t="str">
            <v>CERIA KOSMETIK</v>
          </cell>
          <cell r="C777">
            <v>-922013.18181818188</v>
          </cell>
        </row>
        <row r="778">
          <cell r="A778">
            <v>12563532</v>
          </cell>
          <cell r="B778" t="str">
            <v>MITRA FARMA</v>
          </cell>
          <cell r="C778">
            <v>2593015.9090909092</v>
          </cell>
        </row>
        <row r="779">
          <cell r="A779">
            <v>12563539</v>
          </cell>
          <cell r="B779" t="str">
            <v>Galaxy Swalayan</v>
          </cell>
          <cell r="C779">
            <v>1933184.3636363633</v>
          </cell>
        </row>
        <row r="780">
          <cell r="A780">
            <v>12563550</v>
          </cell>
          <cell r="B780" t="str">
            <v>APT. MITRA IBU</v>
          </cell>
          <cell r="C780">
            <v>194250</v>
          </cell>
        </row>
        <row r="781">
          <cell r="A781">
            <v>15600133</v>
          </cell>
          <cell r="B781" t="str">
            <v>RINI JOFA</v>
          </cell>
          <cell r="C781">
            <v>7668721.2272727257</v>
          </cell>
        </row>
        <row r="782">
          <cell r="A782">
            <v>15600181</v>
          </cell>
          <cell r="B782" t="str">
            <v>VAN JAYA SWALAYAN</v>
          </cell>
          <cell r="C782">
            <v>-22200.000000000004</v>
          </cell>
        </row>
        <row r="783">
          <cell r="A783">
            <v>15600198</v>
          </cell>
          <cell r="B783" t="str">
            <v>ANGKASA MART 8</v>
          </cell>
          <cell r="C783">
            <v>169026.13636363635</v>
          </cell>
        </row>
        <row r="784">
          <cell r="A784">
            <v>15600214</v>
          </cell>
          <cell r="B784" t="str">
            <v>TOKO MIA</v>
          </cell>
          <cell r="C784">
            <v>-337995</v>
          </cell>
        </row>
        <row r="785">
          <cell r="A785">
            <v>15600224</v>
          </cell>
          <cell r="B785" t="str">
            <v>PT. SUMMERVILLE INDONESIA</v>
          </cell>
          <cell r="C785">
            <v>516838.63636363635</v>
          </cell>
        </row>
        <row r="786">
          <cell r="A786">
            <v>15600228</v>
          </cell>
          <cell r="B786" t="str">
            <v>TO. ALIF</v>
          </cell>
          <cell r="C786">
            <v>-398390.90909090906</v>
          </cell>
        </row>
        <row r="787">
          <cell r="A787">
            <v>15600241</v>
          </cell>
          <cell r="B787" t="str">
            <v>TOKO REIHAN</v>
          </cell>
          <cell r="C787">
            <v>158931.81818181818</v>
          </cell>
        </row>
        <row r="788">
          <cell r="A788">
            <v>8010179821</v>
          </cell>
          <cell r="B788" t="str">
            <v>SEKAWAN CHANDRA ABADI-T.BETUNG,PT.</v>
          </cell>
          <cell r="C788">
            <v>2075181.1363636362</v>
          </cell>
        </row>
        <row r="789">
          <cell r="A789">
            <v>8010180191</v>
          </cell>
          <cell r="B789" t="str">
            <v>CHANDRA TOSERBA T.KARANG</v>
          </cell>
          <cell r="C789">
            <v>11725866.59090909</v>
          </cell>
        </row>
        <row r="790">
          <cell r="A790">
            <v>8010180331</v>
          </cell>
          <cell r="B790" t="str">
            <v>SUMBER AYU SENTOSA, KOSMETIK</v>
          </cell>
          <cell r="C790">
            <v>224792214.45454538</v>
          </cell>
        </row>
        <row r="791">
          <cell r="A791">
            <v>8010180351</v>
          </cell>
          <cell r="B791" t="str">
            <v>MUSTIKA, TKLO.</v>
          </cell>
          <cell r="C791">
            <v>235554.54545454547</v>
          </cell>
        </row>
        <row r="792">
          <cell r="A792">
            <v>8010180361</v>
          </cell>
          <cell r="B792" t="str">
            <v>PAJAR JAYA, TKLO.</v>
          </cell>
          <cell r="C792">
            <v>10312020.227272728</v>
          </cell>
        </row>
        <row r="793">
          <cell r="A793">
            <v>8010180391</v>
          </cell>
          <cell r="B793" t="str">
            <v>SUMATRA JAYA, TKLO.</v>
          </cell>
          <cell r="C793">
            <v>10181777.727272727</v>
          </cell>
        </row>
        <row r="794">
          <cell r="A794">
            <v>8010180431</v>
          </cell>
          <cell r="B794" t="str">
            <v>ANAS, TKLO.</v>
          </cell>
          <cell r="C794">
            <v>733452.72727272729</v>
          </cell>
        </row>
        <row r="795">
          <cell r="A795">
            <v>8010180651</v>
          </cell>
          <cell r="B795" t="str">
            <v>SEKAWAN CHANDRA ABADI-MTR, PT.</v>
          </cell>
          <cell r="C795">
            <v>1399200</v>
          </cell>
        </row>
        <row r="796">
          <cell r="A796">
            <v>8010180701</v>
          </cell>
          <cell r="B796" t="str">
            <v>YOGYA, TKLO.</v>
          </cell>
          <cell r="C796">
            <v>49899.318181818177</v>
          </cell>
        </row>
        <row r="797">
          <cell r="A797">
            <v>8010181341</v>
          </cell>
          <cell r="B797" t="str">
            <v>MARCELLA, TKLO.</v>
          </cell>
          <cell r="C797">
            <v>121465.90909090909</v>
          </cell>
        </row>
        <row r="798">
          <cell r="A798">
            <v>8010181431</v>
          </cell>
          <cell r="B798" t="str">
            <v>FEMINA LAMPUNG-MTR, CV.</v>
          </cell>
          <cell r="C798">
            <v>41532000</v>
          </cell>
        </row>
        <row r="799">
          <cell r="A799">
            <v>8010181571</v>
          </cell>
          <cell r="B799" t="str">
            <v>RISKI, TKLO.</v>
          </cell>
          <cell r="C799">
            <v>1008404.5454545453</v>
          </cell>
        </row>
        <row r="800">
          <cell r="A800">
            <v>8010181711</v>
          </cell>
          <cell r="B800" t="str">
            <v>HANIF, TKLO.</v>
          </cell>
          <cell r="C800">
            <v>52977.272727272728</v>
          </cell>
        </row>
        <row r="801">
          <cell r="A801">
            <v>8010181831</v>
          </cell>
          <cell r="B801" t="str">
            <v>TAMIN, APT.</v>
          </cell>
          <cell r="C801">
            <v>76287.272727272735</v>
          </cell>
        </row>
        <row r="802">
          <cell r="A802">
            <v>8010182041</v>
          </cell>
          <cell r="B802" t="str">
            <v>WILLY'S , TKLO.</v>
          </cell>
          <cell r="C802">
            <v>28000</v>
          </cell>
        </row>
        <row r="803">
          <cell r="A803">
            <v>8010182131</v>
          </cell>
          <cell r="B803" t="str">
            <v>YANTI, TKLO.</v>
          </cell>
          <cell r="C803">
            <v>1521610.4545454544</v>
          </cell>
        </row>
        <row r="804">
          <cell r="A804">
            <v>8010182261</v>
          </cell>
          <cell r="B804" t="str">
            <v>LILY, TKLO.</v>
          </cell>
          <cell r="C804">
            <v>47000</v>
          </cell>
        </row>
        <row r="805">
          <cell r="A805">
            <v>8010182471</v>
          </cell>
          <cell r="B805" t="str">
            <v>KAYAN, TKLO.</v>
          </cell>
          <cell r="C805">
            <v>318484.09090909094</v>
          </cell>
        </row>
        <row r="806">
          <cell r="A806">
            <v>8010182541</v>
          </cell>
          <cell r="B806" t="str">
            <v>GADING FARMA-TGMS, APT.</v>
          </cell>
          <cell r="C806">
            <v>185420.45454545453</v>
          </cell>
        </row>
        <row r="807">
          <cell r="A807">
            <v>8010182751</v>
          </cell>
          <cell r="B807" t="str">
            <v>SEKAWAN CHANDRA PERSADA PT.</v>
          </cell>
          <cell r="C807">
            <v>2805272.7272727275</v>
          </cell>
        </row>
        <row r="808">
          <cell r="A808">
            <v>8010182841</v>
          </cell>
          <cell r="B808" t="str">
            <v>BILA, TKLO</v>
          </cell>
          <cell r="C808">
            <v>93189.545454545456</v>
          </cell>
        </row>
        <row r="809">
          <cell r="A809">
            <v>8010182851</v>
          </cell>
          <cell r="B809" t="str">
            <v>CITRA, TKLO</v>
          </cell>
          <cell r="C809">
            <v>616752.27272727271</v>
          </cell>
        </row>
        <row r="810">
          <cell r="A810">
            <v>8010183001</v>
          </cell>
          <cell r="B810" t="str">
            <v>SEKAWAN CHANDRA ABADI-B.JAYA,PT</v>
          </cell>
          <cell r="C810">
            <v>708681.81818181812</v>
          </cell>
        </row>
        <row r="811">
          <cell r="A811">
            <v>8010183161</v>
          </cell>
          <cell r="B811" t="str">
            <v>IYUS, TKLO</v>
          </cell>
          <cell r="C811">
            <v>1541603.1818181821</v>
          </cell>
        </row>
        <row r="812">
          <cell r="A812">
            <v>8010183211</v>
          </cell>
          <cell r="B812" t="str">
            <v>ENGGAL BAGAS, APT</v>
          </cell>
          <cell r="C812">
            <v>26488.636363636364</v>
          </cell>
        </row>
        <row r="813">
          <cell r="A813">
            <v>8010183241</v>
          </cell>
          <cell r="B813" t="str">
            <v>ULLY, MM</v>
          </cell>
          <cell r="C813">
            <v>317863.63636363635</v>
          </cell>
        </row>
        <row r="814">
          <cell r="A814">
            <v>8010183321</v>
          </cell>
          <cell r="B814" t="str">
            <v>KHASANAH-TLBW, APT</v>
          </cell>
          <cell r="C814">
            <v>38143.636363636368</v>
          </cell>
        </row>
        <row r="815">
          <cell r="A815">
            <v>8010183411</v>
          </cell>
          <cell r="B815" t="str">
            <v>MAYA,TKLO</v>
          </cell>
          <cell r="C815">
            <v>47000</v>
          </cell>
        </row>
        <row r="816">
          <cell r="A816">
            <v>8010183641</v>
          </cell>
          <cell r="B816" t="str">
            <v>SEMBILAN, TKLO</v>
          </cell>
          <cell r="C816">
            <v>274825.90909090912</v>
          </cell>
        </row>
        <row r="817">
          <cell r="A817">
            <v>8010184151</v>
          </cell>
          <cell r="B817" t="str">
            <v>SUSAN, TKLO</v>
          </cell>
          <cell r="C817">
            <v>207570</v>
          </cell>
        </row>
        <row r="818">
          <cell r="A818">
            <v>8010184451</v>
          </cell>
          <cell r="B818" t="str">
            <v>99-TJ.BTG, APT</v>
          </cell>
          <cell r="C818">
            <v>286077.27272727276</v>
          </cell>
        </row>
        <row r="819">
          <cell r="A819">
            <v>8010184851</v>
          </cell>
          <cell r="B819" t="str">
            <v>RAJAWALI, APT</v>
          </cell>
          <cell r="C819">
            <v>19071.818181818184</v>
          </cell>
        </row>
        <row r="820">
          <cell r="A820">
            <v>8010185161</v>
          </cell>
          <cell r="B820" t="str">
            <v>SEKAWAN CHANDRA PERSADA-W.HLM, PT</v>
          </cell>
          <cell r="C820">
            <v>1815106.8181818181</v>
          </cell>
        </row>
        <row r="821">
          <cell r="A821">
            <v>8010185561</v>
          </cell>
          <cell r="B821" t="str">
            <v>QARIRA-TLPD, APT</v>
          </cell>
          <cell r="C821">
            <v>799200.00000000023</v>
          </cell>
        </row>
        <row r="822">
          <cell r="A822">
            <v>8010185571</v>
          </cell>
          <cell r="B822" t="str">
            <v>CHANDRA BUMI KEDATON, SM</v>
          </cell>
          <cell r="C822">
            <v>1347921.8181818181</v>
          </cell>
        </row>
        <row r="823">
          <cell r="A823">
            <v>8010185771</v>
          </cell>
          <cell r="B823" t="str">
            <v>BINTANG KOSMETIK, TKLO</v>
          </cell>
          <cell r="C823">
            <v>2459005.4090909092</v>
          </cell>
        </row>
        <row r="824">
          <cell r="A824">
            <v>8010185801</v>
          </cell>
          <cell r="B824" t="str">
            <v>BILAL, TKLO</v>
          </cell>
          <cell r="C824">
            <v>70636.363636363632</v>
          </cell>
        </row>
        <row r="825">
          <cell r="A825">
            <v>8010185981</v>
          </cell>
          <cell r="B825" t="str">
            <v>JAGABAYA, APT</v>
          </cell>
          <cell r="C825">
            <v>88800.000000000015</v>
          </cell>
        </row>
        <row r="826">
          <cell r="A826">
            <v>8010186401</v>
          </cell>
          <cell r="B826" t="str">
            <v>ARDI, TKLO</v>
          </cell>
          <cell r="C826">
            <v>116600.00000000001</v>
          </cell>
        </row>
        <row r="827">
          <cell r="A827">
            <v>8010186591</v>
          </cell>
          <cell r="B827" t="str">
            <v>ERNA-JTMLY, TKLO</v>
          </cell>
          <cell r="C827">
            <v>917191.36363636353</v>
          </cell>
        </row>
        <row r="828">
          <cell r="A828">
            <v>8010186601</v>
          </cell>
          <cell r="B828" t="str">
            <v>TANJUNG, TKLO</v>
          </cell>
          <cell r="C828">
            <v>1106272.2727272727</v>
          </cell>
        </row>
        <row r="829">
          <cell r="A829">
            <v>8010258391</v>
          </cell>
          <cell r="B829" t="str">
            <v>CV. SURYA KENCANA</v>
          </cell>
          <cell r="C829">
            <v>632547.27272727282</v>
          </cell>
        </row>
        <row r="830">
          <cell r="A830">
            <v>8010258431</v>
          </cell>
          <cell r="B830" t="str">
            <v>FITRINOF, M.M.</v>
          </cell>
          <cell r="C830">
            <v>1401978.3636363642</v>
          </cell>
        </row>
        <row r="831">
          <cell r="A831">
            <v>8010258461</v>
          </cell>
          <cell r="B831" t="str">
            <v>FITRI NOFANE, M.M.</v>
          </cell>
          <cell r="C831">
            <v>1695067.2727272729</v>
          </cell>
        </row>
        <row r="832">
          <cell r="A832">
            <v>8010258521</v>
          </cell>
          <cell r="B832" t="str">
            <v>FITRI NOFANE-K.ANYAR, MM</v>
          </cell>
          <cell r="C832">
            <v>1947804.0000000002</v>
          </cell>
        </row>
        <row r="833">
          <cell r="A833">
            <v>8010310851</v>
          </cell>
          <cell r="B833" t="str">
            <v>PULAU BACAN, APT</v>
          </cell>
          <cell r="C833">
            <v>26488.636363636364</v>
          </cell>
        </row>
        <row r="834">
          <cell r="A834">
            <v>8010350711</v>
          </cell>
          <cell r="B834" t="str">
            <v>HANNA, KOSMETIK</v>
          </cell>
          <cell r="C834">
            <v>1419409.0909090908</v>
          </cell>
        </row>
        <row r="835">
          <cell r="A835">
            <v>8010352121</v>
          </cell>
          <cell r="B835" t="str">
            <v>VIVI (PS. CIMENG), KOSMETIK</v>
          </cell>
          <cell r="C835">
            <v>3515451.8181818188</v>
          </cell>
        </row>
        <row r="836">
          <cell r="A836">
            <v>8010352141</v>
          </cell>
          <cell r="B836" t="str">
            <v>INA, KOSMETIK</v>
          </cell>
          <cell r="C836">
            <v>8273885.0000000056</v>
          </cell>
        </row>
        <row r="837">
          <cell r="A837">
            <v>8010352151</v>
          </cell>
          <cell r="B837" t="str">
            <v>RANI, KOSMETIK</v>
          </cell>
          <cell r="C837">
            <v>25000</v>
          </cell>
        </row>
        <row r="838">
          <cell r="A838">
            <v>8010352161</v>
          </cell>
          <cell r="B838" t="str">
            <v>NIKI, KOSMETIK</v>
          </cell>
          <cell r="C838">
            <v>8330395.909090911</v>
          </cell>
        </row>
        <row r="839">
          <cell r="A839">
            <v>8010352481</v>
          </cell>
          <cell r="B839" t="str">
            <v>FANTASTIK, KOSMETIK</v>
          </cell>
          <cell r="C839">
            <v>133200.00000000003</v>
          </cell>
        </row>
        <row r="840">
          <cell r="A840">
            <v>8010352491</v>
          </cell>
          <cell r="B840" t="str">
            <v>NUR, KOSMETIK</v>
          </cell>
          <cell r="C840">
            <v>463828.63636363635</v>
          </cell>
        </row>
        <row r="841">
          <cell r="A841">
            <v>8010352831</v>
          </cell>
          <cell r="B841" t="str">
            <v>AMINAH-B.JAYA, KOSMETIK</v>
          </cell>
          <cell r="C841">
            <v>647382.27272727271</v>
          </cell>
        </row>
        <row r="842">
          <cell r="A842">
            <v>8010353651</v>
          </cell>
          <cell r="B842" t="str">
            <v>EMRI 2 - P.SEWU, KOSMETIK</v>
          </cell>
          <cell r="C842">
            <v>67200</v>
          </cell>
        </row>
        <row r="843">
          <cell r="A843">
            <v>8010354421</v>
          </cell>
          <cell r="B843" t="str">
            <v>YOLIN, TKLO</v>
          </cell>
          <cell r="C843">
            <v>226800</v>
          </cell>
        </row>
        <row r="844">
          <cell r="A844">
            <v>8010357271</v>
          </cell>
          <cell r="B844" t="str">
            <v>SAFRIL KOSMETIK I</v>
          </cell>
          <cell r="C844">
            <v>25000</v>
          </cell>
        </row>
        <row r="845">
          <cell r="A845">
            <v>8010357281</v>
          </cell>
          <cell r="B845" t="str">
            <v>SAFRIL KOSMETIK II</v>
          </cell>
          <cell r="C845">
            <v>25000</v>
          </cell>
        </row>
        <row r="846">
          <cell r="A846">
            <v>8010359541</v>
          </cell>
          <cell r="B846" t="str">
            <v>RAFAEL MEDICA-B. JAYA, APT</v>
          </cell>
          <cell r="C846">
            <v>308993.59090909094</v>
          </cell>
        </row>
        <row r="847">
          <cell r="A847">
            <v>8010360491</v>
          </cell>
          <cell r="B847" t="str">
            <v>CHANDRA SUPERMARKET ANTASARI</v>
          </cell>
          <cell r="C847">
            <v>1463809.9090909089</v>
          </cell>
        </row>
        <row r="848">
          <cell r="A848">
            <v>8010374681</v>
          </cell>
          <cell r="B848" t="str">
            <v>MARISSA BANDAR AGUNG, APT</v>
          </cell>
          <cell r="C848">
            <v>60088.636363636368</v>
          </cell>
        </row>
        <row r="849">
          <cell r="A849">
            <v>8010380651</v>
          </cell>
          <cell r="B849" t="str">
            <v>WILI, KOSMETIK</v>
          </cell>
          <cell r="C849">
            <v>72200</v>
          </cell>
        </row>
        <row r="850">
          <cell r="A850">
            <v>8010392911</v>
          </cell>
          <cell r="B850" t="str">
            <v>SUMBER AGUNG-P.SEWU, APT</v>
          </cell>
          <cell r="C850">
            <v>132443.18181818179</v>
          </cell>
        </row>
        <row r="851">
          <cell r="A851">
            <v>8010398251</v>
          </cell>
          <cell r="B851" t="str">
            <v>ERA ASSIPA, AP</v>
          </cell>
          <cell r="C851">
            <v>57215.454545454551</v>
          </cell>
        </row>
        <row r="852">
          <cell r="A852">
            <v>8010400111</v>
          </cell>
          <cell r="B852" t="str">
            <v>AN NAJWA, KOS</v>
          </cell>
          <cell r="C852">
            <v>558454.5</v>
          </cell>
        </row>
        <row r="853">
          <cell r="A853">
            <v>8010402291</v>
          </cell>
          <cell r="B853" t="str">
            <v>MAJU, KOS</v>
          </cell>
          <cell r="C853">
            <v>231699.77272727276</v>
          </cell>
        </row>
        <row r="854">
          <cell r="A854">
            <v>8010409051</v>
          </cell>
          <cell r="B854" t="str">
            <v>CHANDRA SUPERSTORE NATAR</v>
          </cell>
          <cell r="C854">
            <v>1010579.3181818181</v>
          </cell>
        </row>
        <row r="855">
          <cell r="A855">
            <v>8010422471</v>
          </cell>
          <cell r="B855" t="str">
            <v>FITRINOFANE TIRTAYASA, MM</v>
          </cell>
          <cell r="C855">
            <v>1952265.0000000002</v>
          </cell>
        </row>
        <row r="856">
          <cell r="A856">
            <v>8010434651</v>
          </cell>
          <cell r="B856" t="str">
            <v>SRIKANDI (NTR), KOSMETIK</v>
          </cell>
          <cell r="C856">
            <v>13020643.63636364</v>
          </cell>
        </row>
        <row r="857">
          <cell r="A857">
            <v>8010435371</v>
          </cell>
          <cell r="B857" t="str">
            <v>JEAN SHOP, KOSMETIK</v>
          </cell>
          <cell r="C857">
            <v>126591500.90909091</v>
          </cell>
        </row>
        <row r="858">
          <cell r="A858">
            <v>8010439951</v>
          </cell>
          <cell r="B858" t="str">
            <v>TRENDY, KOSMETIK</v>
          </cell>
          <cell r="C858">
            <v>1073802.2727272727</v>
          </cell>
        </row>
        <row r="859">
          <cell r="A859">
            <v>8010640581</v>
          </cell>
          <cell r="B859" t="str">
            <v>WURI COLLECTION</v>
          </cell>
          <cell r="C859">
            <v>22344085.227272734</v>
          </cell>
        </row>
        <row r="860">
          <cell r="A860">
            <v>8010662111</v>
          </cell>
          <cell r="B860" t="str">
            <v>ALESHA OLSHOP</v>
          </cell>
          <cell r="C860">
            <v>11170692.954545461</v>
          </cell>
        </row>
        <row r="861">
          <cell r="A861">
            <v>8010665991</v>
          </cell>
          <cell r="B861" t="str">
            <v>SALSABILA, KOSMETIK</v>
          </cell>
          <cell r="C861">
            <v>56700</v>
          </cell>
        </row>
        <row r="862">
          <cell r="A862">
            <v>8010667871</v>
          </cell>
          <cell r="B862" t="str">
            <v>SINAR PUTRA RETAILINDO, CV.</v>
          </cell>
          <cell r="C862">
            <v>81108464.909090891</v>
          </cell>
        </row>
        <row r="863">
          <cell r="A863">
            <v>8010711041</v>
          </cell>
          <cell r="B863" t="str">
            <v>UWAIS (MTR), APT</v>
          </cell>
          <cell r="C863">
            <v>19071.818181818184</v>
          </cell>
        </row>
        <row r="864">
          <cell r="A864">
            <v>8010731841</v>
          </cell>
          <cell r="B864" t="str">
            <v>SS FARMA, APT</v>
          </cell>
          <cell r="C864">
            <v>95359.090909090912</v>
          </cell>
        </row>
        <row r="865">
          <cell r="A865">
            <v>8010759701</v>
          </cell>
          <cell r="B865" t="str">
            <v>PINGLED GIRLS (MTR), KOSMETIK</v>
          </cell>
          <cell r="C865">
            <v>123938275.09090908</v>
          </cell>
        </row>
        <row r="866">
          <cell r="A866">
            <v>8010767441</v>
          </cell>
          <cell r="B866" t="str">
            <v>CHANDRA LAMPUNG CITY MALL</v>
          </cell>
          <cell r="C866">
            <v>849362.72727272729</v>
          </cell>
        </row>
        <row r="867">
          <cell r="A867">
            <v>8010768681</v>
          </cell>
          <cell r="B867" t="str">
            <v>CHAMART KEDAMAIAN</v>
          </cell>
          <cell r="C867">
            <v>1513234.7727272725</v>
          </cell>
        </row>
        <row r="868">
          <cell r="A868">
            <v>8010777931</v>
          </cell>
          <cell r="B868" t="str">
            <v>KHASANAH (W.JPR), APT</v>
          </cell>
          <cell r="C868">
            <v>152574.54545454547</v>
          </cell>
        </row>
        <row r="869">
          <cell r="A869">
            <v>8010796941</v>
          </cell>
          <cell r="B869" t="str">
            <v>NUR MAY, KOSMETIK</v>
          </cell>
          <cell r="C869">
            <v>35318.181818181816</v>
          </cell>
        </row>
        <row r="870">
          <cell r="A870">
            <v>8010801301</v>
          </cell>
          <cell r="B870" t="str">
            <v>MISS GLAM, MM</v>
          </cell>
          <cell r="C870">
            <v>16939120.409090914</v>
          </cell>
        </row>
        <row r="871">
          <cell r="A871">
            <v>8010819601</v>
          </cell>
          <cell r="B871" t="str">
            <v>NIRWANA, APT</v>
          </cell>
          <cell r="C871">
            <v>174859.09090909091</v>
          </cell>
        </row>
        <row r="872">
          <cell r="A872">
            <v>8010827581</v>
          </cell>
          <cell r="B872" t="str">
            <v>BERSAMA, APT</v>
          </cell>
          <cell r="C872">
            <v>70989.545454545456</v>
          </cell>
        </row>
        <row r="873">
          <cell r="A873">
            <v>8010845741</v>
          </cell>
          <cell r="B873" t="str">
            <v>PESONA GLAM / ROBIN</v>
          </cell>
          <cell r="C873">
            <v>21591950.272727285</v>
          </cell>
        </row>
        <row r="874">
          <cell r="A874">
            <v>8010848361</v>
          </cell>
          <cell r="B874" t="str">
            <v>SAHABAT (B.JAYA), KOSMETIK</v>
          </cell>
          <cell r="C874">
            <v>344352.27272727271</v>
          </cell>
        </row>
        <row r="875">
          <cell r="A875">
            <v>8010848991</v>
          </cell>
          <cell r="B875" t="str">
            <v>PADAT KARYA, APT</v>
          </cell>
          <cell r="C875">
            <v>22200.000000000004</v>
          </cell>
        </row>
        <row r="876">
          <cell r="A876">
            <v>8010853541</v>
          </cell>
          <cell r="B876" t="str">
            <v>MASINAY (NTR), KOSMETIK</v>
          </cell>
          <cell r="C876">
            <v>1725545.4545454551</v>
          </cell>
        </row>
        <row r="877">
          <cell r="A877">
            <v>8010858081</v>
          </cell>
          <cell r="B877" t="str">
            <v>MOTE-MOTE STORE</v>
          </cell>
          <cell r="C877">
            <v>5657739.8181818174</v>
          </cell>
        </row>
        <row r="878">
          <cell r="A878">
            <v>8010858991</v>
          </cell>
          <cell r="B878" t="str">
            <v>RAYA ARTHA MULIA, CV</v>
          </cell>
          <cell r="C878">
            <v>13997431.636363637</v>
          </cell>
        </row>
        <row r="879">
          <cell r="A879">
            <v>8010859001</v>
          </cell>
          <cell r="B879" t="str">
            <v>MEDIKA NUSWANTARA (NTR), APT</v>
          </cell>
          <cell r="C879">
            <v>95359.090909090912</v>
          </cell>
        </row>
        <row r="880">
          <cell r="A880">
            <v>8010859451</v>
          </cell>
          <cell r="B880" t="str">
            <v>RAVAINDO SINAR ABADI, CV</v>
          </cell>
          <cell r="C880">
            <v>182520703.77272731</v>
          </cell>
        </row>
        <row r="881">
          <cell r="A881">
            <v>8010863761</v>
          </cell>
          <cell r="B881" t="str">
            <v>LARAS SHOP</v>
          </cell>
          <cell r="C881">
            <v>6777000</v>
          </cell>
        </row>
        <row r="882">
          <cell r="A882">
            <v>8010884561</v>
          </cell>
          <cell r="B882" t="str">
            <v>MISS GLAM KEDATON</v>
          </cell>
          <cell r="C882">
            <v>19511222.454545457</v>
          </cell>
        </row>
        <row r="883">
          <cell r="A883">
            <v>8010897961</v>
          </cell>
          <cell r="B883" t="str">
            <v>NANDA, KOSMETIK</v>
          </cell>
          <cell r="C883">
            <v>7283721.2727272762</v>
          </cell>
        </row>
        <row r="884">
          <cell r="A884" t="str">
            <v>01DK00009</v>
          </cell>
          <cell r="B884" t="str">
            <v>CV.TEMAN JAYA BERSAMA</v>
          </cell>
          <cell r="C884">
            <v>607035.68181818177</v>
          </cell>
        </row>
        <row r="885">
          <cell r="A885" t="str">
            <v>01DK00010</v>
          </cell>
          <cell r="B885" t="str">
            <v>CV.TEMAN JAYA MART</v>
          </cell>
          <cell r="C885">
            <v>384450</v>
          </cell>
        </row>
        <row r="886">
          <cell r="A886" t="str">
            <v>01DK00019</v>
          </cell>
          <cell r="B886" t="str">
            <v>TJUAN MIN (ACUAN BTC)</v>
          </cell>
          <cell r="C886">
            <v>7191070.3636363661</v>
          </cell>
        </row>
        <row r="887">
          <cell r="A887" t="str">
            <v>02SL00012</v>
          </cell>
          <cell r="B887" t="str">
            <v>YENNI SALON</v>
          </cell>
          <cell r="C887">
            <v>2179485</v>
          </cell>
        </row>
        <row r="888">
          <cell r="A888" t="str">
            <v>02SL00050</v>
          </cell>
          <cell r="B888" t="str">
            <v>JAYA COSMETIC</v>
          </cell>
          <cell r="C888">
            <v>1296708</v>
          </cell>
        </row>
        <row r="889">
          <cell r="A889" t="str">
            <v>02SL00051</v>
          </cell>
          <cell r="B889" t="str">
            <v>MEGA MART II (HENGKY)</v>
          </cell>
          <cell r="C889">
            <v>5794854.409090911</v>
          </cell>
        </row>
        <row r="890">
          <cell r="A890" t="str">
            <v>02SL00052</v>
          </cell>
          <cell r="B890" t="str">
            <v xml:space="preserve">TOKO EKA </v>
          </cell>
          <cell r="C890">
            <v>4089184.6363636367</v>
          </cell>
        </row>
        <row r="891">
          <cell r="A891" t="str">
            <v>02SL00059</v>
          </cell>
          <cell r="B891" t="str">
            <v>TOKO ALI - S.LIAT</v>
          </cell>
          <cell r="C891">
            <v>1007537.1818181816</v>
          </cell>
        </row>
        <row r="892">
          <cell r="A892" t="str">
            <v>02SL00063</v>
          </cell>
          <cell r="B892" t="str">
            <v xml:space="preserve">TK HOI KHIN </v>
          </cell>
          <cell r="C892">
            <v>1770620.0454545456</v>
          </cell>
        </row>
        <row r="893">
          <cell r="A893" t="str">
            <v>03KB00009</v>
          </cell>
          <cell r="B893" t="str">
            <v>CAHAYA NIBUNG</v>
          </cell>
          <cell r="C893">
            <v>435988.27272727271</v>
          </cell>
        </row>
        <row r="894">
          <cell r="A894" t="str">
            <v>03KB00017</v>
          </cell>
          <cell r="B894" t="str">
            <v>BELLEZA COSMETIC</v>
          </cell>
          <cell r="C894">
            <v>875030.86363636365</v>
          </cell>
        </row>
        <row r="895">
          <cell r="A895" t="str">
            <v>03KB00021</v>
          </cell>
          <cell r="B895" t="str">
            <v>PETER MART</v>
          </cell>
          <cell r="C895">
            <v>317863.63636363635</v>
          </cell>
        </row>
        <row r="896">
          <cell r="A896" t="str">
            <v>03KB00023</v>
          </cell>
          <cell r="B896" t="str">
            <v>APOTIK CAHAYA</v>
          </cell>
          <cell r="C896">
            <v>14297371.227272732</v>
          </cell>
        </row>
        <row r="897">
          <cell r="A897" t="str">
            <v>04TB00016</v>
          </cell>
          <cell r="B897" t="str">
            <v>QUEEN COSMETIC I</v>
          </cell>
          <cell r="C897">
            <v>2084147.0454545456</v>
          </cell>
        </row>
        <row r="898">
          <cell r="A898" t="str">
            <v>05MT00006</v>
          </cell>
          <cell r="B898" t="str">
            <v>LOVE MART / RUDI</v>
          </cell>
          <cell r="C898">
            <v>2081616.1363636362</v>
          </cell>
        </row>
        <row r="899">
          <cell r="A899" t="str">
            <v>05MT00036</v>
          </cell>
          <cell r="B899" t="str">
            <v>ASUN</v>
          </cell>
          <cell r="C899">
            <v>503284.09090909094</v>
          </cell>
        </row>
        <row r="900">
          <cell r="A900" t="str">
            <v>06JB00002</v>
          </cell>
          <cell r="B900" t="str">
            <v>TOKO SINAR MAKMUR</v>
          </cell>
          <cell r="C900">
            <v>3985317.8181818184</v>
          </cell>
        </row>
        <row r="901">
          <cell r="A901" t="str">
            <v>06JB00006</v>
          </cell>
          <cell r="B901" t="str">
            <v>SETIA KAWAN</v>
          </cell>
          <cell r="C901">
            <v>493063.63636363635</v>
          </cell>
        </row>
        <row r="902">
          <cell r="A902" t="str">
            <v>06JB00008</v>
          </cell>
          <cell r="B902" t="str">
            <v>AFU ELEKTRONIK</v>
          </cell>
          <cell r="C902">
            <v>8276503.9090909101</v>
          </cell>
        </row>
        <row r="903">
          <cell r="A903" t="str">
            <v>06JB00017</v>
          </cell>
          <cell r="B903" t="str">
            <v>AGUS/TIARA KELAPA</v>
          </cell>
          <cell r="C903">
            <v>129542.04545454547</v>
          </cell>
        </row>
        <row r="904">
          <cell r="A904" t="str">
            <v>07JK00019</v>
          </cell>
          <cell r="B904" t="str">
            <v>PT. DUA SAUDARA TERUS JAYA</v>
          </cell>
          <cell r="C904">
            <v>75600</v>
          </cell>
        </row>
        <row r="905">
          <cell r="A905" t="str">
            <v>07JK00043</v>
          </cell>
          <cell r="B905" t="str">
            <v>SARI COSMETIC</v>
          </cell>
          <cell r="C905">
            <v>701376.13636363624</v>
          </cell>
        </row>
        <row r="906">
          <cell r="A906" t="str">
            <v>07JK00057</v>
          </cell>
          <cell r="B906" t="str">
            <v>ASWIN</v>
          </cell>
          <cell r="C906">
            <v>544663.63636363624</v>
          </cell>
        </row>
        <row r="907">
          <cell r="A907" t="str">
            <v>08PS00020</v>
          </cell>
          <cell r="B907" t="str">
            <v>CHIN KIE MIN</v>
          </cell>
          <cell r="C907">
            <v>622463.18181818188</v>
          </cell>
        </row>
        <row r="908">
          <cell r="A908" t="str">
            <v>08PS00021</v>
          </cell>
          <cell r="B908" t="str">
            <v>LIE WAN LIONG-BINTANG 5</v>
          </cell>
          <cell r="C908">
            <v>2001012.5454545461</v>
          </cell>
        </row>
        <row r="909">
          <cell r="A909" t="str">
            <v>08PS00021</v>
          </cell>
          <cell r="B909" t="str">
            <v>LIE WAN LIONG-BINTANG 6</v>
          </cell>
          <cell r="C909">
            <v>133200.00000000003</v>
          </cell>
        </row>
        <row r="910">
          <cell r="A910" t="str">
            <v>08PS00022</v>
          </cell>
          <cell r="B910" t="str">
            <v>HENDRA-SUMBER KECANTIKAN</v>
          </cell>
          <cell r="C910">
            <v>5700350.1818181835</v>
          </cell>
        </row>
        <row r="911">
          <cell r="A911" t="str">
            <v>08PS00025</v>
          </cell>
          <cell r="B911" t="str">
            <v>TOKO ANDERI II</v>
          </cell>
          <cell r="C911">
            <v>263600</v>
          </cell>
        </row>
        <row r="912">
          <cell r="A912" t="str">
            <v>08PS00027</v>
          </cell>
          <cell r="B912" t="str">
            <v>SUKISNO</v>
          </cell>
          <cell r="C912">
            <v>4258666.3636363642</v>
          </cell>
        </row>
        <row r="913">
          <cell r="A913" t="str">
            <v>08PS00031</v>
          </cell>
          <cell r="B913" t="str">
            <v>AFAT BTC</v>
          </cell>
          <cell r="C913">
            <v>1996939.3636363647</v>
          </cell>
        </row>
        <row r="914">
          <cell r="A914" t="str">
            <v>08PS00035</v>
          </cell>
          <cell r="B914" t="str">
            <v>TOKO DAMAI / CHIA KIAT HIAN II</v>
          </cell>
          <cell r="C914">
            <v>1508155.4545454544</v>
          </cell>
        </row>
        <row r="915">
          <cell r="A915" t="str">
            <v>09SM00017</v>
          </cell>
          <cell r="B915" t="str">
            <v>TO. JAYA SEHAT</v>
          </cell>
          <cell r="C915">
            <v>199800.00000000006</v>
          </cell>
        </row>
        <row r="916">
          <cell r="A916" t="str">
            <v>09SM00031</v>
          </cell>
          <cell r="B916" t="str">
            <v>CV. BERKAH JAYA GLOBAL/LING COLLECTION</v>
          </cell>
          <cell r="C916">
            <v>177600.00000000003</v>
          </cell>
        </row>
        <row r="917">
          <cell r="A917" t="str">
            <v>1.MART</v>
          </cell>
          <cell r="B917" t="str">
            <v>PERMATA MART,NGABANG</v>
          </cell>
          <cell r="C917">
            <v>7363987.6363636395</v>
          </cell>
        </row>
        <row r="918">
          <cell r="A918" t="str">
            <v>10PB00002</v>
          </cell>
          <cell r="B918" t="str">
            <v>TOKO MELIA JAYA</v>
          </cell>
          <cell r="C918">
            <v>112636</v>
          </cell>
        </row>
        <row r="919">
          <cell r="A919" t="str">
            <v>10PB00015</v>
          </cell>
          <cell r="B919" t="str">
            <v xml:space="preserve">PT. AJMART SUKSES MAKMUR </v>
          </cell>
          <cell r="C919">
            <v>4664345.1818181816</v>
          </cell>
        </row>
        <row r="920">
          <cell r="A920" t="str">
            <v>11JS00014</v>
          </cell>
          <cell r="B920" t="str">
            <v>APOTIK DEWI</v>
          </cell>
          <cell r="C920">
            <v>3614379.5454545468</v>
          </cell>
        </row>
        <row r="921">
          <cell r="A921" t="str">
            <v>11JS00021</v>
          </cell>
          <cell r="B921" t="str">
            <v>TOKO ABOT</v>
          </cell>
          <cell r="C921">
            <v>3655453.6363636358</v>
          </cell>
        </row>
        <row r="922">
          <cell r="A922" t="str">
            <v>12JB00019</v>
          </cell>
          <cell r="B922" t="str">
            <v>TOKO DIAN / MALIM JUANDA</v>
          </cell>
          <cell r="C922">
            <v>977352.54545454553</v>
          </cell>
        </row>
        <row r="923">
          <cell r="A923" t="str">
            <v>13BL00002</v>
          </cell>
          <cell r="B923" t="str">
            <v>TOKO SEHAT</v>
          </cell>
          <cell r="C923">
            <v>4722229.3636363642</v>
          </cell>
        </row>
        <row r="924">
          <cell r="A924" t="str">
            <v>168NW</v>
          </cell>
          <cell r="B924" t="str">
            <v>168 ,TOKO</v>
          </cell>
          <cell r="C924">
            <v>504130.90909090918</v>
          </cell>
        </row>
        <row r="925">
          <cell r="A925" t="str">
            <v>17LK00149</v>
          </cell>
          <cell r="B925" t="str">
            <v>SEN JAYA</v>
          </cell>
          <cell r="C925">
            <v>1608618.9999999995</v>
          </cell>
        </row>
        <row r="926">
          <cell r="A926" t="str">
            <v>17LK00150</v>
          </cell>
          <cell r="B926" t="str">
            <v>KIAN SIN</v>
          </cell>
          <cell r="C926">
            <v>1781528.1818181821</v>
          </cell>
        </row>
        <row r="927">
          <cell r="A927" t="str">
            <v>18LK00017</v>
          </cell>
          <cell r="B927" t="str">
            <v>MY COSMETIK</v>
          </cell>
          <cell r="C927">
            <v>45463897.590909101</v>
          </cell>
        </row>
        <row r="928">
          <cell r="A928" t="str">
            <v>18LK00025</v>
          </cell>
          <cell r="B928" t="str">
            <v>NORI COSMETIK</v>
          </cell>
          <cell r="C928">
            <v>4677930.9545454541</v>
          </cell>
        </row>
        <row r="929">
          <cell r="A929" t="str">
            <v>18LK00041</v>
          </cell>
          <cell r="B929" t="str">
            <v>HARI MART</v>
          </cell>
          <cell r="C929">
            <v>18900</v>
          </cell>
        </row>
        <row r="930">
          <cell r="A930" t="str">
            <v>19LK00077</v>
          </cell>
          <cell r="B930" t="str">
            <v>SHABILA MART</v>
          </cell>
          <cell r="C930">
            <v>61983.409090909081</v>
          </cell>
        </row>
        <row r="931">
          <cell r="A931" t="str">
            <v>19LK0101</v>
          </cell>
          <cell r="B931" t="str">
            <v>HENY</v>
          </cell>
          <cell r="C931">
            <v>20003162.181818184</v>
          </cell>
        </row>
        <row r="932">
          <cell r="A932" t="str">
            <v>19LK0131</v>
          </cell>
          <cell r="B932" t="str">
            <v>TOKO FANA</v>
          </cell>
          <cell r="C932">
            <v>773646.363636364</v>
          </cell>
        </row>
        <row r="933">
          <cell r="A933" t="str">
            <v>19LK0186</v>
          </cell>
          <cell r="B933" t="str">
            <v>SUMBER REZEKI</v>
          </cell>
          <cell r="C933">
            <v>1087601.9545454544</v>
          </cell>
        </row>
        <row r="934">
          <cell r="A934" t="str">
            <v>19LK0187</v>
          </cell>
          <cell r="B934" t="str">
            <v>CV CAHAYA INDAH MENTARI/SEPERADIK</v>
          </cell>
          <cell r="C934">
            <v>347337.90909090906</v>
          </cell>
        </row>
        <row r="935">
          <cell r="A935" t="str">
            <v>19LK0210</v>
          </cell>
          <cell r="B935" t="str">
            <v>TK. FAIRUZ</v>
          </cell>
          <cell r="C935">
            <v>4830818.9090909092</v>
          </cell>
        </row>
        <row r="936">
          <cell r="A936" t="str">
            <v>19LK0227</v>
          </cell>
          <cell r="B936" t="str">
            <v>MELIA JAYA 3</v>
          </cell>
          <cell r="C936">
            <v>1576853.1818181819</v>
          </cell>
        </row>
        <row r="937">
          <cell r="A937" t="str">
            <v>20LK0326</v>
          </cell>
          <cell r="B937" t="str">
            <v>AJ MART MENTOK</v>
          </cell>
          <cell r="C937">
            <v>2063618.1818181821</v>
          </cell>
        </row>
        <row r="938">
          <cell r="A938" t="str">
            <v>20LK0352</v>
          </cell>
          <cell r="B938" t="str">
            <v>AJ MART S.KATIS</v>
          </cell>
          <cell r="C938">
            <v>144450</v>
          </cell>
        </row>
        <row r="939">
          <cell r="A939" t="str">
            <v>20LK0385</v>
          </cell>
          <cell r="B939" t="str">
            <v>AZ MART</v>
          </cell>
          <cell r="C939">
            <v>317863.63636363635</v>
          </cell>
        </row>
        <row r="940">
          <cell r="A940" t="str">
            <v>20LK0388</v>
          </cell>
          <cell r="B940" t="str">
            <v>TOKO BB</v>
          </cell>
          <cell r="C940">
            <v>322554</v>
          </cell>
        </row>
        <row r="941">
          <cell r="A941" t="str">
            <v>20LK0408</v>
          </cell>
          <cell r="B941" t="str">
            <v xml:space="preserve">TOKO D&amp;D </v>
          </cell>
          <cell r="C941">
            <v>1211235.9999999998</v>
          </cell>
        </row>
        <row r="942">
          <cell r="A942" t="str">
            <v>20LK0424</v>
          </cell>
          <cell r="B942" t="str">
            <v>TUTI COSMETIK</v>
          </cell>
          <cell r="C942">
            <v>1381500</v>
          </cell>
        </row>
        <row r="943">
          <cell r="A943" t="str">
            <v>20LK0425</v>
          </cell>
          <cell r="B943" t="str">
            <v>TK. STEVEN 2</v>
          </cell>
          <cell r="C943">
            <v>235554</v>
          </cell>
        </row>
        <row r="944">
          <cell r="A944" t="str">
            <v>20LK0440</v>
          </cell>
          <cell r="B944" t="str">
            <v>TOKO YULI MUKTI</v>
          </cell>
          <cell r="C944">
            <v>337908</v>
          </cell>
        </row>
        <row r="945">
          <cell r="A945" t="str">
            <v>20LK0445</v>
          </cell>
          <cell r="B945" t="str">
            <v>LOLIE MART</v>
          </cell>
          <cell r="C945">
            <v>1696221.8181818186</v>
          </cell>
        </row>
        <row r="946">
          <cell r="A946" t="str">
            <v>20LK0453</v>
          </cell>
          <cell r="B946" t="str">
            <v>VJ COSMETIK</v>
          </cell>
          <cell r="C946">
            <v>757155.27272727271</v>
          </cell>
        </row>
        <row r="947">
          <cell r="A947" t="str">
            <v>20LK0492</v>
          </cell>
          <cell r="B947" t="str">
            <v>KIMI MART</v>
          </cell>
          <cell r="C947">
            <v>1230629.5454545452</v>
          </cell>
        </row>
        <row r="948">
          <cell r="A948" t="str">
            <v>21LK0492</v>
          </cell>
          <cell r="B948" t="str">
            <v>ZIZI MART</v>
          </cell>
          <cell r="C948">
            <v>513306.27272727271</v>
          </cell>
        </row>
        <row r="949">
          <cell r="A949" t="str">
            <v>21LK0500</v>
          </cell>
          <cell r="B949" t="str">
            <v>CV. PGK BEAUTY STORE</v>
          </cell>
          <cell r="C949">
            <v>74264890.909090906</v>
          </cell>
        </row>
        <row r="950">
          <cell r="A950" t="str">
            <v>21LK0619</v>
          </cell>
          <cell r="B950" t="str">
            <v>AMUK</v>
          </cell>
          <cell r="C950">
            <v>141600</v>
          </cell>
        </row>
        <row r="951">
          <cell r="A951" t="str">
            <v>21LK0646</v>
          </cell>
          <cell r="B951" t="str">
            <v>YL BEAUTY</v>
          </cell>
          <cell r="C951">
            <v>5879113.5454545449</v>
          </cell>
        </row>
        <row r="952">
          <cell r="A952" t="str">
            <v>21LK0692</v>
          </cell>
          <cell r="B952" t="str">
            <v>TOKO FORTUNE</v>
          </cell>
          <cell r="C952">
            <v>3753361.7727272725</v>
          </cell>
        </row>
        <row r="953">
          <cell r="A953" t="str">
            <v>21LK0694</v>
          </cell>
          <cell r="B953" t="str">
            <v>AJ MART 2</v>
          </cell>
          <cell r="C953">
            <v>136337.72727272729</v>
          </cell>
        </row>
        <row r="954">
          <cell r="A954" t="str">
            <v>21LK1018</v>
          </cell>
          <cell r="B954" t="str">
            <v>TOKO METAL</v>
          </cell>
          <cell r="C954">
            <v>105954.54545454546</v>
          </cell>
        </row>
        <row r="955">
          <cell r="A955" t="str">
            <v>21LK1079</v>
          </cell>
          <cell r="B955" t="str">
            <v>DAUS</v>
          </cell>
          <cell r="C955">
            <v>32694.54545454546</v>
          </cell>
        </row>
        <row r="956">
          <cell r="A956" t="str">
            <v>21LK1088</v>
          </cell>
          <cell r="B956" t="str">
            <v>CV CAHAYA INDAH MENTARI/SEPERADIK 2</v>
          </cell>
          <cell r="C956">
            <v>66600.000000000015</v>
          </cell>
        </row>
        <row r="957">
          <cell r="A957" t="str">
            <v>21LK1116</v>
          </cell>
          <cell r="B957" t="str">
            <v xml:space="preserve">AVITA </v>
          </cell>
          <cell r="C957">
            <v>3587158.1818181816</v>
          </cell>
        </row>
        <row r="958">
          <cell r="A958" t="str">
            <v>21LK1145</v>
          </cell>
          <cell r="B958" t="str">
            <v>NELIA SPC</v>
          </cell>
          <cell r="C958">
            <v>88500</v>
          </cell>
        </row>
        <row r="959">
          <cell r="A959" t="str">
            <v>22SPC0007</v>
          </cell>
          <cell r="B959" t="str">
            <v>RIA BEAUTY</v>
          </cell>
          <cell r="C959">
            <v>496624.09090909088</v>
          </cell>
        </row>
        <row r="960">
          <cell r="A960" t="str">
            <v>22SPC0016</v>
          </cell>
          <cell r="B960" t="str">
            <v>MEGA MART 4</v>
          </cell>
          <cell r="C960">
            <v>551583.40909090918</v>
          </cell>
        </row>
        <row r="961">
          <cell r="A961" t="str">
            <v>22SPC0024</v>
          </cell>
          <cell r="B961" t="str">
            <v>MUTIARA DINDA</v>
          </cell>
          <cell r="C961">
            <v>344352.27272727271</v>
          </cell>
        </row>
        <row r="962">
          <cell r="A962" t="str">
            <v>22SPC0038</v>
          </cell>
          <cell r="B962" t="str">
            <v>DE'VIRAL BEAUTY STORE</v>
          </cell>
          <cell r="C962">
            <v>2173288.3636363638</v>
          </cell>
        </row>
        <row r="963">
          <cell r="A963" t="str">
            <v>22SPC0066</v>
          </cell>
          <cell r="B963" t="str">
            <v xml:space="preserve">AJ MART NAMENG </v>
          </cell>
          <cell r="C963">
            <v>158931.81818181818</v>
          </cell>
        </row>
        <row r="964">
          <cell r="A964" t="str">
            <v>22SPC0067</v>
          </cell>
          <cell r="B964" t="str">
            <v>18 MART</v>
          </cell>
          <cell r="C964">
            <v>1121629.0909090908</v>
          </cell>
        </row>
        <row r="965">
          <cell r="A965" t="str">
            <v>22SPC0118</v>
          </cell>
          <cell r="B965" t="str">
            <v>LOLIE MART 2</v>
          </cell>
          <cell r="C965">
            <v>566856.27272727271</v>
          </cell>
        </row>
        <row r="966">
          <cell r="A966" t="str">
            <v>22SPC0156</v>
          </cell>
          <cell r="B966" t="str">
            <v>ALFIRA D'BEAUTY</v>
          </cell>
          <cell r="C966">
            <v>31500000</v>
          </cell>
        </row>
        <row r="967">
          <cell r="A967" t="str">
            <v>23SPC0170</v>
          </cell>
          <cell r="B967" t="str">
            <v>DIANA</v>
          </cell>
          <cell r="C967">
            <v>5376645.0000000009</v>
          </cell>
        </row>
        <row r="968">
          <cell r="A968" t="str">
            <v>23SPC0172</v>
          </cell>
          <cell r="B968" t="str">
            <v>TO. RONAULI</v>
          </cell>
          <cell r="C968">
            <v>4398107.2272727266</v>
          </cell>
        </row>
        <row r="969">
          <cell r="A969" t="str">
            <v>23SPC0189</v>
          </cell>
          <cell r="B969" t="str">
            <v xml:space="preserve">ANDINI BEAUTY </v>
          </cell>
          <cell r="C969">
            <v>1857000.4545454551</v>
          </cell>
        </row>
        <row r="970">
          <cell r="A970" t="str">
            <v>23SPC0200</v>
          </cell>
          <cell r="B970" t="str">
            <v>PT.BERSAMA GLAMINDO INDONESIA</v>
          </cell>
          <cell r="C970">
            <v>17350800.181818184</v>
          </cell>
        </row>
        <row r="971">
          <cell r="A971" t="str">
            <v>23SPC0215</v>
          </cell>
          <cell r="B971" t="str">
            <v>CV. CAHAYA INDAH MENTARI/SEPERADIK 4</v>
          </cell>
          <cell r="C971">
            <v>349108.5</v>
          </cell>
        </row>
        <row r="972">
          <cell r="A972" t="str">
            <v>23SPC0233</v>
          </cell>
          <cell r="B972" t="str">
            <v>AJ MART S. SELAN</v>
          </cell>
          <cell r="C972">
            <v>226800</v>
          </cell>
        </row>
        <row r="973">
          <cell r="A973" t="str">
            <v>23SPC0237</v>
          </cell>
          <cell r="B973" t="str">
            <v>TOKO APPLE</v>
          </cell>
          <cell r="C973">
            <v>146065.90909090912</v>
          </cell>
        </row>
        <row r="974">
          <cell r="A974" t="str">
            <v>23SPC0238</v>
          </cell>
          <cell r="B974" t="str">
            <v>I YOU BEAUTY STORE</v>
          </cell>
          <cell r="C974">
            <v>1694497.0909090908</v>
          </cell>
        </row>
        <row r="975">
          <cell r="A975" t="str">
            <v>23SPC0241</v>
          </cell>
          <cell r="B975" t="str">
            <v>FLO STORE</v>
          </cell>
          <cell r="C975">
            <v>16246213.636363639</v>
          </cell>
        </row>
        <row r="976">
          <cell r="A976" t="str">
            <v>23SPC0242</v>
          </cell>
          <cell r="B976" t="str">
            <v>LOLIE MART 3</v>
          </cell>
          <cell r="C976">
            <v>469227.27272727271</v>
          </cell>
        </row>
        <row r="977">
          <cell r="A977" t="str">
            <v>23SPC0244</v>
          </cell>
          <cell r="B977" t="str">
            <v>APOTIK RISTI BENCAH</v>
          </cell>
          <cell r="C977">
            <v>2842755.1363636362</v>
          </cell>
        </row>
        <row r="978">
          <cell r="A978" t="str">
            <v>23SPC0246</v>
          </cell>
          <cell r="B978" t="str">
            <v>SASHA BEAUTY</v>
          </cell>
          <cell r="C978">
            <v>2478501.8181818184</v>
          </cell>
        </row>
        <row r="979">
          <cell r="A979" t="str">
            <v>23SPC0257</v>
          </cell>
          <cell r="B979" t="str">
            <v>AS BEAUTY STORE</v>
          </cell>
          <cell r="C979">
            <v>947233.63636363624</v>
          </cell>
        </row>
        <row r="980">
          <cell r="A980" t="str">
            <v>23SPC0268</v>
          </cell>
          <cell r="B980" t="str">
            <v>NBC</v>
          </cell>
          <cell r="C980">
            <v>1312905.4090909092</v>
          </cell>
        </row>
        <row r="981">
          <cell r="A981" t="str">
            <v>23SPC0297</v>
          </cell>
          <cell r="B981" t="str">
            <v>REYSHA STORE</v>
          </cell>
          <cell r="C981">
            <v>40784176.36363636</v>
          </cell>
        </row>
        <row r="982">
          <cell r="A982" t="str">
            <v>23SPC0304</v>
          </cell>
          <cell r="B982" t="str">
            <v>VIOLA SPC</v>
          </cell>
          <cell r="C982">
            <v>28607.727272727276</v>
          </cell>
        </row>
        <row r="983">
          <cell r="A983" t="str">
            <v>23SPC0309</v>
          </cell>
          <cell r="B983" t="str">
            <v>JUZA BEAUTY</v>
          </cell>
          <cell r="C983">
            <v>1011868.4545454544</v>
          </cell>
        </row>
        <row r="984">
          <cell r="A984" t="str">
            <v>A002</v>
          </cell>
          <cell r="B984" t="str">
            <v>AA MART T.ALAM</v>
          </cell>
          <cell r="C984">
            <v>652542.04545454553</v>
          </cell>
        </row>
        <row r="985">
          <cell r="A985" t="str">
            <v>A003</v>
          </cell>
          <cell r="B985" t="str">
            <v>AB MART</v>
          </cell>
          <cell r="C985">
            <v>1260605.5909090906</v>
          </cell>
        </row>
        <row r="986">
          <cell r="A986" t="str">
            <v>A005</v>
          </cell>
          <cell r="B986" t="str">
            <v>ABEJA MART</v>
          </cell>
          <cell r="C986">
            <v>1071279.5454545454</v>
          </cell>
        </row>
        <row r="987">
          <cell r="A987" t="str">
            <v>A006</v>
          </cell>
          <cell r="B987" t="str">
            <v>ABEJA MART 2</v>
          </cell>
          <cell r="C987">
            <v>1166250</v>
          </cell>
        </row>
        <row r="988">
          <cell r="A988" t="str">
            <v>A016</v>
          </cell>
          <cell r="B988" t="str">
            <v>ADR JAYA</v>
          </cell>
          <cell r="C988">
            <v>6983181.8181818202</v>
          </cell>
        </row>
        <row r="989">
          <cell r="A989" t="str">
            <v>A023</v>
          </cell>
          <cell r="B989" t="str">
            <v>AL FATIH MART PYK</v>
          </cell>
          <cell r="C989">
            <v>593254.31818181812</v>
          </cell>
        </row>
        <row r="990">
          <cell r="A990" t="str">
            <v>A027</v>
          </cell>
          <cell r="B990" t="str">
            <v>AL-FAUZAN</v>
          </cell>
          <cell r="C990">
            <v>517663.63636363641</v>
          </cell>
        </row>
        <row r="991">
          <cell r="A991" t="str">
            <v>A040</v>
          </cell>
          <cell r="B991" t="str">
            <v>APOTIK ANUGRAH</v>
          </cell>
          <cell r="C991">
            <v>6294445.9090909092</v>
          </cell>
        </row>
        <row r="992">
          <cell r="A992" t="str">
            <v>A043</v>
          </cell>
          <cell r="B992" t="str">
            <v>APOTIK LOVI</v>
          </cell>
          <cell r="C992">
            <v>3016864.2727272725</v>
          </cell>
        </row>
        <row r="993">
          <cell r="A993" t="str">
            <v>A052</v>
          </cell>
          <cell r="B993" t="str">
            <v>ARHIZ UG</v>
          </cell>
          <cell r="C993">
            <v>20867142.454545464</v>
          </cell>
        </row>
        <row r="994">
          <cell r="A994" t="str">
            <v>A055</v>
          </cell>
          <cell r="B994" t="str">
            <v>ARM</v>
          </cell>
          <cell r="C994">
            <v>73687912.63636364</v>
          </cell>
        </row>
        <row r="995">
          <cell r="A995" t="str">
            <v>A064</v>
          </cell>
          <cell r="B995" t="str">
            <v>AYANG DENAI</v>
          </cell>
          <cell r="C995">
            <v>2405066.2727272729</v>
          </cell>
        </row>
        <row r="996">
          <cell r="A996" t="str">
            <v>A067</v>
          </cell>
          <cell r="B996" t="str">
            <v>AZM TIKU</v>
          </cell>
          <cell r="C996">
            <v>1647650.4545454546</v>
          </cell>
        </row>
        <row r="997">
          <cell r="A997" t="str">
            <v>A070</v>
          </cell>
          <cell r="B997" t="str">
            <v>AYAH KOSMETIK</v>
          </cell>
          <cell r="C997">
            <v>73809177.545454562</v>
          </cell>
        </row>
        <row r="998">
          <cell r="A998" t="str">
            <v>A073</v>
          </cell>
          <cell r="B998" t="str">
            <v>APOTIK NASIONAL</v>
          </cell>
          <cell r="C998">
            <v>177650</v>
          </cell>
        </row>
        <row r="999">
          <cell r="A999" t="str">
            <v>A079</v>
          </cell>
          <cell r="B999" t="str">
            <v>AO MAKEUP STORE</v>
          </cell>
          <cell r="C999">
            <v>818210.90909090906</v>
          </cell>
        </row>
        <row r="1000">
          <cell r="A1000" t="str">
            <v>A080</v>
          </cell>
          <cell r="B1000" t="str">
            <v>ARUMY COS</v>
          </cell>
          <cell r="C1000">
            <v>2716697.0909090918</v>
          </cell>
        </row>
        <row r="1001">
          <cell r="A1001" t="str">
            <v>A085</v>
          </cell>
          <cell r="B1001" t="str">
            <v>AKOK / LINA</v>
          </cell>
          <cell r="C1001">
            <v>141979.09090909091</v>
          </cell>
        </row>
        <row r="1002">
          <cell r="A1002" t="str">
            <v>A087</v>
          </cell>
          <cell r="B1002" t="str">
            <v>ABIGY</v>
          </cell>
          <cell r="C1002">
            <v>23254865.727272734</v>
          </cell>
        </row>
        <row r="1003">
          <cell r="A1003" t="str">
            <v>A095</v>
          </cell>
          <cell r="B1003" t="str">
            <v>APOTEK ASSYAFI</v>
          </cell>
          <cell r="C1003">
            <v>224623.63636363635</v>
          </cell>
        </row>
        <row r="1004">
          <cell r="A1004" t="str">
            <v>A099</v>
          </cell>
          <cell r="B1004" t="str">
            <v>AISYAH SWL</v>
          </cell>
          <cell r="C1004">
            <v>1505740.7727272732</v>
          </cell>
        </row>
        <row r="1005">
          <cell r="A1005" t="str">
            <v>A108</v>
          </cell>
          <cell r="B1005" t="str">
            <v>AMAT / MOHAMMAD SUHARMAN</v>
          </cell>
          <cell r="C1005">
            <v>978180.68181818188</v>
          </cell>
        </row>
        <row r="1006">
          <cell r="A1006" t="str">
            <v>A120</v>
          </cell>
          <cell r="B1006" t="str">
            <v>AMY / AMINAH</v>
          </cell>
          <cell r="C1006">
            <v>113400</v>
          </cell>
        </row>
        <row r="1007">
          <cell r="A1007" t="str">
            <v>A125</v>
          </cell>
          <cell r="B1007" t="str">
            <v>ANEKA ( TG. BATU ) / SUWANDI</v>
          </cell>
          <cell r="C1007">
            <v>1537179.0909090908</v>
          </cell>
        </row>
        <row r="1008">
          <cell r="A1008" t="str">
            <v>A130</v>
          </cell>
          <cell r="B1008" t="str">
            <v>AY COLLECTION</v>
          </cell>
          <cell r="C1008">
            <v>8946222.272727279</v>
          </cell>
        </row>
        <row r="1009">
          <cell r="A1009" t="str">
            <v>A133</v>
          </cell>
          <cell r="B1009" t="str">
            <v>APOTIK ROSTIE</v>
          </cell>
          <cell r="C1009">
            <v>660109.09090909082</v>
          </cell>
        </row>
        <row r="1010">
          <cell r="A1010" t="str">
            <v>A134</v>
          </cell>
          <cell r="B1010" t="str">
            <v>AYLA MART</v>
          </cell>
          <cell r="C1010">
            <v>340600.90909090912</v>
          </cell>
        </row>
        <row r="1011">
          <cell r="A1011" t="str">
            <v>A141</v>
          </cell>
          <cell r="B1011" t="str">
            <v>APOTEK AURA</v>
          </cell>
          <cell r="C1011">
            <v>2473350.6818181816</v>
          </cell>
        </row>
        <row r="1012">
          <cell r="A1012" t="str">
            <v>A143</v>
          </cell>
          <cell r="B1012" t="str">
            <v>ANANDA MART</v>
          </cell>
          <cell r="C1012">
            <v>432294.54545454535</v>
          </cell>
        </row>
        <row r="1013">
          <cell r="A1013" t="str">
            <v>A147</v>
          </cell>
          <cell r="B1013" t="str">
            <v>AURA BEAUTY COST</v>
          </cell>
          <cell r="C1013">
            <v>3501293.6363636367</v>
          </cell>
        </row>
        <row r="1014">
          <cell r="A1014" t="str">
            <v>A149</v>
          </cell>
          <cell r="B1014" t="str">
            <v>AQILA KOSMETIK</v>
          </cell>
          <cell r="C1014">
            <v>714200</v>
          </cell>
        </row>
        <row r="1015">
          <cell r="A1015" t="str">
            <v>A165</v>
          </cell>
          <cell r="B1015" t="str">
            <v>ASIANG / SUI SIM</v>
          </cell>
          <cell r="C1015">
            <v>1269975.9090909089</v>
          </cell>
        </row>
        <row r="1016">
          <cell r="A1016" t="str">
            <v>A172</v>
          </cell>
          <cell r="B1016" t="str">
            <v>ASUN FAMILY / LIM SUILENG</v>
          </cell>
          <cell r="C1016">
            <v>37084.090909090912</v>
          </cell>
        </row>
        <row r="1017">
          <cell r="A1017" t="str">
            <v>A183</v>
          </cell>
          <cell r="B1017" t="str">
            <v>ATIE / CENG NGI</v>
          </cell>
          <cell r="C1017">
            <v>187600</v>
          </cell>
        </row>
        <row r="1018">
          <cell r="A1018" t="str">
            <v>A184</v>
          </cell>
          <cell r="B1018" t="str">
            <v>ATIN ALIAS THING SIOE</v>
          </cell>
          <cell r="C1018">
            <v>4676491.3636363642</v>
          </cell>
        </row>
        <row r="1019">
          <cell r="A1019" t="str">
            <v>A202</v>
          </cell>
          <cell r="B1019" t="str">
            <v>ASENG ( BT 20 ) /  A SING</v>
          </cell>
          <cell r="C1019">
            <v>124496.59090909091</v>
          </cell>
        </row>
        <row r="1020">
          <cell r="A1020" t="str">
            <v>A278</v>
          </cell>
          <cell r="B1020" t="str">
            <v>ARLA / WIYATMI</v>
          </cell>
          <cell r="C1020">
            <v>389700</v>
          </cell>
        </row>
        <row r="1021">
          <cell r="A1021" t="str">
            <v>A317</v>
          </cell>
          <cell r="B1021" t="str">
            <v>AYONG / SARWADI WIJAYA</v>
          </cell>
          <cell r="C1021">
            <v>18900</v>
          </cell>
        </row>
        <row r="1022">
          <cell r="A1022" t="str">
            <v>A320</v>
          </cell>
          <cell r="B1022" t="str">
            <v>ALAI / YEO A LAI</v>
          </cell>
          <cell r="C1022">
            <v>84000</v>
          </cell>
        </row>
        <row r="1023">
          <cell r="A1023" t="str">
            <v>A458</v>
          </cell>
          <cell r="B1023" t="str">
            <v>ANA ( DABO SINGKEP )</v>
          </cell>
          <cell r="C1023">
            <v>3117213.4090909092</v>
          </cell>
        </row>
        <row r="1024">
          <cell r="A1024" t="str">
            <v>A491</v>
          </cell>
          <cell r="B1024" t="str">
            <v>AJO SUMBAR / HASAN BASRI ANES T</v>
          </cell>
          <cell r="C1024">
            <v>1358099.9999999998</v>
          </cell>
        </row>
        <row r="1025">
          <cell r="A1025" t="str">
            <v>AA010059</v>
          </cell>
          <cell r="B1025" t="str">
            <v>AWO KOSMETIK</v>
          </cell>
          <cell r="C1025">
            <v>11623939.090909092</v>
          </cell>
        </row>
        <row r="1026">
          <cell r="A1026" t="str">
            <v>AA010068</v>
          </cell>
          <cell r="B1026" t="str">
            <v>ADEL ACC</v>
          </cell>
          <cell r="C1026">
            <v>1814400</v>
          </cell>
        </row>
        <row r="1027">
          <cell r="A1027" t="str">
            <v>AA0104000001</v>
          </cell>
          <cell r="B1027" t="str">
            <v>MURAH NIAN</v>
          </cell>
          <cell r="C1027">
            <v>24941460.954545461</v>
          </cell>
        </row>
        <row r="1028">
          <cell r="A1028" t="str">
            <v>AA0106000001</v>
          </cell>
          <cell r="B1028" t="str">
            <v>CV, JHON NIAGA PERKASA ( C )</v>
          </cell>
          <cell r="C1028">
            <v>50189052.318181813</v>
          </cell>
        </row>
        <row r="1029">
          <cell r="A1029" t="str">
            <v>AA0114000002</v>
          </cell>
          <cell r="B1029" t="str">
            <v>TOKO PAKDE JAMAL</v>
          </cell>
          <cell r="C1029">
            <v>412205.68181818182</v>
          </cell>
        </row>
        <row r="1030">
          <cell r="A1030" t="str">
            <v>AA011501</v>
          </cell>
          <cell r="B1030" t="str">
            <v>FARHAN ACC</v>
          </cell>
          <cell r="C1030">
            <v>5420099.9999999991</v>
          </cell>
        </row>
        <row r="1031">
          <cell r="A1031" t="str">
            <v>AA015111</v>
          </cell>
          <cell r="B1031" t="str">
            <v>RUDI RENO ACC</v>
          </cell>
          <cell r="C1031">
            <v>1019161.6363636365</v>
          </cell>
        </row>
        <row r="1032">
          <cell r="A1032" t="str">
            <v>AA015112</v>
          </cell>
          <cell r="B1032" t="str">
            <v>RONI ACC</v>
          </cell>
          <cell r="C1032">
            <v>8744000.7272727322</v>
          </cell>
        </row>
        <row r="1033">
          <cell r="A1033" t="str">
            <v>AA015411</v>
          </cell>
          <cell r="B1033" t="str">
            <v>SAHABAT - MANDIRI</v>
          </cell>
          <cell r="C1033">
            <v>793800</v>
          </cell>
        </row>
        <row r="1034">
          <cell r="A1034" t="str">
            <v>AA021205</v>
          </cell>
          <cell r="B1034" t="str">
            <v>EVORA KOSMETIK</v>
          </cell>
          <cell r="C1034">
            <v>814033.63636363647</v>
          </cell>
        </row>
        <row r="1035">
          <cell r="A1035" t="str">
            <v>AA025705</v>
          </cell>
          <cell r="B1035" t="str">
            <v>TARGET KOSMETIK III</v>
          </cell>
          <cell r="C1035">
            <v>3235627.2272727266</v>
          </cell>
        </row>
        <row r="1036">
          <cell r="A1036" t="str">
            <v>AA026605</v>
          </cell>
          <cell r="B1036" t="str">
            <v>WABISABI</v>
          </cell>
          <cell r="C1036">
            <v>71319053.454545453</v>
          </cell>
        </row>
        <row r="1037">
          <cell r="A1037" t="str">
            <v>AA030006</v>
          </cell>
          <cell r="B1037" t="str">
            <v>AMRIL</v>
          </cell>
          <cell r="C1037">
            <v>111000.00000000001</v>
          </cell>
        </row>
        <row r="1038">
          <cell r="A1038" t="str">
            <v>AA030011</v>
          </cell>
          <cell r="B1038" t="str">
            <v>ADITYA</v>
          </cell>
          <cell r="C1038">
            <v>1974664.7727272725</v>
          </cell>
        </row>
        <row r="1039">
          <cell r="A1039" t="str">
            <v>AA030182</v>
          </cell>
          <cell r="B1039" t="str">
            <v>CV, WIVIOS GLOBAL INDONESIA - ALIU</v>
          </cell>
          <cell r="C1039">
            <v>70636249.090909109</v>
          </cell>
        </row>
        <row r="1040">
          <cell r="A1040" t="str">
            <v>AA030361</v>
          </cell>
          <cell r="B1040" t="str">
            <v>BELVA</v>
          </cell>
          <cell r="C1040">
            <v>113400</v>
          </cell>
        </row>
        <row r="1041">
          <cell r="A1041" t="str">
            <v>AA030388</v>
          </cell>
          <cell r="B1041" t="str">
            <v>BBM CELENTANG</v>
          </cell>
          <cell r="C1041">
            <v>9433664.9999999963</v>
          </cell>
        </row>
        <row r="1042">
          <cell r="A1042" t="str">
            <v>AA030645</v>
          </cell>
          <cell r="B1042" t="str">
            <v>CASANDRA KOSMETIK</v>
          </cell>
          <cell r="C1042">
            <v>254324024.49999997</v>
          </cell>
        </row>
        <row r="1043">
          <cell r="A1043" t="str">
            <v>AA032705</v>
          </cell>
          <cell r="B1043" t="str">
            <v>JM PUTRA SEJAHTERA PT -KT</v>
          </cell>
          <cell r="C1043">
            <v>99900.000000000029</v>
          </cell>
        </row>
        <row r="1044">
          <cell r="A1044" t="str">
            <v>AA032722</v>
          </cell>
          <cell r="B1044" t="str">
            <v>JORIN KOSMETIK</v>
          </cell>
          <cell r="C1044">
            <v>1212497.8181818181</v>
          </cell>
        </row>
        <row r="1045">
          <cell r="A1045" t="str">
            <v>AA032725</v>
          </cell>
          <cell r="B1045" t="str">
            <v>JM SAKO</v>
          </cell>
          <cell r="C1045">
            <v>698845.90909090918</v>
          </cell>
        </row>
        <row r="1046">
          <cell r="A1046" t="str">
            <v>AA033603</v>
          </cell>
          <cell r="B1046" t="str">
            <v>MARIBETH</v>
          </cell>
          <cell r="C1046">
            <v>1044691.8181818181</v>
          </cell>
        </row>
        <row r="1047">
          <cell r="A1047" t="str">
            <v>AA033691</v>
          </cell>
          <cell r="B1047" t="str">
            <v>MBAK SUM</v>
          </cell>
          <cell r="C1047">
            <v>317863.63636363629</v>
          </cell>
        </row>
        <row r="1048">
          <cell r="A1048" t="str">
            <v>AA034201</v>
          </cell>
          <cell r="B1048" t="str">
            <v>OWN KOSMETIK</v>
          </cell>
          <cell r="C1048">
            <v>1237145.4545454544</v>
          </cell>
        </row>
        <row r="1049">
          <cell r="A1049" t="str">
            <v>AA034203</v>
          </cell>
          <cell r="B1049" t="str">
            <v>OKTA</v>
          </cell>
          <cell r="C1049">
            <v>945709.09090909106</v>
          </cell>
        </row>
        <row r="1050">
          <cell r="A1050" t="str">
            <v>AA034564</v>
          </cell>
          <cell r="B1050" t="str">
            <v>PINKIES SHOP</v>
          </cell>
          <cell r="C1050">
            <v>30224134.363636367</v>
          </cell>
        </row>
        <row r="1051">
          <cell r="A1051" t="str">
            <v>AA034566</v>
          </cell>
          <cell r="B1051" t="str">
            <v>PASAMAN 3</v>
          </cell>
          <cell r="C1051">
            <v>234109.09090909091</v>
          </cell>
        </row>
        <row r="1052">
          <cell r="A1052" t="str">
            <v>AA034567</v>
          </cell>
          <cell r="B1052" t="str">
            <v>PANGERAN MART</v>
          </cell>
          <cell r="C1052">
            <v>99518.181818181823</v>
          </cell>
        </row>
        <row r="1053">
          <cell r="A1053" t="str">
            <v>AA035186</v>
          </cell>
          <cell r="B1053" t="str">
            <v>R N N COSMETIC II</v>
          </cell>
          <cell r="C1053">
            <v>809213.45454545447</v>
          </cell>
        </row>
        <row r="1054">
          <cell r="A1054" t="str">
            <v>AA035426</v>
          </cell>
          <cell r="B1054" t="str">
            <v>SAID</v>
          </cell>
          <cell r="C1054">
            <v>1261314.5454545454</v>
          </cell>
        </row>
        <row r="1055">
          <cell r="A1055" t="str">
            <v>AA035443</v>
          </cell>
          <cell r="B1055" t="str">
            <v>SINAR JAYA AGUNG</v>
          </cell>
          <cell r="C1055">
            <v>129467</v>
          </cell>
        </row>
        <row r="1056">
          <cell r="A1056" t="str">
            <v>AA035534</v>
          </cell>
          <cell r="B1056" t="str">
            <v>SERASI JAYA KENTEN</v>
          </cell>
          <cell r="C1056">
            <v>1899679.0909090906</v>
          </cell>
        </row>
        <row r="1057">
          <cell r="A1057" t="str">
            <v>AA038300</v>
          </cell>
          <cell r="B1057" t="str">
            <v>SEVEN STAR</v>
          </cell>
          <cell r="C1057">
            <v>10690884.590909094</v>
          </cell>
        </row>
        <row r="1058">
          <cell r="A1058" t="str">
            <v>AA040021</v>
          </cell>
          <cell r="B1058" t="str">
            <v>CV, JHON NIAGA PERKASA GT ( F )</v>
          </cell>
          <cell r="C1058">
            <v>50921989.545454554</v>
          </cell>
        </row>
        <row r="1059">
          <cell r="A1059" t="str">
            <v>AA040303</v>
          </cell>
          <cell r="B1059" t="str">
            <v>CV,LINDA KOSMETIK</v>
          </cell>
          <cell r="C1059">
            <v>99754321.272727281</v>
          </cell>
        </row>
        <row r="1060">
          <cell r="A1060" t="str">
            <v>AA042700</v>
          </cell>
          <cell r="B1060" t="str">
            <v>JM PUTRA SEJAHTERA PT -IS</v>
          </cell>
          <cell r="C1060">
            <v>2410465.9090909092</v>
          </cell>
        </row>
        <row r="1061">
          <cell r="A1061" t="str">
            <v>AA043511</v>
          </cell>
          <cell r="B1061" t="str">
            <v>MEGA KOSMETIK</v>
          </cell>
          <cell r="C1061">
            <v>26928504.272727288</v>
          </cell>
        </row>
        <row r="1062">
          <cell r="A1062" t="str">
            <v>AA043520</v>
          </cell>
          <cell r="B1062" t="str">
            <v>MISS GLAM</v>
          </cell>
          <cell r="C1062">
            <v>42508927.909090906</v>
          </cell>
        </row>
        <row r="1063">
          <cell r="A1063" t="str">
            <v>AA050388</v>
          </cell>
          <cell r="B1063" t="str">
            <v>BBM ( BENAR-BENAR MURAH)</v>
          </cell>
          <cell r="C1063">
            <v>8507068.0454545449</v>
          </cell>
        </row>
        <row r="1064">
          <cell r="A1064" t="str">
            <v>AA050914</v>
          </cell>
          <cell r="B1064" t="str">
            <v>DIDI</v>
          </cell>
          <cell r="C1064">
            <v>252000</v>
          </cell>
        </row>
        <row r="1065">
          <cell r="A1065" t="str">
            <v>AA052149</v>
          </cell>
          <cell r="B1065" t="str">
            <v>MUHAMMAD RIKO</v>
          </cell>
          <cell r="C1065">
            <v>336798.16772727267</v>
          </cell>
        </row>
        <row r="1066">
          <cell r="A1066" t="str">
            <v>AA052150</v>
          </cell>
          <cell r="B1066" t="str">
            <v>HOUSE OF LINDA</v>
          </cell>
          <cell r="C1066">
            <v>6491886.9545454541</v>
          </cell>
        </row>
        <row r="1067">
          <cell r="A1067" t="str">
            <v>AA052709</v>
          </cell>
          <cell r="B1067" t="str">
            <v>JM PUTRA SEJAHTERA PT-LMB</v>
          </cell>
          <cell r="C1067">
            <v>673416.81818181823</v>
          </cell>
        </row>
        <row r="1068">
          <cell r="A1068" t="str">
            <v>AA053300</v>
          </cell>
          <cell r="B1068" t="str">
            <v>LATANSA - RAHMAN</v>
          </cell>
          <cell r="C1068">
            <v>495552.27272727271</v>
          </cell>
        </row>
        <row r="1069">
          <cell r="A1069" t="str">
            <v>AA053602</v>
          </cell>
          <cell r="B1069" t="str">
            <v>MERY</v>
          </cell>
          <cell r="C1069">
            <v>124875.00000000003</v>
          </cell>
        </row>
        <row r="1070">
          <cell r="A1070" t="str">
            <v>AA054575</v>
          </cell>
          <cell r="B1070" t="str">
            <v>PT,KAGE DWIJAYA</v>
          </cell>
          <cell r="C1070">
            <v>837570.68181818188</v>
          </cell>
        </row>
        <row r="1071">
          <cell r="A1071" t="str">
            <v>AA060917</v>
          </cell>
          <cell r="B1071" t="str">
            <v>DAIRA MART</v>
          </cell>
          <cell r="C1071">
            <v>116295.45454545454</v>
          </cell>
        </row>
        <row r="1072">
          <cell r="A1072" t="str">
            <v>AA070062</v>
          </cell>
          <cell r="B1072" t="str">
            <v>AZZA</v>
          </cell>
          <cell r="C1072">
            <v>133200.00000000003</v>
          </cell>
        </row>
        <row r="1073">
          <cell r="A1073" t="str">
            <v>AA070085</v>
          </cell>
          <cell r="B1073" t="str">
            <v>APOTIK LINDI</v>
          </cell>
          <cell r="C1073">
            <v>114430.9090909091</v>
          </cell>
        </row>
        <row r="1074">
          <cell r="A1074" t="str">
            <v>AA070332</v>
          </cell>
          <cell r="B1074" t="str">
            <v>BELLANE SHOP</v>
          </cell>
          <cell r="C1074">
            <v>3322871.3181818179</v>
          </cell>
        </row>
        <row r="1075">
          <cell r="A1075" t="str">
            <v>AA071313</v>
          </cell>
          <cell r="B1075" t="str">
            <v>FRESH SEKIP</v>
          </cell>
          <cell r="C1075">
            <v>28910202.954545453</v>
          </cell>
        </row>
        <row r="1076">
          <cell r="A1076" t="str">
            <v>AA072715</v>
          </cell>
          <cell r="B1076" t="str">
            <v>J,J BABY SHOP</v>
          </cell>
          <cell r="C1076">
            <v>130989.54545454546</v>
          </cell>
        </row>
        <row r="1077">
          <cell r="A1077" t="str">
            <v>AA072718</v>
          </cell>
          <cell r="B1077" t="str">
            <v>JCR SHOP</v>
          </cell>
          <cell r="C1077">
            <v>3584072.7272727271</v>
          </cell>
        </row>
        <row r="1078">
          <cell r="A1078" t="str">
            <v>AA073622</v>
          </cell>
          <cell r="B1078" t="str">
            <v>MUTIARA INDAH ABUSAMA</v>
          </cell>
          <cell r="C1078">
            <v>421245.00000000012</v>
          </cell>
        </row>
        <row r="1079">
          <cell r="A1079" t="str">
            <v>AA075716</v>
          </cell>
          <cell r="B1079" t="str">
            <v>TUTI</v>
          </cell>
          <cell r="C1079">
            <v>287086.36363636365</v>
          </cell>
        </row>
        <row r="1080">
          <cell r="A1080" t="str">
            <v>AA075717</v>
          </cell>
          <cell r="B1080" t="str">
            <v>TOKO AMINAH</v>
          </cell>
          <cell r="C1080">
            <v>712014.5454545453</v>
          </cell>
        </row>
        <row r="1081">
          <cell r="A1081" t="str">
            <v>AA076001</v>
          </cell>
          <cell r="B1081" t="str">
            <v>ULAN KOSMETIK</v>
          </cell>
          <cell r="C1081">
            <v>510040.90909090906</v>
          </cell>
        </row>
        <row r="1082">
          <cell r="A1082" t="str">
            <v>AA080163</v>
          </cell>
          <cell r="B1082" t="str">
            <v>AZET</v>
          </cell>
          <cell r="C1082">
            <v>1487544.2727272725</v>
          </cell>
        </row>
        <row r="1083">
          <cell r="A1083" t="str">
            <v>AA080238</v>
          </cell>
          <cell r="B1083" t="str">
            <v>AYIN</v>
          </cell>
          <cell r="C1083">
            <v>833352.72727272729</v>
          </cell>
        </row>
        <row r="1084">
          <cell r="A1084" t="str">
            <v>AA080320</v>
          </cell>
          <cell r="B1084" t="str">
            <v>ABI ( ALEX )</v>
          </cell>
          <cell r="C1084">
            <v>1820940.6818181819</v>
          </cell>
        </row>
        <row r="1085">
          <cell r="A1085" t="str">
            <v>AA080412</v>
          </cell>
          <cell r="B1085" t="str">
            <v>BEAUTIVA</v>
          </cell>
          <cell r="C1085">
            <v>7921930.9090909101</v>
          </cell>
        </row>
        <row r="1086">
          <cell r="A1086" t="str">
            <v>AA080413</v>
          </cell>
          <cell r="B1086" t="str">
            <v>BBM SUKABANGUN</v>
          </cell>
          <cell r="C1086">
            <v>11667759.090909092</v>
          </cell>
        </row>
        <row r="1087">
          <cell r="A1087" t="str">
            <v>AA080601</v>
          </cell>
          <cell r="B1087" t="str">
            <v>CEMERLANG - WIWIK</v>
          </cell>
          <cell r="C1087">
            <v>3289742.7272727275</v>
          </cell>
        </row>
        <row r="1088">
          <cell r="A1088" t="str">
            <v>AA080649</v>
          </cell>
          <cell r="B1088" t="str">
            <v>CENDANA</v>
          </cell>
          <cell r="C1088">
            <v>117757.5</v>
          </cell>
        </row>
        <row r="1089">
          <cell r="A1089" t="str">
            <v>AA080974</v>
          </cell>
          <cell r="B1089" t="str">
            <v>DIPSI COSMETIK</v>
          </cell>
          <cell r="C1089">
            <v>519331.13636363635</v>
          </cell>
        </row>
        <row r="1090">
          <cell r="A1090" t="str">
            <v>AA081200</v>
          </cell>
          <cell r="B1090" t="str">
            <v>ERNI</v>
          </cell>
          <cell r="C1090">
            <v>602351.59090909082</v>
          </cell>
        </row>
        <row r="1091">
          <cell r="A1091" t="str">
            <v>AA082720</v>
          </cell>
          <cell r="B1091" t="str">
            <v>JM PUTRA SEJAHTERA PT-SK</v>
          </cell>
          <cell r="C1091">
            <v>386683.63636363641</v>
          </cell>
        </row>
        <row r="1092">
          <cell r="A1092" t="str">
            <v>AA082735</v>
          </cell>
          <cell r="B1092" t="str">
            <v>J,K</v>
          </cell>
          <cell r="C1092">
            <v>8330195.2272727294</v>
          </cell>
        </row>
        <row r="1093">
          <cell r="A1093" t="str">
            <v>AA083011</v>
          </cell>
          <cell r="B1093" t="str">
            <v>KHARISMA (PERINDUSTRIAN)</v>
          </cell>
          <cell r="C1093">
            <v>141389.09090909091</v>
          </cell>
        </row>
        <row r="1094">
          <cell r="A1094" t="str">
            <v>AA083352</v>
          </cell>
          <cell r="B1094" t="str">
            <v>LALA KOSMETIK HOME DRESS</v>
          </cell>
          <cell r="C1094">
            <v>771835.90909090894</v>
          </cell>
        </row>
        <row r="1095">
          <cell r="A1095" t="str">
            <v>AA083610</v>
          </cell>
          <cell r="B1095" t="str">
            <v>MELATI</v>
          </cell>
          <cell r="C1095">
            <v>375079.09090909094</v>
          </cell>
        </row>
        <row r="1096">
          <cell r="A1096" t="str">
            <v>AA083757</v>
          </cell>
          <cell r="B1096" t="str">
            <v>MM 69</v>
          </cell>
          <cell r="C1096">
            <v>2673780.0000000005</v>
          </cell>
        </row>
        <row r="1097">
          <cell r="A1097" t="str">
            <v>AA083936</v>
          </cell>
          <cell r="B1097" t="str">
            <v>TOKO OBAT ENIM LESTARI II</v>
          </cell>
          <cell r="C1097">
            <v>114430.9090909091</v>
          </cell>
        </row>
        <row r="1098">
          <cell r="A1098" t="str">
            <v>AA083937</v>
          </cell>
          <cell r="B1098" t="str">
            <v>NEY KOSMETIK</v>
          </cell>
          <cell r="C1098">
            <v>10891947.272727277</v>
          </cell>
        </row>
        <row r="1099">
          <cell r="A1099" t="str">
            <v>AA083938</v>
          </cell>
          <cell r="B1099" t="str">
            <v>NABILA</v>
          </cell>
          <cell r="C1099">
            <v>5976246.5454545487</v>
          </cell>
        </row>
        <row r="1100">
          <cell r="A1100" t="str">
            <v>AA084597</v>
          </cell>
          <cell r="B1100" t="str">
            <v>PAKDE KWAT</v>
          </cell>
          <cell r="C1100">
            <v>98318.181818181823</v>
          </cell>
        </row>
        <row r="1101">
          <cell r="A1101" t="str">
            <v>AA084801</v>
          </cell>
          <cell r="B1101" t="str">
            <v>QUEEN KOSMETIK</v>
          </cell>
          <cell r="C1101">
            <v>264886.36363636365</v>
          </cell>
        </row>
        <row r="1102">
          <cell r="A1102" t="str">
            <v>AA085228</v>
          </cell>
          <cell r="B1102" t="str">
            <v>RESSHY KOSMETIK</v>
          </cell>
          <cell r="C1102">
            <v>578444.09090909094</v>
          </cell>
        </row>
        <row r="1103">
          <cell r="A1103" t="str">
            <v>AA085233</v>
          </cell>
          <cell r="B1103" t="str">
            <v>R3 KOSMETIK</v>
          </cell>
          <cell r="C1103">
            <v>1809155.4545454546</v>
          </cell>
        </row>
        <row r="1104">
          <cell r="A1104" t="str">
            <v>AA085555</v>
          </cell>
          <cell r="B1104" t="str">
            <v>SABUN MURAH JAYA</v>
          </cell>
          <cell r="C1104">
            <v>-155879.31818181818</v>
          </cell>
        </row>
        <row r="1105">
          <cell r="A1105" t="str">
            <v>AA085562</v>
          </cell>
          <cell r="B1105" t="str">
            <v>SABUN MURAH JAYA 2</v>
          </cell>
          <cell r="C1105">
            <v>3355967.5909090918</v>
          </cell>
        </row>
        <row r="1106">
          <cell r="A1106" t="str">
            <v>AA085721</v>
          </cell>
          <cell r="B1106" t="str">
            <v>TAUPIK</v>
          </cell>
          <cell r="C1106">
            <v>317863.63636363629</v>
          </cell>
        </row>
        <row r="1107">
          <cell r="A1107" t="str">
            <v>AA085777</v>
          </cell>
          <cell r="B1107" t="str">
            <v>TOKO KOSMETIK LINDA</v>
          </cell>
          <cell r="C1107">
            <v>281627.18181818188</v>
          </cell>
        </row>
        <row r="1108">
          <cell r="A1108" t="str">
            <v>AA086053</v>
          </cell>
          <cell r="B1108" t="str">
            <v>TOKO STEFANNY</v>
          </cell>
          <cell r="C1108">
            <v>63000</v>
          </cell>
        </row>
        <row r="1109">
          <cell r="A1109" t="str">
            <v>AA086604</v>
          </cell>
          <cell r="B1109" t="str">
            <v>WARTEL RAISSYAH</v>
          </cell>
          <cell r="C1109">
            <v>2024870.7272727278</v>
          </cell>
        </row>
        <row r="1110">
          <cell r="A1110" t="str">
            <v>AA087500</v>
          </cell>
          <cell r="B1110" t="str">
            <v>ZEST MINI MARKET</v>
          </cell>
          <cell r="C1110">
            <v>455400</v>
          </cell>
        </row>
        <row r="1111">
          <cell r="A1111" t="str">
            <v>AA090001</v>
          </cell>
          <cell r="B1111" t="str">
            <v>A, MAJID</v>
          </cell>
          <cell r="C1111">
            <v>142660.22727272729</v>
          </cell>
        </row>
        <row r="1112">
          <cell r="A1112" t="str">
            <v>AA090096</v>
          </cell>
          <cell r="B1112" t="str">
            <v>ABIN</v>
          </cell>
          <cell r="C1112">
            <v>124875.00000000003</v>
          </cell>
        </row>
        <row r="1113">
          <cell r="A1113" t="str">
            <v>AA090098</v>
          </cell>
          <cell r="B1113" t="str">
            <v>ALESHA KOSMETIK</v>
          </cell>
          <cell r="C1113">
            <v>6904669.7727272743</v>
          </cell>
        </row>
        <row r="1114">
          <cell r="A1114" t="str">
            <v>AA090105</v>
          </cell>
          <cell r="B1114" t="str">
            <v>ALESHA KOSMETIK 2</v>
          </cell>
          <cell r="C1114">
            <v>1524902.7272727271</v>
          </cell>
        </row>
        <row r="1115">
          <cell r="A1115" t="str">
            <v>AA090341</v>
          </cell>
          <cell r="B1115" t="str">
            <v>BEAUTY WITH KIMY COSMETIC</v>
          </cell>
          <cell r="C1115">
            <v>266400.00000000006</v>
          </cell>
        </row>
        <row r="1116">
          <cell r="A1116" t="str">
            <v>AA0908000002</v>
          </cell>
          <cell r="B1116" t="str">
            <v>TANTI KOSMETIK</v>
          </cell>
          <cell r="C1116">
            <v>712547.72727272718</v>
          </cell>
        </row>
        <row r="1117">
          <cell r="A1117" t="str">
            <v>AA090922</v>
          </cell>
          <cell r="B1117" t="str">
            <v>CV, DWIKARYA MANDIRI BEAUTY</v>
          </cell>
          <cell r="C1117">
            <v>33220253.454545449</v>
          </cell>
        </row>
        <row r="1118">
          <cell r="A1118" t="str">
            <v>AA093650</v>
          </cell>
          <cell r="B1118" t="str">
            <v>MAJESTIC FASHION</v>
          </cell>
          <cell r="C1118">
            <v>776797.63636363624</v>
          </cell>
        </row>
        <row r="1119">
          <cell r="A1119" t="str">
            <v>AA097222</v>
          </cell>
          <cell r="B1119" t="str">
            <v>YUDI SERBA</v>
          </cell>
          <cell r="C1119">
            <v>1219536.8181818179</v>
          </cell>
        </row>
        <row r="1120">
          <cell r="A1120" t="str">
            <v>AA098004</v>
          </cell>
          <cell r="B1120" t="str">
            <v>ZUZU KOSMETIK</v>
          </cell>
          <cell r="C1120">
            <v>2520412.9090909087</v>
          </cell>
        </row>
        <row r="1121">
          <cell r="A1121" t="str">
            <v>AA120070</v>
          </cell>
          <cell r="B1121" t="str">
            <v>ALAP STORE</v>
          </cell>
          <cell r="C1121">
            <v>-405000</v>
          </cell>
        </row>
        <row r="1122">
          <cell r="A1122" t="str">
            <v>AA122401</v>
          </cell>
          <cell r="B1122" t="str">
            <v>ICAN</v>
          </cell>
          <cell r="C1122">
            <v>232040.4545454545</v>
          </cell>
        </row>
        <row r="1123">
          <cell r="A1123" t="str">
            <v>AA123622</v>
          </cell>
          <cell r="B1123" t="str">
            <v>LINDA N SON</v>
          </cell>
          <cell r="C1123">
            <v>7433210.9090909092</v>
          </cell>
        </row>
        <row r="1124">
          <cell r="A1124" t="str">
            <v>AA125100</v>
          </cell>
          <cell r="B1124" t="str">
            <v>NEW RATU COSMETIC</v>
          </cell>
          <cell r="C1124">
            <v>1286191.8636363635</v>
          </cell>
        </row>
        <row r="1125">
          <cell r="A1125" t="str">
            <v>AA200084</v>
          </cell>
          <cell r="B1125" t="str">
            <v>AMAN</v>
          </cell>
          <cell r="C1125">
            <v>105000</v>
          </cell>
        </row>
        <row r="1126">
          <cell r="A1126" t="str">
            <v>AA200344</v>
          </cell>
          <cell r="B1126" t="str">
            <v>BLUETEA KOSMETIK</v>
          </cell>
          <cell r="C1126">
            <v>191036.36363636365</v>
          </cell>
        </row>
        <row r="1127">
          <cell r="A1127" t="str">
            <v>AA201503</v>
          </cell>
          <cell r="B1127" t="str">
            <v>FADILAH</v>
          </cell>
          <cell r="C1127">
            <v>612129.54545454553</v>
          </cell>
        </row>
        <row r="1128">
          <cell r="A1128" t="str">
            <v>AA201524</v>
          </cell>
          <cell r="B1128" t="str">
            <v>FIKRI</v>
          </cell>
          <cell r="C1128">
            <v>1446790.9090909089</v>
          </cell>
        </row>
        <row r="1129">
          <cell r="A1129" t="str">
            <v>AA202102</v>
          </cell>
          <cell r="B1129" t="str">
            <v>HIDAYAT</v>
          </cell>
          <cell r="C1129">
            <v>746727.27272727259</v>
          </cell>
        </row>
        <row r="1130">
          <cell r="A1130" t="str">
            <v>AA202437</v>
          </cell>
          <cell r="B1130" t="str">
            <v>IN MART S, MUHAMMADIYAH</v>
          </cell>
          <cell r="C1130">
            <v>317863.63636363635</v>
          </cell>
        </row>
        <row r="1131">
          <cell r="A1131" t="str">
            <v>AA202722</v>
          </cell>
          <cell r="B1131" t="str">
            <v>JM PUTRA SEJAHTERA PT-PJ</v>
          </cell>
          <cell r="C1131">
            <v>384615</v>
          </cell>
        </row>
        <row r="1132">
          <cell r="A1132" t="str">
            <v>AA203644</v>
          </cell>
          <cell r="B1132" t="str">
            <v>MASA JAYA KOSMETIK</v>
          </cell>
          <cell r="C1132">
            <v>173607.95454545453</v>
          </cell>
        </row>
        <row r="1133">
          <cell r="A1133" t="str">
            <v>AA204545</v>
          </cell>
          <cell r="B1133" t="str">
            <v>PINKIES SHOP</v>
          </cell>
          <cell r="C1133">
            <v>7455960</v>
          </cell>
        </row>
        <row r="1134">
          <cell r="A1134" t="str">
            <v>AA205477</v>
          </cell>
          <cell r="B1134" t="str">
            <v>SISKA</v>
          </cell>
          <cell r="C1134">
            <v>317863.63636363635</v>
          </cell>
        </row>
        <row r="1135">
          <cell r="A1135" t="str">
            <v>AA207400</v>
          </cell>
          <cell r="B1135" t="str">
            <v>YOORA BEAUTY HOUSE</v>
          </cell>
          <cell r="C1135">
            <v>1882854.5454545454</v>
          </cell>
        </row>
        <row r="1136">
          <cell r="A1136" t="str">
            <v>AA210043</v>
          </cell>
          <cell r="B1136" t="str">
            <v>APOTIK K-NIA PHARMA</v>
          </cell>
          <cell r="C1136">
            <v>199800.00000000003</v>
          </cell>
        </row>
        <row r="1137">
          <cell r="A1137" t="str">
            <v>AA213601</v>
          </cell>
          <cell r="B1137" t="str">
            <v>MERY</v>
          </cell>
          <cell r="C1137">
            <v>875638.63636363624</v>
          </cell>
        </row>
        <row r="1138">
          <cell r="A1138" t="str">
            <v>AA213623</v>
          </cell>
          <cell r="B1138" t="str">
            <v>MIRING , TK</v>
          </cell>
          <cell r="C1138">
            <v>922453.63636363624</v>
          </cell>
        </row>
        <row r="1139">
          <cell r="A1139" t="str">
            <v>AA220909</v>
          </cell>
          <cell r="B1139" t="str">
            <v>DEMAK JAYA</v>
          </cell>
          <cell r="C1139">
            <v>214200</v>
          </cell>
        </row>
        <row r="1140">
          <cell r="A1140" t="str">
            <v>AA222713</v>
          </cell>
          <cell r="B1140" t="str">
            <v>BON-BON KOSMETIK-JEFRI,C</v>
          </cell>
          <cell r="C1140">
            <v>25097229.954545468</v>
          </cell>
        </row>
        <row r="1141">
          <cell r="A1141" t="str">
            <v>AA223312</v>
          </cell>
          <cell r="B1141" t="str">
            <v>LIA PUPUR</v>
          </cell>
          <cell r="C1141">
            <v>1291990.9090909089</v>
          </cell>
        </row>
        <row r="1142">
          <cell r="A1142" t="str">
            <v>AA223639</v>
          </cell>
          <cell r="B1142" t="str">
            <v>MAUMU KOSMETIK</v>
          </cell>
          <cell r="C1142">
            <v>11945009.318181822</v>
          </cell>
        </row>
        <row r="1143">
          <cell r="A1143" t="str">
            <v>AA225718</v>
          </cell>
          <cell r="B1143" t="str">
            <v>TOKO MIRING KERTAPATI</v>
          </cell>
          <cell r="C1143">
            <v>773471.09090909082</v>
          </cell>
        </row>
        <row r="1144">
          <cell r="A1144" t="str">
            <v>AA226300</v>
          </cell>
          <cell r="B1144" t="str">
            <v>VARENT</v>
          </cell>
          <cell r="C1144">
            <v>3064524.0000000005</v>
          </cell>
        </row>
        <row r="1145">
          <cell r="A1145" t="str">
            <v>AA235416</v>
          </cell>
          <cell r="B1145" t="str">
            <v>SANDIKA KOSMETIK</v>
          </cell>
          <cell r="C1145">
            <v>44034133.363636374</v>
          </cell>
        </row>
        <row r="1146">
          <cell r="A1146" t="str">
            <v>AA300028</v>
          </cell>
          <cell r="B1146" t="str">
            <v>ABONG MART</v>
          </cell>
          <cell r="C1146">
            <v>1285543.6363636362</v>
          </cell>
        </row>
        <row r="1147">
          <cell r="A1147" t="str">
            <v>AA300916</v>
          </cell>
          <cell r="B1147" t="str">
            <v>DAVID</v>
          </cell>
          <cell r="C1147">
            <v>1008000</v>
          </cell>
        </row>
        <row r="1148">
          <cell r="A1148" t="str">
            <v>AA302402</v>
          </cell>
          <cell r="B1148" t="str">
            <v>INDAH SARI</v>
          </cell>
          <cell r="C1148">
            <v>168954.54545454544</v>
          </cell>
        </row>
        <row r="1149">
          <cell r="A1149" t="str">
            <v>AA302409</v>
          </cell>
          <cell r="B1149" t="str">
            <v>INDAH COSMETIK</v>
          </cell>
          <cell r="C1149">
            <v>6728143.9090909082</v>
          </cell>
        </row>
        <row r="1150">
          <cell r="A1150" t="str">
            <v>AA303622</v>
          </cell>
          <cell r="B1150" t="str">
            <v>MM YEARS KELUANG</v>
          </cell>
          <cell r="C1150">
            <v>2054175.4090909092</v>
          </cell>
        </row>
        <row r="1151">
          <cell r="A1151" t="str">
            <v>AA303625</v>
          </cell>
          <cell r="B1151" t="str">
            <v>MM PESONA</v>
          </cell>
          <cell r="C1151">
            <v>1515977.0909090908</v>
          </cell>
        </row>
        <row r="1152">
          <cell r="A1152" t="str">
            <v>AA304503</v>
          </cell>
          <cell r="B1152" t="str">
            <v>PURE KOSMETIK</v>
          </cell>
          <cell r="C1152">
            <v>619622.72727272729</v>
          </cell>
        </row>
        <row r="1153">
          <cell r="A1153" t="str">
            <v>AA304700</v>
          </cell>
          <cell r="B1153" t="str">
            <v>QUEEN KOSMETIK</v>
          </cell>
          <cell r="C1153">
            <v>4654033.7272727285</v>
          </cell>
        </row>
        <row r="1154">
          <cell r="A1154" t="str">
            <v>AA305420</v>
          </cell>
          <cell r="B1154" t="str">
            <v>SURYANI - YEARS</v>
          </cell>
          <cell r="C1154">
            <v>3526206.1363636367</v>
          </cell>
        </row>
        <row r="1155">
          <cell r="A1155" t="str">
            <v>AA305700</v>
          </cell>
          <cell r="B1155" t="str">
            <v>TIARA KOSMETIK</v>
          </cell>
          <cell r="C1155">
            <v>601063.63636363635</v>
          </cell>
        </row>
        <row r="1156">
          <cell r="A1156" t="str">
            <v>AA305708</v>
          </cell>
          <cell r="B1156" t="str">
            <v>TOKO PENDI</v>
          </cell>
          <cell r="C1156">
            <v>780992.72727272718</v>
          </cell>
        </row>
        <row r="1157">
          <cell r="A1157" t="str">
            <v>AA305710</v>
          </cell>
          <cell r="B1157" t="str">
            <v>TELATEN KOSMETIK</v>
          </cell>
          <cell r="C1157">
            <v>2634193.8181818184</v>
          </cell>
        </row>
        <row r="1158">
          <cell r="A1158" t="str">
            <v>AA306600</v>
          </cell>
          <cell r="B1158" t="str">
            <v>WBM</v>
          </cell>
          <cell r="C1158">
            <v>1077067.8181818181</v>
          </cell>
        </row>
        <row r="1159">
          <cell r="A1159" t="str">
            <v>AA320902</v>
          </cell>
          <cell r="B1159" t="str">
            <v>DIAN</v>
          </cell>
          <cell r="C1159">
            <v>336000</v>
          </cell>
        </row>
        <row r="1160">
          <cell r="A1160" t="str">
            <v>AA321800</v>
          </cell>
          <cell r="B1160" t="str">
            <v>CV,GEMINI KOSMETIK</v>
          </cell>
          <cell r="C1160">
            <v>4175457.9545454555</v>
          </cell>
        </row>
        <row r="1161">
          <cell r="A1161" t="str">
            <v>AA324518</v>
          </cell>
          <cell r="B1161" t="str">
            <v>PUSAKA,TK</v>
          </cell>
          <cell r="C1161">
            <v>4817919.0909090927</v>
          </cell>
        </row>
        <row r="1162">
          <cell r="A1162" t="str">
            <v>AA325405</v>
          </cell>
          <cell r="B1162" t="str">
            <v>SINAR BARU (GRANDE)</v>
          </cell>
          <cell r="C1162">
            <v>30325492.909090906</v>
          </cell>
        </row>
        <row r="1163">
          <cell r="A1163" t="str">
            <v>AA326004</v>
          </cell>
          <cell r="B1163" t="str">
            <v>VANIA KOSMETIK</v>
          </cell>
          <cell r="C1163">
            <v>1908212.7272727278</v>
          </cell>
        </row>
        <row r="1164">
          <cell r="A1164" t="str">
            <v>AA326005</v>
          </cell>
          <cell r="B1164" t="str">
            <v>UMAR</v>
          </cell>
          <cell r="C1164">
            <v>6634150.9090909092</v>
          </cell>
        </row>
        <row r="1165">
          <cell r="A1165" t="str">
            <v>AA340604</v>
          </cell>
          <cell r="B1165" t="str">
            <v>CINDE</v>
          </cell>
          <cell r="C1165">
            <v>317863.63636363629</v>
          </cell>
        </row>
        <row r="1166">
          <cell r="A1166" t="str">
            <v>AA340941</v>
          </cell>
          <cell r="B1166" t="str">
            <v>CV,USAHA BARU BERJAYA</v>
          </cell>
          <cell r="C1166">
            <v>3012297.2727272729</v>
          </cell>
        </row>
        <row r="1167">
          <cell r="A1167" t="str">
            <v>AA342437</v>
          </cell>
          <cell r="B1167" t="str">
            <v>INO COSMETIC</v>
          </cell>
          <cell r="C1167">
            <v>635727.27272727271</v>
          </cell>
        </row>
        <row r="1168">
          <cell r="A1168" t="str">
            <v>AA343925</v>
          </cell>
          <cell r="B1168" t="str">
            <v>NURUL</v>
          </cell>
          <cell r="C1168">
            <v>578952.27272727271</v>
          </cell>
        </row>
        <row r="1169">
          <cell r="A1169" t="str">
            <v>AA345181</v>
          </cell>
          <cell r="B1169" t="str">
            <v>RINA KOSMETIK II</v>
          </cell>
          <cell r="C1169">
            <v>44159765.909090906</v>
          </cell>
        </row>
        <row r="1170">
          <cell r="A1170" t="str">
            <v>AA345396</v>
          </cell>
          <cell r="B1170" t="str">
            <v>RANI COLLECTION</v>
          </cell>
          <cell r="C1170">
            <v>1367335.6363636362</v>
          </cell>
        </row>
        <row r="1171">
          <cell r="A1171" t="str">
            <v>AA345746</v>
          </cell>
          <cell r="B1171" t="str">
            <v>TOKO MEGA</v>
          </cell>
          <cell r="C1171">
            <v>882863.63636363635</v>
          </cell>
        </row>
        <row r="1172">
          <cell r="A1172" t="str">
            <v>AA351200</v>
          </cell>
          <cell r="B1172" t="str">
            <v>EDI MARATHON</v>
          </cell>
          <cell r="C1172">
            <v>3236530.9090909092</v>
          </cell>
        </row>
        <row r="1173">
          <cell r="A1173" t="str">
            <v>AA360000</v>
          </cell>
          <cell r="B1173" t="str">
            <v>ARIES MM</v>
          </cell>
          <cell r="C1173">
            <v>3312229.9090909092</v>
          </cell>
        </row>
        <row r="1174">
          <cell r="A1174" t="str">
            <v>AA360300</v>
          </cell>
          <cell r="B1174" t="str">
            <v>BUNDA COSMETIK</v>
          </cell>
          <cell r="C1174">
            <v>279568.63636363635</v>
          </cell>
        </row>
        <row r="1175">
          <cell r="A1175" t="str">
            <v>AA360902</v>
          </cell>
          <cell r="B1175" t="str">
            <v>DEVI,TK</v>
          </cell>
          <cell r="C1175">
            <v>1507179.5454545452</v>
          </cell>
        </row>
        <row r="1176">
          <cell r="A1176" t="str">
            <v>AA360903</v>
          </cell>
          <cell r="B1176" t="str">
            <v>DIANA FARMA,TK</v>
          </cell>
          <cell r="C1176">
            <v>114430.9090909091</v>
          </cell>
        </row>
        <row r="1177">
          <cell r="A1177" t="str">
            <v>AA361501</v>
          </cell>
          <cell r="B1177" t="str">
            <v>FATIAH,TK</v>
          </cell>
          <cell r="C1177">
            <v>17549401.363636367</v>
          </cell>
        </row>
        <row r="1178">
          <cell r="A1178" t="str">
            <v>AA362402</v>
          </cell>
          <cell r="B1178" t="str">
            <v>INDO MURAH</v>
          </cell>
          <cell r="C1178">
            <v>266400.00000000006</v>
          </cell>
        </row>
        <row r="1179">
          <cell r="A1179" t="str">
            <v>AA363613</v>
          </cell>
          <cell r="B1179" t="str">
            <v>MM BERLIAN</v>
          </cell>
          <cell r="C1179">
            <v>397329.54545454541</v>
          </cell>
        </row>
        <row r="1180">
          <cell r="A1180" t="str">
            <v>AA365107</v>
          </cell>
          <cell r="B1180" t="str">
            <v>RUMAH CANTIK KU</v>
          </cell>
          <cell r="C1180">
            <v>14211453.954545455</v>
          </cell>
        </row>
        <row r="1181">
          <cell r="A1181" t="str">
            <v>AA365700</v>
          </cell>
          <cell r="B1181" t="str">
            <v>ALFATOMO</v>
          </cell>
          <cell r="C1181">
            <v>1518098.1818181819</v>
          </cell>
        </row>
        <row r="1182">
          <cell r="A1182" t="str">
            <v>AA365710</v>
          </cell>
          <cell r="B1182" t="str">
            <v>TOKO ARIB JAYA</v>
          </cell>
          <cell r="C1182">
            <v>317863.63636363629</v>
          </cell>
        </row>
        <row r="1183">
          <cell r="A1183" t="str">
            <v>AA367206</v>
          </cell>
          <cell r="B1183" t="str">
            <v>YURI TK</v>
          </cell>
          <cell r="C1183">
            <v>773525.45454545447</v>
          </cell>
        </row>
        <row r="1184">
          <cell r="A1184" t="str">
            <v>AA370303</v>
          </cell>
          <cell r="B1184" t="str">
            <v>BINTANG AGUNG</v>
          </cell>
          <cell r="C1184">
            <v>1379513.1818181816</v>
          </cell>
        </row>
        <row r="1185">
          <cell r="A1185" t="str">
            <v>AA373301</v>
          </cell>
          <cell r="B1185" t="str">
            <v>LINDA</v>
          </cell>
          <cell r="C1185">
            <v>535733.18181818188</v>
          </cell>
        </row>
        <row r="1186">
          <cell r="A1186" t="str">
            <v>AA374501</v>
          </cell>
          <cell r="B1186" t="str">
            <v>PUTRA KEMBAR,MM</v>
          </cell>
          <cell r="C1186">
            <v>151200</v>
          </cell>
        </row>
        <row r="1187">
          <cell r="A1187" t="str">
            <v>AA375101</v>
          </cell>
          <cell r="B1187" t="str">
            <v>REALITA, TK</v>
          </cell>
          <cell r="C1187">
            <v>6384167.5454545468</v>
          </cell>
        </row>
        <row r="1188">
          <cell r="A1188" t="str">
            <v>AA375413</v>
          </cell>
          <cell r="B1188" t="str">
            <v>SHIFA BABY SHOP</v>
          </cell>
          <cell r="C1188">
            <v>416700</v>
          </cell>
        </row>
        <row r="1189">
          <cell r="A1189" t="str">
            <v>AA380002</v>
          </cell>
          <cell r="B1189" t="str">
            <v>AFRIZAL KOSMETIK</v>
          </cell>
          <cell r="C1189">
            <v>1298727.2727272727</v>
          </cell>
        </row>
        <row r="1190">
          <cell r="A1190" t="str">
            <v>AA380903</v>
          </cell>
          <cell r="B1190" t="str">
            <v>DIVA MART</v>
          </cell>
          <cell r="C1190">
            <v>1071600</v>
          </cell>
        </row>
        <row r="1191">
          <cell r="A1191" t="str">
            <v>AA380907</v>
          </cell>
          <cell r="B1191" t="str">
            <v>DAPUR CANTIK</v>
          </cell>
          <cell r="C1191">
            <v>1270261.3636363635</v>
          </cell>
        </row>
        <row r="1192">
          <cell r="A1192" t="str">
            <v>AA380911</v>
          </cell>
          <cell r="B1192" t="str">
            <v>DUNIA KOSMETIK</v>
          </cell>
          <cell r="C1192">
            <v>3405679.0909090908</v>
          </cell>
        </row>
        <row r="1193">
          <cell r="A1193" t="str">
            <v>AA384503</v>
          </cell>
          <cell r="B1193" t="str">
            <v>PUTRI COSMETIC</v>
          </cell>
          <cell r="C1193">
            <v>2252237.6818181816</v>
          </cell>
        </row>
        <row r="1194">
          <cell r="A1194" t="str">
            <v>AA385113</v>
          </cell>
          <cell r="B1194" t="str">
            <v>RAHMA KOSMETIK</v>
          </cell>
          <cell r="C1194">
            <v>5816414.454545456</v>
          </cell>
        </row>
        <row r="1195">
          <cell r="A1195" t="str">
            <v>AA390013</v>
          </cell>
          <cell r="B1195" t="str">
            <v>ARY BEAUTY</v>
          </cell>
          <cell r="C1195">
            <v>7348741.3636363633</v>
          </cell>
        </row>
        <row r="1196">
          <cell r="A1196" t="str">
            <v>AA390094</v>
          </cell>
          <cell r="B1196" t="str">
            <v>APOTIK SAMA SEHAT</v>
          </cell>
          <cell r="C1196">
            <v>457723.63636363641</v>
          </cell>
        </row>
        <row r="1197">
          <cell r="A1197" t="str">
            <v>AA390118</v>
          </cell>
          <cell r="B1197" t="str">
            <v>AYOBONO</v>
          </cell>
          <cell r="C1197">
            <v>375079.09090909082</v>
          </cell>
        </row>
        <row r="1198">
          <cell r="A1198" t="str">
            <v>AA390306</v>
          </cell>
          <cell r="B1198" t="str">
            <v>APOTEK SEHAT</v>
          </cell>
          <cell r="C1198">
            <v>114430.9090909091</v>
          </cell>
        </row>
        <row r="1199">
          <cell r="A1199" t="str">
            <v>AA390371</v>
          </cell>
          <cell r="B1199" t="str">
            <v>BLUEBERRY SHOP 3</v>
          </cell>
          <cell r="C1199">
            <v>113400</v>
          </cell>
        </row>
        <row r="1200">
          <cell r="A1200" t="str">
            <v>AA390372</v>
          </cell>
          <cell r="B1200" t="str">
            <v>BAHAB KOSMETIK</v>
          </cell>
          <cell r="C1200">
            <v>485826.81818181812</v>
          </cell>
        </row>
        <row r="1201">
          <cell r="A1201" t="str">
            <v>AA390602</v>
          </cell>
          <cell r="B1201" t="str">
            <v>CEMARA I,APOTIK</v>
          </cell>
          <cell r="C1201">
            <v>114430.9090909091</v>
          </cell>
        </row>
        <row r="1202">
          <cell r="A1202" t="str">
            <v>AA391812</v>
          </cell>
          <cell r="B1202" t="str">
            <v>GARUDA SPORT</v>
          </cell>
          <cell r="C1202">
            <v>671863.63636363624</v>
          </cell>
        </row>
        <row r="1203">
          <cell r="A1203" t="str">
            <v>AA392105</v>
          </cell>
          <cell r="B1203" t="str">
            <v>HUSADA,APOTIK</v>
          </cell>
          <cell r="C1203">
            <v>133502.72727272729</v>
          </cell>
        </row>
        <row r="1204">
          <cell r="A1204" t="str">
            <v>AA393042</v>
          </cell>
          <cell r="B1204" t="str">
            <v>KERANJANG AA</v>
          </cell>
          <cell r="C1204">
            <v>1593850.6363636362</v>
          </cell>
        </row>
        <row r="1205">
          <cell r="A1205" t="str">
            <v>AA393603</v>
          </cell>
          <cell r="B1205" t="str">
            <v>APOTIK MELATI</v>
          </cell>
          <cell r="C1205">
            <v>915447.27272727282</v>
          </cell>
        </row>
        <row r="1206">
          <cell r="A1206" t="str">
            <v>AA393901</v>
          </cell>
          <cell r="B1206" t="str">
            <v>NITA</v>
          </cell>
          <cell r="C1206">
            <v>144855</v>
          </cell>
        </row>
        <row r="1207">
          <cell r="A1207" t="str">
            <v>AA393921</v>
          </cell>
          <cell r="B1207" t="str">
            <v>NYONYA KOSMETIK</v>
          </cell>
          <cell r="C1207">
            <v>4878681.8181818184</v>
          </cell>
        </row>
        <row r="1208">
          <cell r="A1208" t="str">
            <v>AA395333</v>
          </cell>
          <cell r="B1208" t="str">
            <v>RAINBOW SHOP</v>
          </cell>
          <cell r="C1208">
            <v>255379.09090909091</v>
          </cell>
        </row>
        <row r="1209">
          <cell r="A1209" t="str">
            <v>AA395436</v>
          </cell>
          <cell r="B1209" t="str">
            <v>SRIBUANA</v>
          </cell>
          <cell r="C1209">
            <v>773525.45454545447</v>
          </cell>
        </row>
        <row r="1210">
          <cell r="A1210" t="str">
            <v>AA410011</v>
          </cell>
          <cell r="B1210" t="str">
            <v>APOTIK CORDOVA</v>
          </cell>
          <cell r="C1210">
            <v>372808.63636363635</v>
          </cell>
        </row>
        <row r="1211">
          <cell r="A1211" t="str">
            <v>AA410019</v>
          </cell>
          <cell r="B1211" t="str">
            <v>APOTIK SARAS</v>
          </cell>
          <cell r="C1211">
            <v>168954.54545454544</v>
          </cell>
        </row>
        <row r="1212">
          <cell r="A1212" t="str">
            <v>AA410026</v>
          </cell>
          <cell r="B1212" t="str">
            <v>APOTIK MAKMUR JAYA</v>
          </cell>
          <cell r="C1212">
            <v>2139960.8181818179</v>
          </cell>
        </row>
        <row r="1213">
          <cell r="A1213" t="str">
            <v>AA410036</v>
          </cell>
          <cell r="B1213" t="str">
            <v>APOTIK HASNA</v>
          </cell>
          <cell r="C1213">
            <v>152574.54545454547</v>
          </cell>
        </row>
        <row r="1214">
          <cell r="A1214" t="str">
            <v>AA410043</v>
          </cell>
          <cell r="B1214" t="str">
            <v>APOTEK ANUGRAH</v>
          </cell>
          <cell r="C1214">
            <v>190718.18181818182</v>
          </cell>
        </row>
        <row r="1215">
          <cell r="A1215" t="str">
            <v>AA410044</v>
          </cell>
          <cell r="B1215" t="str">
            <v>APOTIK RYU</v>
          </cell>
          <cell r="C1215">
            <v>114430.9090909091</v>
          </cell>
        </row>
        <row r="1216">
          <cell r="A1216" t="str">
            <v>AA410602</v>
          </cell>
          <cell r="B1216" t="str">
            <v>CALISTA (HERMIN)</v>
          </cell>
          <cell r="C1216">
            <v>1118880</v>
          </cell>
        </row>
        <row r="1217">
          <cell r="A1217" t="str">
            <v>AA410800</v>
          </cell>
          <cell r="B1217" t="str">
            <v>DASRIL</v>
          </cell>
          <cell r="C1217">
            <v>3675906.8181818179</v>
          </cell>
        </row>
        <row r="1218">
          <cell r="A1218" t="str">
            <v>AA412102</v>
          </cell>
          <cell r="B1218" t="str">
            <v>HERI KOSMETIK</v>
          </cell>
          <cell r="C1218">
            <v>317863.63636363635</v>
          </cell>
        </row>
        <row r="1219">
          <cell r="A1219" t="str">
            <v>AA413609</v>
          </cell>
          <cell r="B1219" t="str">
            <v>MARS SWALAYAN</v>
          </cell>
          <cell r="C1219">
            <v>473631.13636363635</v>
          </cell>
        </row>
        <row r="1220">
          <cell r="A1220" t="str">
            <v>AA413615</v>
          </cell>
          <cell r="B1220" t="str">
            <v>MISS GLAM LUBUK LINGGAU</v>
          </cell>
          <cell r="C1220">
            <v>39400032.136363626</v>
          </cell>
        </row>
        <row r="1221">
          <cell r="A1221" t="str">
            <v>AA414506</v>
          </cell>
          <cell r="B1221" t="str">
            <v>PINKI MART</v>
          </cell>
          <cell r="C1221">
            <v>17173208.772727277</v>
          </cell>
        </row>
        <row r="1222">
          <cell r="A1222" t="str">
            <v>AA414507</v>
          </cell>
          <cell r="B1222" t="str">
            <v>PROMO MART</v>
          </cell>
          <cell r="C1222">
            <v>568818.40909090906</v>
          </cell>
        </row>
        <row r="1223">
          <cell r="A1223" t="str">
            <v>AA414509</v>
          </cell>
          <cell r="B1223" t="str">
            <v>PELANGI KOSMETIK</v>
          </cell>
          <cell r="C1223">
            <v>1755562.5</v>
          </cell>
        </row>
        <row r="1224">
          <cell r="A1224" t="str">
            <v>AA415403</v>
          </cell>
          <cell r="B1224" t="str">
            <v>SHERLY</v>
          </cell>
          <cell r="C1224">
            <v>7720652.7272727257</v>
          </cell>
        </row>
        <row r="1225">
          <cell r="A1225" t="str">
            <v>AA415408</v>
          </cell>
          <cell r="B1225" t="str">
            <v>SM BATU URIP</v>
          </cell>
          <cell r="C1225">
            <v>113400</v>
          </cell>
        </row>
        <row r="1226">
          <cell r="A1226" t="str">
            <v>AA415413</v>
          </cell>
          <cell r="B1226" t="str">
            <v>SUBUR LESTARI MART</v>
          </cell>
          <cell r="C1226">
            <v>378000</v>
          </cell>
        </row>
        <row r="1227">
          <cell r="A1227" t="str">
            <v>AA415717</v>
          </cell>
          <cell r="B1227" t="str">
            <v>TOKO, MM SALSABILA</v>
          </cell>
          <cell r="C1227">
            <v>517544.99999999994</v>
          </cell>
        </row>
        <row r="1228">
          <cell r="A1228" t="str">
            <v>AA415723</v>
          </cell>
          <cell r="B1228" t="str">
            <v>TRI MART I ,L</v>
          </cell>
          <cell r="C1228">
            <v>549918.40909090906</v>
          </cell>
        </row>
        <row r="1229">
          <cell r="A1229" t="str">
            <v>AA415724</v>
          </cell>
          <cell r="B1229" t="str">
            <v>TRI MART II ,L</v>
          </cell>
          <cell r="C1229">
            <v>824124.54545454541</v>
          </cell>
        </row>
        <row r="1230">
          <cell r="A1230" t="str">
            <v>AA415725</v>
          </cell>
          <cell r="B1230" t="str">
            <v>TRI MART III ,L</v>
          </cell>
          <cell r="C1230">
            <v>553929.54545454541</v>
          </cell>
        </row>
        <row r="1231">
          <cell r="A1231" t="str">
            <v>AA415730</v>
          </cell>
          <cell r="B1231" t="str">
            <v>TOKO YUYUN</v>
          </cell>
          <cell r="C1231">
            <v>12779764.363636371</v>
          </cell>
        </row>
        <row r="1232">
          <cell r="A1232" t="str">
            <v>AA415739</v>
          </cell>
          <cell r="B1232" t="str">
            <v>TOKO DUTA</v>
          </cell>
          <cell r="C1232">
            <v>129600.00000000001</v>
          </cell>
        </row>
        <row r="1233">
          <cell r="A1233" t="str">
            <v>AA424701</v>
          </cell>
          <cell r="B1233" t="str">
            <v>ROY AYU</v>
          </cell>
          <cell r="C1233">
            <v>259200.00000000003</v>
          </cell>
        </row>
        <row r="1234">
          <cell r="A1234" t="str">
            <v>AA505600</v>
          </cell>
          <cell r="B1234" t="str">
            <v>TOKO YUSUF</v>
          </cell>
          <cell r="C1234">
            <v>331876.81818181818</v>
          </cell>
        </row>
        <row r="1235">
          <cell r="A1235" t="str">
            <v>AA512103</v>
          </cell>
          <cell r="B1235" t="str">
            <v>HARUM, TK</v>
          </cell>
          <cell r="C1235">
            <v>1948763.1818181816</v>
          </cell>
        </row>
        <row r="1236">
          <cell r="A1236" t="str">
            <v>AA520602</v>
          </cell>
          <cell r="B1236" t="str">
            <v>CANTIK MM</v>
          </cell>
          <cell r="C1236">
            <v>9684390.3636363633</v>
          </cell>
        </row>
        <row r="1237">
          <cell r="A1237" t="str">
            <v>AA521800</v>
          </cell>
          <cell r="B1237" t="str">
            <v>Gunawan</v>
          </cell>
          <cell r="C1237">
            <v>2337729.4545454546</v>
          </cell>
        </row>
        <row r="1238">
          <cell r="A1238" t="str">
            <v>AA530000</v>
          </cell>
          <cell r="B1238" t="str">
            <v>A N N</v>
          </cell>
          <cell r="C1238">
            <v>563700</v>
          </cell>
        </row>
        <row r="1239">
          <cell r="A1239" t="str">
            <v>AA530016</v>
          </cell>
          <cell r="B1239" t="str">
            <v>ANTON WIJAYA</v>
          </cell>
          <cell r="C1239">
            <v>402600</v>
          </cell>
        </row>
        <row r="1240">
          <cell r="A1240" t="str">
            <v>AA532400</v>
          </cell>
          <cell r="B1240" t="str">
            <v>ISMET</v>
          </cell>
          <cell r="C1240">
            <v>2748769.0909090908</v>
          </cell>
        </row>
        <row r="1241">
          <cell r="A1241" t="str">
            <v>AA533612</v>
          </cell>
          <cell r="B1241" t="str">
            <v>SS MART</v>
          </cell>
          <cell r="C1241">
            <v>410934</v>
          </cell>
        </row>
        <row r="1242">
          <cell r="A1242" t="str">
            <v>AA535407</v>
          </cell>
          <cell r="B1242" t="str">
            <v>YEARSS MART</v>
          </cell>
          <cell r="C1242">
            <v>231000</v>
          </cell>
        </row>
        <row r="1243">
          <cell r="A1243" t="str">
            <v>AA550301</v>
          </cell>
          <cell r="B1243" t="str">
            <v>EKO</v>
          </cell>
          <cell r="C1243">
            <v>2307804.5454545459</v>
          </cell>
        </row>
        <row r="1244">
          <cell r="A1244" t="str">
            <v>AA555107</v>
          </cell>
          <cell r="B1244" t="str">
            <v>ROKI,TK</v>
          </cell>
          <cell r="C1244">
            <v>487200</v>
          </cell>
        </row>
        <row r="1245">
          <cell r="A1245" t="str">
            <v>AA555406</v>
          </cell>
          <cell r="B1245" t="str">
            <v>SARI TONI KOSMETIK</v>
          </cell>
          <cell r="C1245">
            <v>8693205</v>
          </cell>
        </row>
        <row r="1246">
          <cell r="A1246" t="str">
            <v>AA563620</v>
          </cell>
          <cell r="B1246" t="str">
            <v>MARSYA MART</v>
          </cell>
          <cell r="C1246">
            <v>5741240.8636363633</v>
          </cell>
        </row>
        <row r="1247">
          <cell r="A1247" t="str">
            <v>AA572110</v>
          </cell>
          <cell r="B1247" t="str">
            <v>HOLIDI</v>
          </cell>
          <cell r="C1247">
            <v>3451671.8181818174</v>
          </cell>
        </row>
        <row r="1248">
          <cell r="A1248" t="str">
            <v>AA573309</v>
          </cell>
          <cell r="B1248" t="str">
            <v>LELA</v>
          </cell>
          <cell r="C1248">
            <v>2200163.9090909092</v>
          </cell>
        </row>
        <row r="1249">
          <cell r="A1249" t="str">
            <v>AA573916</v>
          </cell>
          <cell r="B1249" t="str">
            <v>NINDI KOSMETIK</v>
          </cell>
          <cell r="C1249">
            <v>15706880.000000007</v>
          </cell>
        </row>
        <row r="1250">
          <cell r="A1250" t="str">
            <v>AA575114</v>
          </cell>
          <cell r="B1250" t="str">
            <v>REDI,TK</v>
          </cell>
          <cell r="C1250">
            <v>6713740.9090909092</v>
          </cell>
        </row>
        <row r="1251">
          <cell r="A1251" t="str">
            <v>AA580069</v>
          </cell>
          <cell r="B1251" t="str">
            <v>AGUM MEDIKA FARMA</v>
          </cell>
          <cell r="C1251">
            <v>1031018.1818181818</v>
          </cell>
        </row>
        <row r="1252">
          <cell r="A1252" t="str">
            <v>AA580357</v>
          </cell>
          <cell r="B1252" t="str">
            <v>BRINET KOSMETIK</v>
          </cell>
          <cell r="C1252">
            <v>111000</v>
          </cell>
        </row>
        <row r="1253">
          <cell r="A1253" t="str">
            <v>AA580612</v>
          </cell>
          <cell r="B1253" t="str">
            <v>CC KOSMETIK</v>
          </cell>
          <cell r="C1253">
            <v>1969579.0909090908</v>
          </cell>
        </row>
        <row r="1254">
          <cell r="A1254" t="str">
            <v>AA580902</v>
          </cell>
          <cell r="B1254" t="str">
            <v>DEDI</v>
          </cell>
          <cell r="C1254">
            <v>281745</v>
          </cell>
        </row>
        <row r="1255">
          <cell r="A1255" t="str">
            <v>AA580917</v>
          </cell>
          <cell r="B1255" t="str">
            <v>DIVA DEVA</v>
          </cell>
          <cell r="C1255">
            <v>7326925.6363636376</v>
          </cell>
        </row>
        <row r="1256">
          <cell r="A1256" t="str">
            <v>AA581209</v>
          </cell>
          <cell r="B1256" t="str">
            <v>ANANA - EDWAR</v>
          </cell>
          <cell r="C1256">
            <v>133200.00000000003</v>
          </cell>
        </row>
        <row r="1257">
          <cell r="A1257" t="str">
            <v>AA581808</v>
          </cell>
          <cell r="B1257" t="str">
            <v>GADO GADO COSMETIK</v>
          </cell>
          <cell r="C1257">
            <v>61086971.545454547</v>
          </cell>
        </row>
        <row r="1258">
          <cell r="A1258" t="str">
            <v>AA582706</v>
          </cell>
          <cell r="B1258" t="str">
            <v>JULI</v>
          </cell>
          <cell r="C1258">
            <v>2214311.1818181821</v>
          </cell>
        </row>
        <row r="1259">
          <cell r="A1259" t="str">
            <v>AA583010</v>
          </cell>
          <cell r="B1259" t="str">
            <v>KARISMA KOSMETIK</v>
          </cell>
          <cell r="C1259">
            <v>3222145.9090909092</v>
          </cell>
        </row>
        <row r="1260">
          <cell r="A1260" t="str">
            <v>AA585143</v>
          </cell>
          <cell r="B1260" t="str">
            <v>RUMAH PELANGI</v>
          </cell>
          <cell r="C1260">
            <v>5619458.5909090908</v>
          </cell>
        </row>
        <row r="1261">
          <cell r="A1261" t="str">
            <v>AA585437</v>
          </cell>
          <cell r="B1261" t="str">
            <v>SAFIRAH</v>
          </cell>
          <cell r="C1261">
            <v>13936457.272727273</v>
          </cell>
        </row>
        <row r="1262">
          <cell r="A1262" t="str">
            <v>AA585443</v>
          </cell>
          <cell r="B1262" t="str">
            <v>SYAHRUN</v>
          </cell>
          <cell r="C1262">
            <v>-75000</v>
          </cell>
        </row>
        <row r="1263">
          <cell r="A1263" t="str">
            <v>AA590005</v>
          </cell>
          <cell r="B1263" t="str">
            <v>AHMAD</v>
          </cell>
          <cell r="C1263">
            <v>503488.63636363635</v>
          </cell>
        </row>
        <row r="1264">
          <cell r="A1264" t="str">
            <v>AA591201</v>
          </cell>
          <cell r="B1264" t="str">
            <v>EDO CELL</v>
          </cell>
          <cell r="C1264">
            <v>917566.36363636341</v>
          </cell>
        </row>
        <row r="1265">
          <cell r="A1265" t="str">
            <v>AA595401</v>
          </cell>
          <cell r="B1265" t="str">
            <v>SALJU MERAPI II</v>
          </cell>
          <cell r="C1265">
            <v>2408874.1363636362</v>
          </cell>
        </row>
        <row r="1266">
          <cell r="A1266" t="str">
            <v>AA600100</v>
          </cell>
          <cell r="B1266" t="str">
            <v>ALFA EXPRES</v>
          </cell>
          <cell r="C1266">
            <v>1541819.9999999998</v>
          </cell>
        </row>
        <row r="1267">
          <cell r="A1267" t="str">
            <v>AA600200</v>
          </cell>
          <cell r="B1267" t="str">
            <v>BULL N BILL BABY SHOP</v>
          </cell>
          <cell r="C1267">
            <v>3565284.8181818184</v>
          </cell>
        </row>
        <row r="1268">
          <cell r="A1268" t="str">
            <v>AA6506000002</v>
          </cell>
          <cell r="B1268" t="str">
            <v>ANAS NASRUL</v>
          </cell>
          <cell r="C1268">
            <v>628146.59090909094</v>
          </cell>
        </row>
        <row r="1269">
          <cell r="A1269" t="str">
            <v>AA6506000003</v>
          </cell>
          <cell r="B1269" t="str">
            <v>TARIE KOSMETIK</v>
          </cell>
          <cell r="C1269">
            <v>530147.72727272718</v>
          </cell>
        </row>
        <row r="1270">
          <cell r="A1270" t="str">
            <v>AB</v>
          </cell>
          <cell r="B1270" t="str">
            <v>ANUGERAH BEAUTY KOSMETIKA,CV</v>
          </cell>
          <cell r="C1270">
            <v>13568598.40909091</v>
          </cell>
        </row>
        <row r="1271">
          <cell r="A1271" t="str">
            <v>ABADI</v>
          </cell>
          <cell r="B1271" t="str">
            <v>ABADI KOSMETIK,PUTUSIBAU</v>
          </cell>
          <cell r="C1271">
            <v>2281655.4545454541</v>
          </cell>
        </row>
        <row r="1272">
          <cell r="A1272" t="str">
            <v>ABC</v>
          </cell>
          <cell r="B1272" t="str">
            <v>ABC TOKO,SINTANG</v>
          </cell>
          <cell r="C1272">
            <v>1641305.5909090913</v>
          </cell>
        </row>
        <row r="1273">
          <cell r="A1273" t="str">
            <v>ABI1</v>
          </cell>
          <cell r="B1273" t="str">
            <v>ABIGAIL TOKO ,SINTANG</v>
          </cell>
          <cell r="C1273">
            <v>28538510.181818191</v>
          </cell>
        </row>
        <row r="1274">
          <cell r="A1274" t="str">
            <v>ABI2</v>
          </cell>
          <cell r="B1274" t="str">
            <v>ABIGAIL TOKO ,PINOH</v>
          </cell>
          <cell r="C1274">
            <v>55092959.727272712</v>
          </cell>
        </row>
        <row r="1275">
          <cell r="A1275" t="str">
            <v>ADOR</v>
          </cell>
          <cell r="B1275" t="str">
            <v>ADORE COSMETIC ,SEKADAU</v>
          </cell>
          <cell r="C1275">
            <v>255272.72727272726</v>
          </cell>
        </row>
        <row r="1276">
          <cell r="A1276" t="str">
            <v>AGUS1</v>
          </cell>
          <cell r="B1276" t="str">
            <v>AGUS SKW ,TOKO</v>
          </cell>
          <cell r="C1276">
            <v>79516313.454545483</v>
          </cell>
        </row>
        <row r="1277">
          <cell r="A1277" t="str">
            <v>AKP006</v>
          </cell>
          <cell r="B1277" t="str">
            <v>RELASI SD</v>
          </cell>
          <cell r="C1277">
            <v>6044063.1818181826</v>
          </cell>
        </row>
        <row r="1278">
          <cell r="A1278" t="str">
            <v>ALB002</v>
          </cell>
          <cell r="B1278" t="str">
            <v>LASTIUR JAYA FARMA</v>
          </cell>
          <cell r="C1278">
            <v>4692253.6363636358</v>
          </cell>
        </row>
        <row r="1279">
          <cell r="A1279" t="str">
            <v>ALFA2</v>
          </cell>
          <cell r="B1279" t="str">
            <v>ALFA APOTEK,AIR UPAS</v>
          </cell>
          <cell r="C1279">
            <v>343292.72727272729</v>
          </cell>
        </row>
        <row r="1280">
          <cell r="A1280" t="str">
            <v>ALIM2</v>
          </cell>
          <cell r="B1280" t="str">
            <v>ALIM TK,BODOK</v>
          </cell>
          <cell r="C1280">
            <v>4933935.0000000019</v>
          </cell>
        </row>
        <row r="1281">
          <cell r="A1281" t="str">
            <v>AL-SPKT</v>
          </cell>
          <cell r="B1281" t="str">
            <v>ALMA ,TK</v>
          </cell>
          <cell r="C1281">
            <v>2807795.4545454551</v>
          </cell>
        </row>
        <row r="1282">
          <cell r="A1282" t="str">
            <v>AM-3110008</v>
          </cell>
          <cell r="B1282" t="str">
            <v>FAMILY MART</v>
          </cell>
          <cell r="C1282">
            <v>609691.09090909082</v>
          </cell>
        </row>
        <row r="1283">
          <cell r="A1283" t="str">
            <v>AM-3110020</v>
          </cell>
          <cell r="B1283" t="str">
            <v>SBY.MM</v>
          </cell>
          <cell r="C1283">
            <v>238397.72727272726</v>
          </cell>
        </row>
        <row r="1284">
          <cell r="A1284" t="str">
            <v>AM-3110101</v>
          </cell>
          <cell r="B1284" t="str">
            <v>TANJUNG GADING MART</v>
          </cell>
          <cell r="C1284">
            <v>86958.409090909088</v>
          </cell>
        </row>
        <row r="1285">
          <cell r="A1285" t="str">
            <v>AM-3110306</v>
          </cell>
          <cell r="B1285" t="str">
            <v>FB MART</v>
          </cell>
          <cell r="C1285">
            <v>438709.09090909088</v>
          </cell>
        </row>
        <row r="1286">
          <cell r="A1286" t="str">
            <v>AM-3113256</v>
          </cell>
          <cell r="B1286" t="str">
            <v>BERKAH MM 2</v>
          </cell>
          <cell r="C1286">
            <v>207184.09090909091</v>
          </cell>
        </row>
        <row r="1287">
          <cell r="A1287" t="str">
            <v>AM-3120004</v>
          </cell>
          <cell r="B1287" t="str">
            <v>BINTANG ABADI.GRS</v>
          </cell>
          <cell r="C1287">
            <v>25267115.454545453</v>
          </cell>
        </row>
        <row r="1288">
          <cell r="A1288" t="str">
            <v>AM-3120012</v>
          </cell>
          <cell r="B1288" t="str">
            <v>IDOLA COSMETIK</v>
          </cell>
          <cell r="C1288">
            <v>40592326.363636367</v>
          </cell>
        </row>
        <row r="1289">
          <cell r="A1289" t="str">
            <v>AM-3120013</v>
          </cell>
          <cell r="B1289" t="str">
            <v>IWAN KADO APT</v>
          </cell>
          <cell r="C1289">
            <v>15073506.818181818</v>
          </cell>
        </row>
        <row r="1290">
          <cell r="A1290" t="str">
            <v>AM-3120029</v>
          </cell>
          <cell r="B1290" t="str">
            <v>SENTOSA.GRS</v>
          </cell>
          <cell r="C1290">
            <v>951321.47727272729</v>
          </cell>
        </row>
        <row r="1291">
          <cell r="A1291" t="str">
            <v>AM-3130108</v>
          </cell>
          <cell r="B1291" t="str">
            <v>EMBUN PAGI.APT</v>
          </cell>
          <cell r="C1291">
            <v>1112346.3636363635</v>
          </cell>
        </row>
        <row r="1292">
          <cell r="A1292" t="str">
            <v>AM-3130152</v>
          </cell>
          <cell r="B1292" t="str">
            <v>ARENA.APT</v>
          </cell>
          <cell r="C1292">
            <v>4166991.8181818184</v>
          </cell>
        </row>
        <row r="1293">
          <cell r="A1293" t="str">
            <v>AM-3130193</v>
          </cell>
          <cell r="B1293" t="str">
            <v>KHANZA COSMETIK.APT</v>
          </cell>
          <cell r="C1293">
            <v>295613.18181818182</v>
          </cell>
        </row>
        <row r="1294">
          <cell r="A1294" t="str">
            <v>AM-3130238</v>
          </cell>
          <cell r="B1294" t="str">
            <v>NANDA.APT</v>
          </cell>
          <cell r="C1294">
            <v>782161.36363636376</v>
          </cell>
        </row>
        <row r="1295">
          <cell r="A1295" t="str">
            <v>AM-3130252</v>
          </cell>
          <cell r="B1295" t="str">
            <v>NR COSMETIK</v>
          </cell>
          <cell r="C1295">
            <v>1557536.1818181823</v>
          </cell>
        </row>
        <row r="1296">
          <cell r="A1296" t="str">
            <v>AM-3130568</v>
          </cell>
          <cell r="B1296" t="str">
            <v>ANDI FARMA 2</v>
          </cell>
          <cell r="C1296">
            <v>18998473.636363637</v>
          </cell>
        </row>
        <row r="1297">
          <cell r="A1297" t="str">
            <v>AM-3131303</v>
          </cell>
          <cell r="B1297" t="str">
            <v>NN RETAIL.MM</v>
          </cell>
          <cell r="C1297">
            <v>1930151.1363636365</v>
          </cell>
        </row>
        <row r="1298">
          <cell r="A1298" t="str">
            <v>AM-3131449</v>
          </cell>
          <cell r="B1298" t="str">
            <v>AULIA.APT</v>
          </cell>
          <cell r="C1298">
            <v>370840.90909090906</v>
          </cell>
        </row>
        <row r="1299">
          <cell r="A1299" t="str">
            <v>AM-3131472</v>
          </cell>
          <cell r="B1299" t="str">
            <v>IDOLA COSMETIK 2</v>
          </cell>
          <cell r="C1299">
            <v>18827140.909090906</v>
          </cell>
        </row>
        <row r="1300">
          <cell r="A1300" t="str">
            <v>AM-3230084</v>
          </cell>
          <cell r="B1300" t="str">
            <v>IDOLA KOSMETIK TLK</v>
          </cell>
          <cell r="C1300">
            <v>94819058.999999985</v>
          </cell>
        </row>
        <row r="1301">
          <cell r="A1301" t="str">
            <v>AM-3430027</v>
          </cell>
          <cell r="B1301" t="str">
            <v>DHONNY FARMA</v>
          </cell>
          <cell r="C1301">
            <v>-224568.13636363638</v>
          </cell>
        </row>
        <row r="1302">
          <cell r="A1302" t="str">
            <v>AM-3430071</v>
          </cell>
          <cell r="B1302" t="str">
            <v>PRATAMA.APT</v>
          </cell>
          <cell r="C1302">
            <v>3735984.5454545459</v>
          </cell>
        </row>
        <row r="1303">
          <cell r="A1303" t="str">
            <v>AM-3431607</v>
          </cell>
          <cell r="B1303" t="str">
            <v>ANGKASA MART 19</v>
          </cell>
          <cell r="C1303">
            <v>208084.09090909094</v>
          </cell>
        </row>
        <row r="1304">
          <cell r="A1304" t="str">
            <v>AM-3431618</v>
          </cell>
          <cell r="B1304" t="str">
            <v>SUANG FARMA</v>
          </cell>
          <cell r="C1304">
            <v>205200</v>
          </cell>
        </row>
        <row r="1305">
          <cell r="A1305" t="str">
            <v>AM-3431623</v>
          </cell>
          <cell r="B1305" t="str">
            <v>TO. HITARO</v>
          </cell>
          <cell r="C1305">
            <v>301137.95454545459</v>
          </cell>
        </row>
        <row r="1306">
          <cell r="A1306" t="str">
            <v>AMOR</v>
          </cell>
          <cell r="B1306" t="str">
            <v>AMORA BEAUTY &amp; KOSMETIK</v>
          </cell>
          <cell r="C1306">
            <v>365162689.09090889</v>
          </cell>
        </row>
        <row r="1307">
          <cell r="A1307" t="str">
            <v>ANA1</v>
          </cell>
          <cell r="B1307" t="str">
            <v>KOSMETIK ANA ,TKO</v>
          </cell>
          <cell r="C1307">
            <v>2578827.9545454546</v>
          </cell>
        </row>
        <row r="1308">
          <cell r="A1308" t="str">
            <v>ANKKNC</v>
          </cell>
          <cell r="B1308" t="str">
            <v>ANEKA KANCING,TKO</v>
          </cell>
          <cell r="C1308">
            <v>108619748.72727276</v>
          </cell>
        </row>
        <row r="1309">
          <cell r="A1309" t="str">
            <v>ANNYE</v>
          </cell>
          <cell r="B1309" t="str">
            <v>ANNYEONGHASEO,PUTUSSIBAU</v>
          </cell>
          <cell r="C1309">
            <v>17911816.909090914</v>
          </cell>
        </row>
        <row r="1310">
          <cell r="A1310" t="str">
            <v>APB1</v>
          </cell>
          <cell r="B1310" t="str">
            <v>ASWANI PUTRA BORNEO/APB</v>
          </cell>
          <cell r="C1310">
            <v>44797821.818181798</v>
          </cell>
        </row>
        <row r="1311">
          <cell r="A1311" t="str">
            <v>ARB002</v>
          </cell>
          <cell r="B1311" t="str">
            <v>DEWI</v>
          </cell>
          <cell r="C1311">
            <v>867136.36363636376</v>
          </cell>
        </row>
        <row r="1312">
          <cell r="A1312" t="str">
            <v>ARB007</v>
          </cell>
          <cell r="B1312" t="str">
            <v>TOKO ARWANA</v>
          </cell>
          <cell r="C1312">
            <v>5922638.1818181816</v>
          </cell>
        </row>
        <row r="1313">
          <cell r="A1313" t="str">
            <v>ASTR</v>
          </cell>
          <cell r="B1313" t="str">
            <v>ASTRO BORNEO</v>
          </cell>
          <cell r="C1313">
            <v>31673487.363636393</v>
          </cell>
        </row>
        <row r="1314">
          <cell r="A1314" t="str">
            <v>AURO</v>
          </cell>
          <cell r="B1314" t="str">
            <v>AURORA APOTEK &amp; KOSMETIK ,PINOH</v>
          </cell>
          <cell r="C1314">
            <v>6532640.454545456</v>
          </cell>
        </row>
        <row r="1315">
          <cell r="A1315" t="str">
            <v>AYUR</v>
          </cell>
          <cell r="B1315" t="str">
            <v>AYURA COSMETIC,TANRAY2</v>
          </cell>
          <cell r="C1315">
            <v>1281944.9999999998</v>
          </cell>
        </row>
        <row r="1316">
          <cell r="A1316" t="str">
            <v>B001</v>
          </cell>
          <cell r="B1316" t="str">
            <v>BURMA BUKITTINGGI</v>
          </cell>
          <cell r="C1316">
            <v>330260680.09090906</v>
          </cell>
        </row>
        <row r="1317">
          <cell r="A1317" t="str">
            <v>B004</v>
          </cell>
          <cell r="B1317" t="str">
            <v>BARKAH MART PYK</v>
          </cell>
          <cell r="C1317">
            <v>4603790.5909090918</v>
          </cell>
        </row>
        <row r="1318">
          <cell r="A1318" t="str">
            <v>B007</v>
          </cell>
          <cell r="B1318" t="str">
            <v>BEAUTY SHOP</v>
          </cell>
          <cell r="C1318">
            <v>508000</v>
          </cell>
        </row>
        <row r="1319">
          <cell r="A1319" t="str">
            <v>B013</v>
          </cell>
          <cell r="B1319" t="str">
            <v>BINTANG KEMBAR PATI</v>
          </cell>
          <cell r="C1319">
            <v>3576979.3636363652</v>
          </cell>
        </row>
        <row r="1320">
          <cell r="A1320" t="str">
            <v>B017</v>
          </cell>
          <cell r="B1320" t="str">
            <v>BUDHI MART</v>
          </cell>
          <cell r="C1320">
            <v>2408837.1363636372</v>
          </cell>
        </row>
        <row r="1321">
          <cell r="A1321" t="str">
            <v>B020</v>
          </cell>
          <cell r="B1321" t="str">
            <v>BUDI MULIA</v>
          </cell>
          <cell r="C1321">
            <v>1260246</v>
          </cell>
        </row>
        <row r="1322">
          <cell r="A1322" t="str">
            <v>B021</v>
          </cell>
          <cell r="B1322" t="str">
            <v>BUDI MULIA 2</v>
          </cell>
          <cell r="C1322">
            <v>307410.45454545459</v>
          </cell>
        </row>
        <row r="1323">
          <cell r="A1323" t="str">
            <v>B023</v>
          </cell>
          <cell r="B1323" t="str">
            <v>BUDIMAN AIR TAWAR</v>
          </cell>
          <cell r="C1323">
            <v>3673113.1363636367</v>
          </cell>
        </row>
        <row r="1324">
          <cell r="A1324" t="str">
            <v>B024</v>
          </cell>
          <cell r="B1324" t="str">
            <v>BUDIMAN AMPANG</v>
          </cell>
          <cell r="C1324">
            <v>3421981.5909090922</v>
          </cell>
        </row>
        <row r="1325">
          <cell r="A1325" t="str">
            <v>B026</v>
          </cell>
          <cell r="B1325" t="str">
            <v>BUDIMAN CENGKEH</v>
          </cell>
          <cell r="C1325">
            <v>7732087.0909090936</v>
          </cell>
        </row>
        <row r="1326">
          <cell r="A1326" t="str">
            <v>B027</v>
          </cell>
          <cell r="B1326" t="str">
            <v>BUDIMAN GADUT BKT</v>
          </cell>
          <cell r="C1326">
            <v>695011.36363636353</v>
          </cell>
        </row>
        <row r="1327">
          <cell r="A1327" t="str">
            <v>B028</v>
          </cell>
          <cell r="B1327" t="str">
            <v>BUDIMAN GP</v>
          </cell>
          <cell r="C1327">
            <v>2352907.3636363642</v>
          </cell>
        </row>
        <row r="1328">
          <cell r="A1328" t="str">
            <v>B029</v>
          </cell>
          <cell r="B1328" t="str">
            <v>BUDIMAN JEMBES</v>
          </cell>
          <cell r="C1328">
            <v>1552268.863636364</v>
          </cell>
        </row>
        <row r="1329">
          <cell r="A1329" t="str">
            <v>B030</v>
          </cell>
          <cell r="B1329" t="str">
            <v>BUDIMAN KURANJI</v>
          </cell>
          <cell r="C1329">
            <v>5475597.6818181835</v>
          </cell>
        </row>
        <row r="1330">
          <cell r="A1330" t="str">
            <v>B031</v>
          </cell>
          <cell r="B1330" t="str">
            <v>BUDIMAN PONDOK</v>
          </cell>
          <cell r="C1330">
            <v>3977283.6818181821</v>
          </cell>
        </row>
        <row r="1331">
          <cell r="A1331" t="str">
            <v>B033</v>
          </cell>
          <cell r="B1331" t="str">
            <v>BUDIMAN SAWAHAN</v>
          </cell>
          <cell r="C1331">
            <v>4922164.2272727285</v>
          </cell>
        </row>
        <row r="1332">
          <cell r="A1332" t="str">
            <v>B038</v>
          </cell>
          <cell r="B1332" t="str">
            <v>BUNDA SWL</v>
          </cell>
          <cell r="C1332">
            <v>1776392.4545454551</v>
          </cell>
        </row>
        <row r="1333">
          <cell r="A1333" t="str">
            <v>B039</v>
          </cell>
          <cell r="B1333" t="str">
            <v>BUNDA SWL 2</v>
          </cell>
          <cell r="C1333">
            <v>1600479.5454545454</v>
          </cell>
        </row>
        <row r="1334">
          <cell r="A1334" t="str">
            <v>B040</v>
          </cell>
          <cell r="B1334" t="str">
            <v>BURMA PADANG</v>
          </cell>
          <cell r="C1334">
            <v>190547090.18181813</v>
          </cell>
        </row>
        <row r="1335">
          <cell r="A1335" t="str">
            <v>B043</v>
          </cell>
          <cell r="B1335" t="str">
            <v>BATANG GADIS</v>
          </cell>
          <cell r="C1335">
            <v>182251086.54545459</v>
          </cell>
        </row>
        <row r="1336">
          <cell r="A1336" t="str">
            <v>B047</v>
          </cell>
          <cell r="B1336" t="str">
            <v>BYUTILOGY</v>
          </cell>
          <cell r="C1336">
            <v>734113.63636363647</v>
          </cell>
        </row>
        <row r="1337">
          <cell r="A1337" t="str">
            <v>B049</v>
          </cell>
          <cell r="B1337" t="str">
            <v>BUDIMAN ANDURING</v>
          </cell>
          <cell r="C1337">
            <v>3891535.9090909096</v>
          </cell>
        </row>
        <row r="1338">
          <cell r="A1338" t="str">
            <v>B050</v>
          </cell>
          <cell r="B1338" t="str">
            <v>BUDIMAN BIRUGO</v>
          </cell>
          <cell r="C1338">
            <v>1045313.1818181818</v>
          </cell>
        </row>
        <row r="1339">
          <cell r="A1339" t="str">
            <v>B055</v>
          </cell>
          <cell r="B1339" t="str">
            <v>BUDIMAN ULAK KARANG</v>
          </cell>
          <cell r="C1339">
            <v>8677831.3636363652</v>
          </cell>
        </row>
        <row r="1340">
          <cell r="A1340" t="str">
            <v>B055</v>
          </cell>
          <cell r="B1340" t="str">
            <v>ESTER PANGARIBUAN</v>
          </cell>
          <cell r="C1340">
            <v>269038.63636363635</v>
          </cell>
        </row>
        <row r="1341">
          <cell r="A1341" t="str">
            <v>B056</v>
          </cell>
          <cell r="B1341" t="str">
            <v>BUNDA SWL 3</v>
          </cell>
          <cell r="C1341">
            <v>520230</v>
          </cell>
        </row>
        <row r="1342">
          <cell r="A1342" t="str">
            <v>B057</v>
          </cell>
          <cell r="B1342" t="str">
            <v>BEAUTY MOM AND KIDS</v>
          </cell>
          <cell r="C1342">
            <v>506612.72727272724</v>
          </cell>
        </row>
        <row r="1343">
          <cell r="A1343" t="str">
            <v>B064</v>
          </cell>
          <cell r="B1343" t="str">
            <v>BUDIMAN KAPEH PANJI</v>
          </cell>
          <cell r="C1343">
            <v>1795445.1818181816</v>
          </cell>
        </row>
        <row r="1344">
          <cell r="A1344" t="str">
            <v>B067</v>
          </cell>
          <cell r="B1344" t="str">
            <v>BEAUTY BLOOM</v>
          </cell>
          <cell r="C1344">
            <v>3354474.5</v>
          </cell>
        </row>
        <row r="1345">
          <cell r="A1345" t="str">
            <v>B068</v>
          </cell>
          <cell r="B1345" t="str">
            <v>BUDIMAN LUBUK BEGALUNG</v>
          </cell>
          <cell r="C1345">
            <v>14089896.81818182</v>
          </cell>
        </row>
        <row r="1346">
          <cell r="A1346" t="str">
            <v>B070</v>
          </cell>
          <cell r="B1346" t="str">
            <v>BIHAN COSMETIK</v>
          </cell>
          <cell r="C1346">
            <v>13287225.545454549</v>
          </cell>
        </row>
        <row r="1347">
          <cell r="A1347" t="str">
            <v>B071</v>
          </cell>
          <cell r="B1347" t="str">
            <v>BERKAH JAYA PRATAMA</v>
          </cell>
          <cell r="C1347">
            <v>1120334.0909090908</v>
          </cell>
        </row>
        <row r="1348">
          <cell r="A1348" t="str">
            <v>B098</v>
          </cell>
          <cell r="B1348" t="str">
            <v>BEAUTIFUL / A NIE</v>
          </cell>
          <cell r="C1348">
            <v>1147305</v>
          </cell>
        </row>
        <row r="1349">
          <cell r="A1349" t="str">
            <v>BAC005</v>
          </cell>
          <cell r="B1349" t="str">
            <v>KOTTY COS</v>
          </cell>
          <cell r="C1349">
            <v>128187493.81818183</v>
          </cell>
        </row>
        <row r="1350">
          <cell r="A1350" t="str">
            <v>BAC017</v>
          </cell>
          <cell r="B1350" t="str">
            <v>FASCO SWALAYAN</v>
          </cell>
          <cell r="C1350">
            <v>6039585.2727272715</v>
          </cell>
        </row>
        <row r="1351">
          <cell r="A1351" t="str">
            <v>BAC0175</v>
          </cell>
          <cell r="B1351" t="str">
            <v>ZKR SWALAYAN</v>
          </cell>
          <cell r="C1351">
            <v>3359415.2727272748</v>
          </cell>
        </row>
        <row r="1352">
          <cell r="A1352" t="str">
            <v>BAC037</v>
          </cell>
          <cell r="B1352" t="str">
            <v>ARIFA MART</v>
          </cell>
          <cell r="C1352">
            <v>1118357.0454545456</v>
          </cell>
        </row>
        <row r="1353">
          <cell r="A1353" t="str">
            <v>BAC043</v>
          </cell>
          <cell r="B1353" t="str">
            <v>ZAHWA SWALAYAN MBO</v>
          </cell>
          <cell r="C1353">
            <v>-97452.954545454559</v>
          </cell>
        </row>
        <row r="1354">
          <cell r="A1354" t="str">
            <v>BAC044</v>
          </cell>
          <cell r="B1354" t="str">
            <v>SEJAHTERA MBO</v>
          </cell>
          <cell r="C1354">
            <v>72450</v>
          </cell>
        </row>
        <row r="1355">
          <cell r="A1355" t="str">
            <v>BAC048</v>
          </cell>
          <cell r="B1355" t="str">
            <v>AYY COSMETIK</v>
          </cell>
          <cell r="C1355">
            <v>3560334.5454545454</v>
          </cell>
        </row>
        <row r="1356">
          <cell r="A1356" t="str">
            <v>BAC052</v>
          </cell>
          <cell r="B1356" t="str">
            <v>GRAND SWALAYAN</v>
          </cell>
          <cell r="C1356">
            <v>152700</v>
          </cell>
        </row>
        <row r="1357">
          <cell r="A1357" t="str">
            <v>BAC054</v>
          </cell>
          <cell r="B1357" t="str">
            <v>MAJU JAYA NEUSU</v>
          </cell>
          <cell r="C1357">
            <v>351954.54545454553</v>
          </cell>
        </row>
        <row r="1358">
          <cell r="A1358" t="str">
            <v>BAC055</v>
          </cell>
          <cell r="B1358" t="str">
            <v>KOTTY ID</v>
          </cell>
          <cell r="C1358">
            <v>14358122.454545455</v>
          </cell>
        </row>
        <row r="1359">
          <cell r="A1359" t="str">
            <v>BAC058</v>
          </cell>
          <cell r="B1359" t="str">
            <v>SEJAHTERA 2 LHOKSEUMAWE</v>
          </cell>
          <cell r="C1359">
            <v>-26236.36363636364</v>
          </cell>
        </row>
        <row r="1360">
          <cell r="A1360" t="str">
            <v>BAC059</v>
          </cell>
          <cell r="B1360" t="str">
            <v>HARMONI COSMETIK</v>
          </cell>
          <cell r="C1360">
            <v>681727.27272727259</v>
          </cell>
        </row>
        <row r="1361">
          <cell r="A1361" t="str">
            <v>BAC060</v>
          </cell>
          <cell r="B1361" t="str">
            <v>AL HAMRA COS</v>
          </cell>
          <cell r="C1361">
            <v>7539902.7272727285</v>
          </cell>
        </row>
        <row r="1362">
          <cell r="A1362" t="str">
            <v>BAC064</v>
          </cell>
          <cell r="B1362" t="str">
            <v>FZ SWALAYAN</v>
          </cell>
          <cell r="C1362">
            <v>199800.00000000006</v>
          </cell>
        </row>
        <row r="1363">
          <cell r="A1363" t="str">
            <v>BAC068</v>
          </cell>
          <cell r="B1363" t="str">
            <v>NATURAL COSMETIC</v>
          </cell>
          <cell r="C1363">
            <v>39120922.545454554</v>
          </cell>
        </row>
        <row r="1364">
          <cell r="A1364" t="str">
            <v>BAC070</v>
          </cell>
          <cell r="B1364" t="str">
            <v>THATSUYA COS</v>
          </cell>
          <cell r="C1364">
            <v>7789020.4545454532</v>
          </cell>
        </row>
        <row r="1365">
          <cell r="A1365" t="str">
            <v>BAC071</v>
          </cell>
          <cell r="B1365" t="str">
            <v>UD MURSAL</v>
          </cell>
          <cell r="C1365">
            <v>25910427.272727277</v>
          </cell>
        </row>
        <row r="1366">
          <cell r="A1366" t="str">
            <v>BAC074</v>
          </cell>
          <cell r="B1366" t="str">
            <v>TOKO DHEA</v>
          </cell>
          <cell r="C1366">
            <v>-43290</v>
          </cell>
        </row>
        <row r="1367">
          <cell r="A1367" t="str">
            <v>BAC075</v>
          </cell>
          <cell r="B1367" t="str">
            <v>ASEAN</v>
          </cell>
          <cell r="C1367">
            <v>-70989.545454545456</v>
          </cell>
        </row>
        <row r="1368">
          <cell r="A1368" t="str">
            <v>BAC076</v>
          </cell>
          <cell r="B1368" t="str">
            <v>ANUGRAH BB</v>
          </cell>
          <cell r="C1368">
            <v>919780.22727272729</v>
          </cell>
        </row>
        <row r="1369">
          <cell r="A1369" t="str">
            <v>BAC081</v>
          </cell>
          <cell r="B1369" t="str">
            <v>BERKAT</v>
          </cell>
          <cell r="C1369">
            <v>2072972.0454545456</v>
          </cell>
        </row>
        <row r="1370">
          <cell r="A1370" t="str">
            <v>BAC082</v>
          </cell>
          <cell r="B1370" t="str">
            <v>METRO COSMETIC</v>
          </cell>
          <cell r="C1370">
            <v>693707.72727272718</v>
          </cell>
        </row>
        <row r="1371">
          <cell r="A1371" t="str">
            <v>BAC084</v>
          </cell>
          <cell r="B1371" t="str">
            <v>HASNI FARMA</v>
          </cell>
          <cell r="C1371">
            <v>1422954.5454545454</v>
          </cell>
        </row>
        <row r="1372">
          <cell r="A1372" t="str">
            <v>BAC085</v>
          </cell>
          <cell r="B1372" t="str">
            <v>TUAH KANA</v>
          </cell>
          <cell r="C1372">
            <v>724426.36363636353</v>
          </cell>
        </row>
        <row r="1373">
          <cell r="A1373" t="str">
            <v>BAC087</v>
          </cell>
          <cell r="B1373" t="str">
            <v>PUTRA JAYA</v>
          </cell>
          <cell r="C1373">
            <v>1221433.6363636362</v>
          </cell>
        </row>
        <row r="1374">
          <cell r="A1374" t="str">
            <v>BAC088</v>
          </cell>
          <cell r="B1374" t="str">
            <v>DANG DANG NA LAEN</v>
          </cell>
          <cell r="C1374">
            <v>18605220.000000004</v>
          </cell>
        </row>
        <row r="1375">
          <cell r="A1375" t="str">
            <v>BAC089</v>
          </cell>
          <cell r="B1375" t="str">
            <v>NADIA SWALAYAN 2</v>
          </cell>
          <cell r="C1375">
            <v>2225400</v>
          </cell>
        </row>
        <row r="1376">
          <cell r="A1376" t="str">
            <v>BAC090</v>
          </cell>
          <cell r="B1376" t="str">
            <v>WAWA COS</v>
          </cell>
          <cell r="C1376">
            <v>323766.81818181823</v>
          </cell>
        </row>
        <row r="1377">
          <cell r="A1377" t="str">
            <v>BAC093</v>
          </cell>
          <cell r="B1377" t="str">
            <v>UD MS MBO</v>
          </cell>
          <cell r="C1377">
            <v>5021676.8181818193</v>
          </cell>
        </row>
        <row r="1378">
          <cell r="A1378" t="str">
            <v>BAC096</v>
          </cell>
          <cell r="B1378" t="str">
            <v>AWANA MART</v>
          </cell>
          <cell r="C1378">
            <v>6719918.1818181826</v>
          </cell>
        </row>
        <row r="1379">
          <cell r="A1379" t="str">
            <v>BAC101</v>
          </cell>
          <cell r="B1379" t="str">
            <v>FAMILY MART</v>
          </cell>
          <cell r="C1379">
            <v>830929.09090909082</v>
          </cell>
        </row>
        <row r="1380">
          <cell r="A1380" t="str">
            <v>BAC103</v>
          </cell>
          <cell r="B1380" t="str">
            <v>ADEK ABANG 1</v>
          </cell>
          <cell r="C1380">
            <v>612265.90909090918</v>
          </cell>
        </row>
        <row r="1381">
          <cell r="A1381" t="str">
            <v>BAC107</v>
          </cell>
          <cell r="B1381" t="str">
            <v>DOA BUNDA</v>
          </cell>
          <cell r="C1381">
            <v>13212598.909090908</v>
          </cell>
        </row>
        <row r="1382">
          <cell r="A1382" t="str">
            <v>BAC110</v>
          </cell>
          <cell r="B1382" t="str">
            <v>EMHA 2</v>
          </cell>
          <cell r="C1382">
            <v>1143455.4545454544</v>
          </cell>
        </row>
        <row r="1383">
          <cell r="A1383" t="str">
            <v>BAC116</v>
          </cell>
          <cell r="B1383" t="str">
            <v>INDAH SARI 2</v>
          </cell>
          <cell r="C1383">
            <v>362209.09090909094</v>
          </cell>
        </row>
        <row r="1384">
          <cell r="A1384" t="str">
            <v>BAC117</v>
          </cell>
          <cell r="B1384" t="str">
            <v>ANDA SABANG</v>
          </cell>
          <cell r="C1384">
            <v>3487637.8636363642</v>
          </cell>
        </row>
        <row r="1385">
          <cell r="A1385" t="str">
            <v>BAC119</v>
          </cell>
          <cell r="B1385" t="str">
            <v>OBAMA MART</v>
          </cell>
          <cell r="C1385">
            <v>6098657.7272727275</v>
          </cell>
        </row>
        <row r="1386">
          <cell r="A1386" t="str">
            <v>BAC121</v>
          </cell>
          <cell r="B1386" t="str">
            <v>YASIR SWALAYAN</v>
          </cell>
          <cell r="C1386">
            <v>195540.68181818182</v>
          </cell>
        </row>
        <row r="1387">
          <cell r="A1387" t="str">
            <v>BAC127</v>
          </cell>
          <cell r="B1387" t="str">
            <v>AP MEKAR SEHAT</v>
          </cell>
          <cell r="C1387">
            <v>228861.81818181821</v>
          </cell>
        </row>
        <row r="1388">
          <cell r="A1388" t="str">
            <v>BAC128</v>
          </cell>
          <cell r="B1388" t="str">
            <v>TARI COS</v>
          </cell>
          <cell r="C1388">
            <v>662583.40909090906</v>
          </cell>
        </row>
        <row r="1389">
          <cell r="A1389" t="str">
            <v>BAC131</v>
          </cell>
          <cell r="B1389" t="str">
            <v>SM RAJA CELL</v>
          </cell>
          <cell r="C1389">
            <v>409590.00000000012</v>
          </cell>
        </row>
        <row r="1390">
          <cell r="A1390" t="str">
            <v>BAC135</v>
          </cell>
          <cell r="B1390" t="str">
            <v>HAURA COSMETIC</v>
          </cell>
          <cell r="C1390">
            <v>410345.90909090912</v>
          </cell>
        </row>
        <row r="1391">
          <cell r="A1391" t="str">
            <v>BAC136</v>
          </cell>
          <cell r="B1391" t="str">
            <v>ANUGRAH SWALAYAN KETAPANG</v>
          </cell>
          <cell r="C1391">
            <v>798273.40909090918</v>
          </cell>
        </row>
        <row r="1392">
          <cell r="A1392" t="str">
            <v>BAC137</v>
          </cell>
          <cell r="B1392" t="str">
            <v>AP. SEHAT FARMA</v>
          </cell>
          <cell r="C1392">
            <v>673567.27272727271</v>
          </cell>
        </row>
        <row r="1393">
          <cell r="A1393" t="str">
            <v>BAC141</v>
          </cell>
          <cell r="B1393" t="str">
            <v>APOTIK LIPITA RIZKY</v>
          </cell>
          <cell r="C1393">
            <v>117760.90909090912</v>
          </cell>
        </row>
        <row r="1394">
          <cell r="A1394" t="str">
            <v>BAC153</v>
          </cell>
          <cell r="B1394" t="str">
            <v>MD MART</v>
          </cell>
          <cell r="C1394">
            <v>1819681.3636363638</v>
          </cell>
        </row>
        <row r="1395">
          <cell r="A1395" t="str">
            <v>BAC157</v>
          </cell>
          <cell r="B1395" t="str">
            <v>MUMTAZ BEAUTY</v>
          </cell>
          <cell r="C1395">
            <v>1435400</v>
          </cell>
        </row>
        <row r="1396">
          <cell r="A1396" t="str">
            <v>BAC159</v>
          </cell>
          <cell r="B1396" t="str">
            <v>NEXT COS</v>
          </cell>
          <cell r="C1396">
            <v>1682721.8181818184</v>
          </cell>
        </row>
        <row r="1397">
          <cell r="A1397" t="str">
            <v>BAC178</v>
          </cell>
          <cell r="B1397" t="str">
            <v>SUMBER REZEKI LHOKSEUMAWE</v>
          </cell>
          <cell r="C1397">
            <v>1099180.9090909092</v>
          </cell>
        </row>
        <row r="1398">
          <cell r="A1398" t="str">
            <v>BAC180</v>
          </cell>
          <cell r="B1398" t="str">
            <v>PUTRI COSMETICS NAGAN</v>
          </cell>
          <cell r="C1398">
            <v>-307697.04545454547</v>
          </cell>
        </row>
        <row r="1399">
          <cell r="A1399" t="str">
            <v>BAC181</v>
          </cell>
          <cell r="B1399" t="str">
            <v>INTAN COSMETIK</v>
          </cell>
          <cell r="C1399">
            <v>9010372.7272727266</v>
          </cell>
        </row>
        <row r="1400">
          <cell r="A1400" t="str">
            <v>BAC182</v>
          </cell>
          <cell r="B1400" t="str">
            <v>ICHSAN MARKET</v>
          </cell>
          <cell r="C1400">
            <v>1660558.6363636365</v>
          </cell>
        </row>
        <row r="1401">
          <cell r="A1401" t="str">
            <v>BAC184</v>
          </cell>
          <cell r="B1401" t="str">
            <v>WARDAH COS ULE GLE</v>
          </cell>
          <cell r="C1401">
            <v>3091791.8181818184</v>
          </cell>
        </row>
        <row r="1402">
          <cell r="A1402" t="str">
            <v>BAC186</v>
          </cell>
          <cell r="B1402" t="str">
            <v>SEJAHTERA SWALAYAN RIMO</v>
          </cell>
          <cell r="C1402">
            <v>266400.00000000006</v>
          </cell>
        </row>
        <row r="1403">
          <cell r="A1403" t="str">
            <v>BAC190</v>
          </cell>
          <cell r="B1403" t="str">
            <v>SEJAHTERA B.PIDIE</v>
          </cell>
          <cell r="C1403">
            <v>895800</v>
          </cell>
        </row>
        <row r="1404">
          <cell r="A1404" t="str">
            <v>BAC204</v>
          </cell>
          <cell r="B1404" t="str">
            <v>GM STORE PRADA</v>
          </cell>
          <cell r="C1404">
            <v>139322786.54545453</v>
          </cell>
        </row>
        <row r="1405">
          <cell r="A1405" t="str">
            <v>BAC206</v>
          </cell>
          <cell r="B1405" t="str">
            <v>ADI MULIA</v>
          </cell>
          <cell r="C1405">
            <v>-59284.090909090912</v>
          </cell>
        </row>
        <row r="1406">
          <cell r="A1406" t="str">
            <v>BAC210</v>
          </cell>
          <cell r="B1406" t="str">
            <v>SEJAHTERA BIREUEN</v>
          </cell>
          <cell r="C1406">
            <v>-26236.36363636364</v>
          </cell>
        </row>
        <row r="1407">
          <cell r="A1407" t="str">
            <v>BAC211</v>
          </cell>
          <cell r="B1407" t="str">
            <v>TK M. HUSEN</v>
          </cell>
          <cell r="C1407">
            <v>7719775.4545454541</v>
          </cell>
        </row>
        <row r="1408">
          <cell r="A1408" t="str">
            <v>BAC215</v>
          </cell>
          <cell r="B1408" t="str">
            <v>MEGA SWALAYAN</v>
          </cell>
          <cell r="C1408">
            <v>1448900</v>
          </cell>
        </row>
        <row r="1409">
          <cell r="A1409" t="str">
            <v>BAC218</v>
          </cell>
          <cell r="B1409" t="str">
            <v>RAYON BARU SWALAYAN</v>
          </cell>
          <cell r="C1409">
            <v>3524716.3636363642</v>
          </cell>
        </row>
        <row r="1410">
          <cell r="A1410" t="str">
            <v>BAC225</v>
          </cell>
          <cell r="B1410" t="str">
            <v>KAJHU SWALAYAN</v>
          </cell>
          <cell r="C1410">
            <v>558540.68181818188</v>
          </cell>
        </row>
        <row r="1411">
          <cell r="A1411" t="str">
            <v>BAC230</v>
          </cell>
          <cell r="B1411" t="str">
            <v>AMMA GALLERY</v>
          </cell>
          <cell r="C1411">
            <v>7441119.954545456</v>
          </cell>
        </row>
        <row r="1412">
          <cell r="A1412" t="str">
            <v>BAC232</v>
          </cell>
          <cell r="B1412" t="str">
            <v>SABENA SHOP</v>
          </cell>
          <cell r="C1412">
            <v>1347344.2727272725</v>
          </cell>
        </row>
        <row r="1413">
          <cell r="A1413" t="str">
            <v>BAC240</v>
          </cell>
          <cell r="B1413" t="str">
            <v>AL FATIH</v>
          </cell>
          <cell r="C1413">
            <v>3579657.6818181835</v>
          </cell>
        </row>
        <row r="1414">
          <cell r="A1414" t="str">
            <v>BAC244</v>
          </cell>
          <cell r="B1414" t="str">
            <v>SUKNA</v>
          </cell>
          <cell r="C1414">
            <v>1288994.0454545456</v>
          </cell>
        </row>
        <row r="1415">
          <cell r="A1415" t="str">
            <v>BAC255</v>
          </cell>
          <cell r="B1415" t="str">
            <v>SETIA KAWAN</v>
          </cell>
          <cell r="C1415">
            <v>2194592.7272727271</v>
          </cell>
        </row>
        <row r="1416">
          <cell r="A1416" t="str">
            <v>BAC260</v>
          </cell>
          <cell r="B1416" t="str">
            <v>UD. MUNIRA</v>
          </cell>
          <cell r="C1416">
            <v>2715309.1363636362</v>
          </cell>
        </row>
        <row r="1417">
          <cell r="A1417" t="str">
            <v>BAC273</v>
          </cell>
          <cell r="B1417" t="str">
            <v>TAMIYA TOYS</v>
          </cell>
          <cell r="C1417">
            <v>6068895.0000000009</v>
          </cell>
        </row>
        <row r="1418">
          <cell r="A1418" t="str">
            <v>BAC274</v>
          </cell>
          <cell r="B1418" t="str">
            <v>EZA BARU</v>
          </cell>
          <cell r="C1418">
            <v>337400</v>
          </cell>
        </row>
        <row r="1419">
          <cell r="A1419" t="str">
            <v>BAC280</v>
          </cell>
          <cell r="B1419" t="str">
            <v>ARAYAN MARKET</v>
          </cell>
          <cell r="C1419">
            <v>185420.45454545456</v>
          </cell>
        </row>
        <row r="1420">
          <cell r="A1420" t="str">
            <v>BAC285</v>
          </cell>
          <cell r="B1420" t="str">
            <v>AN-NAHLASHOP</v>
          </cell>
          <cell r="C1420">
            <v>45731168.727272741</v>
          </cell>
        </row>
        <row r="1421">
          <cell r="A1421" t="str">
            <v>BAC288</v>
          </cell>
          <cell r="B1421" t="str">
            <v>TK KALISA COSMETIC</v>
          </cell>
          <cell r="C1421">
            <v>6059612.7272727275</v>
          </cell>
        </row>
        <row r="1422">
          <cell r="A1422" t="str">
            <v>BAC295</v>
          </cell>
          <cell r="B1422" t="str">
            <v>ICI STORE</v>
          </cell>
          <cell r="C1422">
            <v>5451456.3636363633</v>
          </cell>
        </row>
        <row r="1423">
          <cell r="A1423" t="str">
            <v>BAC303</v>
          </cell>
          <cell r="B1423" t="str">
            <v>BINTANG MARKET</v>
          </cell>
          <cell r="C1423">
            <v>238397.72727272726</v>
          </cell>
        </row>
        <row r="1424">
          <cell r="A1424" t="str">
            <v>BAC305</v>
          </cell>
          <cell r="B1424" t="str">
            <v>RADYSA COS</v>
          </cell>
          <cell r="C1424">
            <v>32927629.090909094</v>
          </cell>
        </row>
        <row r="1425">
          <cell r="A1425" t="str">
            <v>BAC312</v>
          </cell>
          <cell r="B1425" t="str">
            <v>BAHAGIA BARU</v>
          </cell>
          <cell r="C1425">
            <v>1224436.3636363635</v>
          </cell>
        </row>
        <row r="1426">
          <cell r="A1426" t="str">
            <v>BAC313</v>
          </cell>
          <cell r="B1426" t="str">
            <v>HAWA KOSMETIK</v>
          </cell>
          <cell r="C1426">
            <v>69669777.272727296</v>
          </cell>
        </row>
        <row r="1427">
          <cell r="A1427" t="str">
            <v>BAC318</v>
          </cell>
          <cell r="B1427" t="str">
            <v>SABILAL KOSMETIK</v>
          </cell>
          <cell r="C1427">
            <v>7660318.9090909101</v>
          </cell>
        </row>
        <row r="1428">
          <cell r="A1428" t="str">
            <v>BAC331</v>
          </cell>
          <cell r="B1428" t="str">
            <v>REZEKI ANANDA SWALAYAN</v>
          </cell>
          <cell r="C1428">
            <v>431136.36363636365</v>
          </cell>
        </row>
        <row r="1429">
          <cell r="A1429" t="str">
            <v>BAC334</v>
          </cell>
          <cell r="B1429" t="str">
            <v>SW SWALAYAN</v>
          </cell>
          <cell r="C1429">
            <v>1114909.0909090908</v>
          </cell>
        </row>
        <row r="1430">
          <cell r="A1430" t="str">
            <v>BAC339</v>
          </cell>
          <cell r="B1430" t="str">
            <v>VIVI BEAUTY</v>
          </cell>
          <cell r="C1430">
            <v>-141979.09090909091</v>
          </cell>
        </row>
        <row r="1431">
          <cell r="A1431" t="str">
            <v>BAC346</v>
          </cell>
          <cell r="B1431" t="str">
            <v>VIA OLSHOP SAMALANGA</v>
          </cell>
          <cell r="C1431">
            <v>1330052.2727272732</v>
          </cell>
        </row>
        <row r="1432">
          <cell r="A1432" t="str">
            <v>BAC348</v>
          </cell>
          <cell r="B1432" t="str">
            <v>APOTEK MUSTAJAB</v>
          </cell>
          <cell r="C1432">
            <v>420639.54545454547</v>
          </cell>
        </row>
        <row r="1433">
          <cell r="A1433" t="str">
            <v>BAC349</v>
          </cell>
          <cell r="B1433" t="str">
            <v>SYIFA COSMETIK</v>
          </cell>
          <cell r="C1433">
            <v>6774657.4545454551</v>
          </cell>
        </row>
        <row r="1434">
          <cell r="A1434" t="str">
            <v>BAC353</v>
          </cell>
          <cell r="B1434" t="str">
            <v>AL AZZAM MART</v>
          </cell>
          <cell r="C1434">
            <v>238740.68181818185</v>
          </cell>
        </row>
        <row r="1435">
          <cell r="A1435" t="str">
            <v>BAC358</v>
          </cell>
          <cell r="B1435" t="str">
            <v>RIZKY FAMILY UNDEWEAR</v>
          </cell>
          <cell r="C1435">
            <v>3175953.4090909101</v>
          </cell>
        </row>
        <row r="1436">
          <cell r="A1436" t="str">
            <v>BAC361</v>
          </cell>
          <cell r="B1436" t="str">
            <v>MERDU CANTIK</v>
          </cell>
          <cell r="C1436">
            <v>3362205.6818181826</v>
          </cell>
        </row>
        <row r="1437">
          <cell r="A1437" t="str">
            <v>BAC367</v>
          </cell>
          <cell r="B1437" t="str">
            <v>HOUSE BEAUTY</v>
          </cell>
          <cell r="C1437">
            <v>51791311.363636367</v>
          </cell>
        </row>
        <row r="1438">
          <cell r="A1438" t="str">
            <v>BAC371</v>
          </cell>
          <cell r="B1438" t="str">
            <v>MONISA BARU</v>
          </cell>
          <cell r="C1438">
            <v>1571099.9999999998</v>
          </cell>
        </row>
        <row r="1439">
          <cell r="A1439" t="str">
            <v>BAC373</v>
          </cell>
          <cell r="B1439" t="str">
            <v>ALIFA BERKAH MARKET</v>
          </cell>
          <cell r="C1439">
            <v>-44500.909090909088</v>
          </cell>
        </row>
        <row r="1440">
          <cell r="A1440" t="str">
            <v>BAC377</v>
          </cell>
          <cell r="B1440" t="str">
            <v xml:space="preserve">OMINA SWALAYAN </v>
          </cell>
          <cell r="C1440">
            <v>130929.54545454544</v>
          </cell>
        </row>
        <row r="1441">
          <cell r="A1441" t="str">
            <v>BAC383</v>
          </cell>
          <cell r="B1441" t="str">
            <v>HB STORE</v>
          </cell>
          <cell r="C1441">
            <v>3406223.1818181816</v>
          </cell>
        </row>
        <row r="1442">
          <cell r="A1442" t="str">
            <v>BAC385</v>
          </cell>
          <cell r="B1442" t="str">
            <v>ADEERATA SWALAYAN</v>
          </cell>
          <cell r="C1442">
            <v>224365.90909090909</v>
          </cell>
        </row>
        <row r="1443">
          <cell r="A1443" t="str">
            <v>BAC387</v>
          </cell>
          <cell r="B1443" t="str">
            <v>SAQINA LANGSA</v>
          </cell>
          <cell r="C1443">
            <v>5032914.5454545459</v>
          </cell>
        </row>
        <row r="1444">
          <cell r="A1444" t="str">
            <v>BAC391</v>
          </cell>
          <cell r="B1444" t="str">
            <v>AZZA ACSESORIES</v>
          </cell>
          <cell r="C1444">
            <v>2481124.5454545454</v>
          </cell>
        </row>
        <row r="1445">
          <cell r="A1445" t="str">
            <v>BAC393</v>
          </cell>
          <cell r="B1445" t="str">
            <v>NAURA COSMETIC (IDI CUT)</v>
          </cell>
          <cell r="C1445">
            <v>8584720.909090912</v>
          </cell>
        </row>
        <row r="1446">
          <cell r="A1446" t="str">
            <v>BAC396</v>
          </cell>
          <cell r="B1446" t="str">
            <v>TOKO SYAZA</v>
          </cell>
          <cell r="C1446">
            <v>152104.5</v>
          </cell>
        </row>
        <row r="1447">
          <cell r="A1447" t="str">
            <v>BAC403</v>
          </cell>
          <cell r="B1447" t="str">
            <v>MAKMUR PASEH SWALAYAN</v>
          </cell>
          <cell r="C1447">
            <v>766381.36363636376</v>
          </cell>
        </row>
        <row r="1448">
          <cell r="A1448" t="str">
            <v>BAC404</v>
          </cell>
          <cell r="B1448" t="str">
            <v>KAPUAS 99</v>
          </cell>
          <cell r="C1448">
            <v>1134245.8636363638</v>
          </cell>
        </row>
        <row r="1449">
          <cell r="A1449" t="str">
            <v>BAC405</v>
          </cell>
          <cell r="B1449" t="str">
            <v>ASWAN MART</v>
          </cell>
          <cell r="C1449">
            <v>186570</v>
          </cell>
        </row>
        <row r="1450">
          <cell r="A1450" t="str">
            <v>BAC407</v>
          </cell>
          <cell r="B1450" t="str">
            <v>ROZHA COSMETICS</v>
          </cell>
          <cell r="C1450">
            <v>7362336.4090909101</v>
          </cell>
        </row>
        <row r="1451">
          <cell r="A1451" t="str">
            <v>BAC408</v>
          </cell>
          <cell r="B1451" t="str">
            <v>INDAH MART</v>
          </cell>
          <cell r="C1451">
            <v>2447853.4545454541</v>
          </cell>
        </row>
        <row r="1452">
          <cell r="A1452" t="str">
            <v>BAC409</v>
          </cell>
          <cell r="B1452" t="str">
            <v xml:space="preserve"> AYURA GROSIR &amp; ECERAN</v>
          </cell>
          <cell r="C1452">
            <v>68265.000000000015</v>
          </cell>
        </row>
        <row r="1453">
          <cell r="A1453" t="str">
            <v>BALAI</v>
          </cell>
          <cell r="B1453" t="str">
            <v>BALAI CANTIK,TOKO</v>
          </cell>
          <cell r="C1453">
            <v>2241493.1818181821</v>
          </cell>
        </row>
        <row r="1454">
          <cell r="A1454" t="str">
            <v>BB</v>
          </cell>
          <cell r="B1454" t="str">
            <v>BINTANG BULAN MART,RASAU</v>
          </cell>
          <cell r="C1454">
            <v>1092135.1363636362</v>
          </cell>
        </row>
        <row r="1455">
          <cell r="A1455" t="str">
            <v>BB.2</v>
          </cell>
          <cell r="B1455" t="str">
            <v>35 SHOP/BUSANA TERKINI,KETAPANG</v>
          </cell>
          <cell r="C1455">
            <v>7316487.5454545449</v>
          </cell>
        </row>
        <row r="1456">
          <cell r="A1456" t="str">
            <v>BBKTP</v>
          </cell>
          <cell r="B1456" t="str">
            <v>BB.BUSANA BARU,KETAPANG</v>
          </cell>
          <cell r="C1456">
            <v>3127177.0909090904</v>
          </cell>
        </row>
        <row r="1457">
          <cell r="A1457" t="str">
            <v>BBR010</v>
          </cell>
          <cell r="B1457" t="str">
            <v>APOTIK ANUGERAH JAMINPA</v>
          </cell>
          <cell r="C1457">
            <v>761863.63636363635</v>
          </cell>
        </row>
        <row r="1458">
          <cell r="A1458" t="str">
            <v>BE</v>
          </cell>
          <cell r="B1458" t="str">
            <v>BEAUTY NEEDS COSMETIK</v>
          </cell>
          <cell r="C1458">
            <v>1432704.5454545454</v>
          </cell>
        </row>
        <row r="1459">
          <cell r="A1459" t="str">
            <v>BJ</v>
          </cell>
          <cell r="B1459" t="str">
            <v>BINTANG JAYA, TO</v>
          </cell>
          <cell r="C1459">
            <v>158477.72727272729</v>
          </cell>
        </row>
        <row r="1460">
          <cell r="A1460" t="str">
            <v>BJI004</v>
          </cell>
          <cell r="B1460" t="str">
            <v>CT BINJAI</v>
          </cell>
          <cell r="C1460">
            <v>8802227.7272727266</v>
          </cell>
        </row>
        <row r="1461">
          <cell r="A1461" t="str">
            <v>BJI005</v>
          </cell>
          <cell r="B1461" t="str">
            <v>WILLOW MART</v>
          </cell>
          <cell r="C1461">
            <v>1774890.0000000005</v>
          </cell>
        </row>
        <row r="1462">
          <cell r="A1462" t="str">
            <v>BJI017</v>
          </cell>
          <cell r="B1462" t="str">
            <v>ROLI</v>
          </cell>
          <cell r="C1462">
            <v>7628371.3636363652</v>
          </cell>
        </row>
        <row r="1463">
          <cell r="A1463" t="str">
            <v>BJI024</v>
          </cell>
          <cell r="B1463" t="str">
            <v>WL GLADIS COS / SEBELAH LADIES COS</v>
          </cell>
          <cell r="C1463">
            <v>5918400</v>
          </cell>
        </row>
        <row r="1464">
          <cell r="A1464" t="str">
            <v>BJI030</v>
          </cell>
          <cell r="B1464" t="str">
            <v>V MART BINJAI</v>
          </cell>
          <cell r="C1464">
            <v>420009.54545454547</v>
          </cell>
        </row>
        <row r="1465">
          <cell r="A1465" t="str">
            <v>BJI033</v>
          </cell>
          <cell r="B1465" t="str">
            <v>BIMA MART</v>
          </cell>
          <cell r="C1465">
            <v>482760</v>
          </cell>
        </row>
        <row r="1466">
          <cell r="A1466" t="str">
            <v>BJI034</v>
          </cell>
          <cell r="B1466" t="str">
            <v>KIM COS</v>
          </cell>
          <cell r="C1466">
            <v>1897466670.4090915</v>
          </cell>
        </row>
        <row r="1467">
          <cell r="A1467" t="str">
            <v>BLG001</v>
          </cell>
          <cell r="B1467" t="str">
            <v>TOKO ALBERT</v>
          </cell>
          <cell r="C1467">
            <v>503764.54545454541</v>
          </cell>
        </row>
        <row r="1468">
          <cell r="A1468" t="str">
            <v>BLG004</v>
          </cell>
          <cell r="B1468" t="str">
            <v>APOTIK RYAN FARMA</v>
          </cell>
          <cell r="C1468">
            <v>181636.36363636365</v>
          </cell>
        </row>
        <row r="1469">
          <cell r="A1469" t="str">
            <v>BORN1</v>
          </cell>
          <cell r="B1469" t="str">
            <v>BORNEO FRESH MART,DESKAP</v>
          </cell>
          <cell r="C1469">
            <v>531286.36363636365</v>
          </cell>
        </row>
        <row r="1470">
          <cell r="A1470" t="str">
            <v>BRG004</v>
          </cell>
          <cell r="B1470" t="str">
            <v>GANTANG</v>
          </cell>
          <cell r="C1470">
            <v>2805508.6363636362</v>
          </cell>
        </row>
        <row r="1471">
          <cell r="A1471" t="str">
            <v>BRG007</v>
          </cell>
          <cell r="B1471" t="str">
            <v>TOKO JOIS</v>
          </cell>
          <cell r="C1471">
            <v>3066343.0909090908</v>
          </cell>
        </row>
        <row r="1472">
          <cell r="A1472" t="str">
            <v>BRG013</v>
          </cell>
          <cell r="B1472" t="str">
            <v>NUR</v>
          </cell>
          <cell r="C1472">
            <v>4234554.0909090908</v>
          </cell>
        </row>
        <row r="1473">
          <cell r="A1473" t="str">
            <v>BRG016</v>
          </cell>
          <cell r="B1473" t="str">
            <v>TOKO 88</v>
          </cell>
          <cell r="C1473">
            <v>614851.36363636365</v>
          </cell>
        </row>
        <row r="1474">
          <cell r="A1474" t="str">
            <v>BRG024</v>
          </cell>
          <cell r="B1474" t="str">
            <v>TOKO GRACE</v>
          </cell>
          <cell r="C1474">
            <v>2212636.3636363633</v>
          </cell>
        </row>
        <row r="1475">
          <cell r="A1475" t="str">
            <v>BRG027</v>
          </cell>
          <cell r="B1475" t="str">
            <v>KEZIA COSMETIC</v>
          </cell>
          <cell r="C1475">
            <v>1044773.6363636364</v>
          </cell>
        </row>
        <row r="1476">
          <cell r="A1476" t="str">
            <v>BRG028</v>
          </cell>
          <cell r="B1476" t="str">
            <v>JUNTAK COSMETIC</v>
          </cell>
          <cell r="C1476">
            <v>2241697.9090909096</v>
          </cell>
        </row>
        <row r="1477">
          <cell r="A1477" t="str">
            <v>BRG029</v>
          </cell>
          <cell r="B1477" t="str">
            <v>TOKO SAM</v>
          </cell>
          <cell r="C1477">
            <v>1062000</v>
          </cell>
        </row>
        <row r="1478">
          <cell r="A1478" t="str">
            <v>BRT</v>
          </cell>
          <cell r="B1478" t="str">
            <v>BARAT DAYA, TOKO / LIM NAM NENG</v>
          </cell>
          <cell r="C1478">
            <v>90285889.090909034</v>
          </cell>
        </row>
        <row r="1479">
          <cell r="A1479" t="str">
            <v>BTR-ARL</v>
          </cell>
          <cell r="B1479" t="str">
            <v>BATARA ARLOJI</v>
          </cell>
          <cell r="C1479">
            <v>1753363.6363636365</v>
          </cell>
        </row>
        <row r="1480">
          <cell r="A1480" t="str">
            <v>C0003</v>
          </cell>
          <cell r="B1480" t="str">
            <v>MANGGA 2</v>
          </cell>
          <cell r="C1480">
            <v>34798.500000000015</v>
          </cell>
        </row>
        <row r="1481">
          <cell r="A1481" t="str">
            <v>C001</v>
          </cell>
          <cell r="B1481" t="str">
            <v>CAHAYA MART</v>
          </cell>
          <cell r="C1481">
            <v>702498.81818181812</v>
          </cell>
        </row>
        <row r="1482">
          <cell r="A1482" t="str">
            <v>C0029</v>
          </cell>
          <cell r="B1482" t="str">
            <v>ORLEND</v>
          </cell>
          <cell r="C1482">
            <v>-93593.181818181809</v>
          </cell>
        </row>
        <row r="1483">
          <cell r="A1483" t="str">
            <v>C004</v>
          </cell>
          <cell r="B1483" t="str">
            <v>CATERINA / KUNSUN</v>
          </cell>
          <cell r="C1483">
            <v>70989.545454545456</v>
          </cell>
        </row>
        <row r="1484">
          <cell r="A1484" t="str">
            <v>C0052</v>
          </cell>
          <cell r="B1484" t="str">
            <v>ABI NANDA</v>
          </cell>
          <cell r="C1484">
            <v>4585687.0909090908</v>
          </cell>
        </row>
        <row r="1485">
          <cell r="A1485" t="str">
            <v>C0060</v>
          </cell>
          <cell r="B1485" t="str">
            <v>AL-FATIH 1483</v>
          </cell>
          <cell r="C1485">
            <v>2078327.0454545452</v>
          </cell>
        </row>
        <row r="1486">
          <cell r="A1486" t="str">
            <v>C0080</v>
          </cell>
          <cell r="B1486" t="str">
            <v>MR. MART</v>
          </cell>
          <cell r="C1486">
            <v>1162121.5909090906</v>
          </cell>
        </row>
        <row r="1487">
          <cell r="A1487" t="str">
            <v>C010</v>
          </cell>
          <cell r="B1487" t="str">
            <v>BINTAN HARAPAN</v>
          </cell>
          <cell r="C1487">
            <v>572581.36363636365</v>
          </cell>
        </row>
        <row r="1488">
          <cell r="A1488" t="str">
            <v>C010</v>
          </cell>
          <cell r="B1488" t="str">
            <v>CITRA SWL ADINEGORO</v>
          </cell>
          <cell r="C1488">
            <v>3035312.727272728</v>
          </cell>
        </row>
        <row r="1489">
          <cell r="A1489" t="str">
            <v>C0108</v>
          </cell>
          <cell r="B1489" t="str">
            <v>UD.ZKR</v>
          </cell>
          <cell r="C1489">
            <v>199800.00000000006</v>
          </cell>
        </row>
        <row r="1490">
          <cell r="A1490" t="str">
            <v>C0115</v>
          </cell>
          <cell r="B1490" t="str">
            <v>EMHA</v>
          </cell>
          <cell r="C1490">
            <v>4540501.6363636358</v>
          </cell>
        </row>
        <row r="1491">
          <cell r="A1491" t="str">
            <v>C012</v>
          </cell>
          <cell r="B1491" t="str">
            <v>CITRA SWL BALAI BARU</v>
          </cell>
          <cell r="C1491">
            <v>857052.27272727271</v>
          </cell>
        </row>
        <row r="1492">
          <cell r="A1492" t="str">
            <v>C0129</v>
          </cell>
          <cell r="B1492" t="str">
            <v>GEBRINA</v>
          </cell>
          <cell r="C1492">
            <v>5820859.909090912</v>
          </cell>
        </row>
        <row r="1493">
          <cell r="A1493" t="str">
            <v>C013</v>
          </cell>
          <cell r="B1493" t="str">
            <v>CITRA SWL BELIMBING</v>
          </cell>
          <cell r="C1493">
            <v>1401312</v>
          </cell>
        </row>
        <row r="1494">
          <cell r="A1494" t="str">
            <v>C0130</v>
          </cell>
          <cell r="B1494" t="str">
            <v>ANAK GALONG</v>
          </cell>
          <cell r="C1494">
            <v>492763.63636363635</v>
          </cell>
        </row>
        <row r="1495">
          <cell r="A1495" t="str">
            <v>C014</v>
          </cell>
          <cell r="B1495" t="str">
            <v>CITRA SWL GAJAH MADA</v>
          </cell>
          <cell r="C1495">
            <v>4251773.3181818184</v>
          </cell>
        </row>
        <row r="1496">
          <cell r="A1496" t="str">
            <v>C0147</v>
          </cell>
          <cell r="B1496" t="str">
            <v>NASABAH</v>
          </cell>
          <cell r="C1496">
            <v>18646612.363636363</v>
          </cell>
        </row>
        <row r="1497">
          <cell r="A1497" t="str">
            <v>C015</v>
          </cell>
          <cell r="B1497" t="str">
            <v>CITRA SWL KALUMBUK</v>
          </cell>
          <cell r="C1497">
            <v>198739.77272727274</v>
          </cell>
        </row>
        <row r="1498">
          <cell r="A1498" t="str">
            <v>C0158</v>
          </cell>
          <cell r="B1498" t="str">
            <v>ADIVA COS</v>
          </cell>
          <cell r="C1498">
            <v>4139906.7727272725</v>
          </cell>
        </row>
        <row r="1499">
          <cell r="A1499" t="str">
            <v>C016</v>
          </cell>
          <cell r="B1499" t="str">
            <v>CITRA SWL KURANJI</v>
          </cell>
          <cell r="C1499">
            <v>1511026.7727272727</v>
          </cell>
        </row>
        <row r="1500">
          <cell r="A1500" t="str">
            <v>C0162</v>
          </cell>
          <cell r="B1500" t="str">
            <v>ZIYA SWALAYAN</v>
          </cell>
          <cell r="C1500">
            <v>5247117.6818181816</v>
          </cell>
        </row>
        <row r="1501">
          <cell r="A1501" t="str">
            <v>C018</v>
          </cell>
          <cell r="B1501" t="str">
            <v>CITRA SWL PARAK GADANG</v>
          </cell>
          <cell r="C1501">
            <v>1749917.0454545454</v>
          </cell>
        </row>
        <row r="1502">
          <cell r="A1502" t="str">
            <v>C0187</v>
          </cell>
          <cell r="B1502" t="str">
            <v>TIA JAYA (PAJAK)</v>
          </cell>
          <cell r="C1502">
            <v>18612681.818181816</v>
          </cell>
        </row>
        <row r="1503">
          <cell r="A1503" t="str">
            <v>C0189</v>
          </cell>
          <cell r="B1503" t="str">
            <v>SULTAN ( CALANG )</v>
          </cell>
          <cell r="C1503">
            <v>635581.36363636365</v>
          </cell>
        </row>
        <row r="1504">
          <cell r="A1504" t="str">
            <v>C019</v>
          </cell>
          <cell r="B1504" t="str">
            <v>KURNIA JAYA</v>
          </cell>
          <cell r="C1504">
            <v>1522924.0909090908</v>
          </cell>
        </row>
        <row r="1505">
          <cell r="A1505" t="str">
            <v>C0191</v>
          </cell>
          <cell r="B1505" t="str">
            <v>SULTAN ( TENOM )</v>
          </cell>
          <cell r="C1505">
            <v>-38143.636363636368</v>
          </cell>
        </row>
        <row r="1506">
          <cell r="A1506" t="str">
            <v>C020</v>
          </cell>
          <cell r="B1506" t="str">
            <v>CITRA SWL PEGAMBIRAN</v>
          </cell>
          <cell r="C1506">
            <v>580479.54545454541</v>
          </cell>
        </row>
        <row r="1507">
          <cell r="A1507" t="str">
            <v>C0200</v>
          </cell>
          <cell r="B1507" t="str">
            <v>ALVIN COSMETIK (PAJAK)</v>
          </cell>
          <cell r="C1507">
            <v>1891987.6818181819</v>
          </cell>
        </row>
        <row r="1508">
          <cell r="A1508" t="str">
            <v>C0202</v>
          </cell>
          <cell r="B1508" t="str">
            <v>SULTAN BILUY</v>
          </cell>
          <cell r="C1508">
            <v>3795032.7272727271</v>
          </cell>
        </row>
        <row r="1509">
          <cell r="A1509" t="str">
            <v>C0203</v>
          </cell>
          <cell r="B1509" t="str">
            <v>MENTARI ( BLANG PIDIE ) PAJAK</v>
          </cell>
          <cell r="C1509">
            <v>4066248.8181818184</v>
          </cell>
        </row>
        <row r="1510">
          <cell r="A1510" t="str">
            <v>C0208</v>
          </cell>
          <cell r="B1510" t="str">
            <v>DIAYU COSMETIC</v>
          </cell>
          <cell r="C1510">
            <v>1161256.3636363638</v>
          </cell>
        </row>
        <row r="1511">
          <cell r="A1511" t="str">
            <v>C021</v>
          </cell>
          <cell r="B1511" t="str">
            <v>CITRA SWL SEI.BALANG</v>
          </cell>
          <cell r="C1511">
            <v>763862.45454545447</v>
          </cell>
        </row>
        <row r="1512">
          <cell r="A1512" t="str">
            <v>C0213</v>
          </cell>
          <cell r="B1512" t="str">
            <v>ILHAM INDAH</v>
          </cell>
          <cell r="C1512">
            <v>242365910.90909091</v>
          </cell>
        </row>
        <row r="1513">
          <cell r="A1513" t="str">
            <v>C0223</v>
          </cell>
          <cell r="B1513" t="str">
            <v>NADIF COSMETICS (PAJAK)</v>
          </cell>
          <cell r="C1513">
            <v>1271454.5454545454</v>
          </cell>
        </row>
        <row r="1514">
          <cell r="A1514" t="str">
            <v>C023</v>
          </cell>
          <cell r="B1514" t="str">
            <v>CITRA SWL THAMRIN</v>
          </cell>
          <cell r="C1514">
            <v>4735721.9090909092</v>
          </cell>
        </row>
        <row r="1515">
          <cell r="A1515" t="str">
            <v>C0234</v>
          </cell>
          <cell r="B1515" t="str">
            <v>AL AZRI MART</v>
          </cell>
          <cell r="C1515">
            <v>1117227.6818181819</v>
          </cell>
        </row>
        <row r="1516">
          <cell r="A1516" t="str">
            <v>C0235</v>
          </cell>
          <cell r="B1516" t="str">
            <v>JOHOR BARU</v>
          </cell>
          <cell r="C1516">
            <v>4225748.5909090908</v>
          </cell>
        </row>
        <row r="1517">
          <cell r="A1517" t="str">
            <v>C024</v>
          </cell>
          <cell r="B1517" t="str">
            <v>CS MART P.K</v>
          </cell>
          <cell r="C1517">
            <v>2658468.2727272734</v>
          </cell>
        </row>
        <row r="1518">
          <cell r="A1518" t="str">
            <v>C025</v>
          </cell>
          <cell r="B1518" t="str">
            <v>CV.BUAH SEGAR UTAMA</v>
          </cell>
          <cell r="C1518">
            <v>282595.90909090912</v>
          </cell>
        </row>
        <row r="1519">
          <cell r="A1519" t="str">
            <v>C0282</v>
          </cell>
          <cell r="B1519" t="str">
            <v>AL-MAHLI ( PAJAK )</v>
          </cell>
          <cell r="C1519">
            <v>7034354.7727272753</v>
          </cell>
        </row>
        <row r="1520">
          <cell r="A1520" t="str">
            <v>C0286</v>
          </cell>
          <cell r="B1520" t="str">
            <v>PRINCES COSMETIK</v>
          </cell>
          <cell r="C1520">
            <v>12073690.272727275</v>
          </cell>
        </row>
        <row r="1521">
          <cell r="A1521" t="str">
            <v>C029</v>
          </cell>
          <cell r="B1521" t="str">
            <v>LIMAN BERSAUDARA</v>
          </cell>
          <cell r="C1521">
            <v>2491105.9090909092</v>
          </cell>
        </row>
        <row r="1522">
          <cell r="A1522" t="str">
            <v>C0297</v>
          </cell>
          <cell r="B1522" t="str">
            <v>KASIMURA SABANG (PAJAK)</v>
          </cell>
          <cell r="C1522">
            <v>2961916.9090909092</v>
          </cell>
        </row>
        <row r="1523">
          <cell r="A1523" t="str">
            <v>C0302</v>
          </cell>
          <cell r="B1523" t="str">
            <v>AMJ</v>
          </cell>
          <cell r="C1523">
            <v>417763.63636363635</v>
          </cell>
        </row>
        <row r="1524">
          <cell r="A1524" t="str">
            <v>C031</v>
          </cell>
          <cell r="B1524" t="str">
            <v>CV. SUKSES VICTORY JAYA</v>
          </cell>
          <cell r="C1524">
            <v>164324288.99999985</v>
          </cell>
        </row>
        <row r="1525">
          <cell r="A1525" t="str">
            <v>C0311</v>
          </cell>
          <cell r="B1525" t="str">
            <v>NADINA</v>
          </cell>
          <cell r="C1525">
            <v>603294.54545454541</v>
          </cell>
        </row>
        <row r="1526">
          <cell r="A1526" t="str">
            <v>C032</v>
          </cell>
          <cell r="B1526" t="str">
            <v>CITRA MART CENGKEH</v>
          </cell>
          <cell r="C1526">
            <v>585010.90909090906</v>
          </cell>
        </row>
        <row r="1527">
          <cell r="A1527" t="str">
            <v>C0327</v>
          </cell>
          <cell r="B1527" t="str">
            <v>ALFAIZ GROCER</v>
          </cell>
          <cell r="C1527">
            <v>149395.90909090909</v>
          </cell>
        </row>
        <row r="1528">
          <cell r="A1528" t="str">
            <v>C033</v>
          </cell>
          <cell r="B1528" t="str">
            <v>CITRA MART TABING</v>
          </cell>
          <cell r="C1528">
            <v>2551258.0909090918</v>
          </cell>
        </row>
        <row r="1529">
          <cell r="A1529" t="str">
            <v>C034</v>
          </cell>
          <cell r="B1529" t="str">
            <v>CITRA SWL SITEBA</v>
          </cell>
          <cell r="C1529">
            <v>2310826.0909090913</v>
          </cell>
        </row>
        <row r="1530">
          <cell r="A1530" t="str">
            <v>C0344</v>
          </cell>
          <cell r="B1530" t="str">
            <v>RAHMAT SEJAHTERA</v>
          </cell>
          <cell r="C1530">
            <v>3060654.3181818193</v>
          </cell>
        </row>
        <row r="1531">
          <cell r="A1531" t="str">
            <v>C0364</v>
          </cell>
          <cell r="B1531" t="str">
            <v>TK. MUARA SENJA</v>
          </cell>
          <cell r="C1531">
            <v>99900.000000000029</v>
          </cell>
        </row>
        <row r="1532">
          <cell r="A1532" t="str">
            <v>C0380</v>
          </cell>
          <cell r="B1532" t="str">
            <v>UD. MELJI</v>
          </cell>
          <cell r="C1532">
            <v>1199697.9545454544</v>
          </cell>
        </row>
        <row r="1533">
          <cell r="A1533" t="str">
            <v>C039</v>
          </cell>
          <cell r="B1533" t="str">
            <v>CITRA EXPRESS AMBACANG</v>
          </cell>
          <cell r="C1533">
            <v>2028490.3636363638</v>
          </cell>
        </row>
        <row r="1534">
          <cell r="A1534" t="str">
            <v>C040</v>
          </cell>
          <cell r="B1534" t="str">
            <v>CV.RIAS KOSMETIK PERDANA</v>
          </cell>
          <cell r="C1534">
            <v>2636574.5454545454</v>
          </cell>
        </row>
        <row r="1535">
          <cell r="A1535" t="str">
            <v>C041</v>
          </cell>
          <cell r="B1535" t="str">
            <v>CAHAYA MART PYK</v>
          </cell>
          <cell r="C1535">
            <v>191475.00000000006</v>
          </cell>
        </row>
        <row r="1536">
          <cell r="A1536" t="str">
            <v>C042</v>
          </cell>
          <cell r="B1536" t="str">
            <v>BINTAN JAYA TELEMEDIA</v>
          </cell>
          <cell r="C1536">
            <v>8694675.2727272734</v>
          </cell>
        </row>
        <row r="1537">
          <cell r="A1537" t="str">
            <v>C0426</v>
          </cell>
          <cell r="B1537" t="str">
            <v>BASRI TOYS</v>
          </cell>
          <cell r="C1537">
            <v>1777535.8636363638</v>
          </cell>
        </row>
        <row r="1538">
          <cell r="A1538" t="str">
            <v>C043</v>
          </cell>
          <cell r="B1538" t="str">
            <v>CV.GEMILANG BUAH UTAMA</v>
          </cell>
          <cell r="C1538">
            <v>1186077.2727272727</v>
          </cell>
        </row>
        <row r="1539">
          <cell r="A1539" t="str">
            <v>C0439</v>
          </cell>
          <cell r="B1539" t="str">
            <v>ICUT COSMETIC</v>
          </cell>
          <cell r="C1539">
            <v>9253719.9090909082</v>
          </cell>
        </row>
        <row r="1540">
          <cell r="A1540" t="str">
            <v>C044</v>
          </cell>
          <cell r="B1540" t="str">
            <v>CITRA EXPRESS PADANG BARU</v>
          </cell>
          <cell r="C1540">
            <v>1110456.8181818181</v>
          </cell>
        </row>
        <row r="1541">
          <cell r="A1541" t="str">
            <v>C0445</v>
          </cell>
          <cell r="B1541" t="str">
            <v>ARCI MART</v>
          </cell>
          <cell r="C1541">
            <v>1396491.8181818184</v>
          </cell>
        </row>
        <row r="1542">
          <cell r="A1542" t="str">
            <v>C045</v>
          </cell>
          <cell r="B1542" t="str">
            <v>MANDIRI MART</v>
          </cell>
          <cell r="C1542">
            <v>238397.72727272726</v>
          </cell>
        </row>
        <row r="1543">
          <cell r="A1543" t="str">
            <v>C0457</v>
          </cell>
          <cell r="B1543" t="str">
            <v>ADI TOSERBA</v>
          </cell>
          <cell r="C1543">
            <v>-1194617.3181818181</v>
          </cell>
        </row>
        <row r="1544">
          <cell r="A1544" t="str">
            <v>C046</v>
          </cell>
          <cell r="B1544" t="str">
            <v>CERIAA MART</v>
          </cell>
          <cell r="C1544">
            <v>189000</v>
          </cell>
        </row>
        <row r="1545">
          <cell r="A1545" t="str">
            <v>C049</v>
          </cell>
          <cell r="B1545" t="str">
            <v>BINTAN SUKSES ABADI</v>
          </cell>
          <cell r="C1545">
            <v>281400</v>
          </cell>
        </row>
        <row r="1546">
          <cell r="A1546" t="str">
            <v>C0514</v>
          </cell>
          <cell r="B1546" t="str">
            <v>BAHAGIA</v>
          </cell>
          <cell r="C1546">
            <v>1752891.1363636365</v>
          </cell>
        </row>
        <row r="1547">
          <cell r="A1547" t="str">
            <v>C0519</v>
          </cell>
          <cell r="B1547" t="str">
            <v>PILAR MART</v>
          </cell>
          <cell r="C1547">
            <v>3382851.8181818188</v>
          </cell>
        </row>
        <row r="1548">
          <cell r="A1548" t="str">
            <v>C0522</v>
          </cell>
          <cell r="B1548" t="str">
            <v>PIM MART</v>
          </cell>
          <cell r="C1548">
            <v>1652111.3181818184</v>
          </cell>
        </row>
        <row r="1549">
          <cell r="A1549" t="str">
            <v>C053</v>
          </cell>
          <cell r="B1549" t="str">
            <v>NOEZA LEACHA</v>
          </cell>
          <cell r="C1549">
            <v>1260258.6363636365</v>
          </cell>
        </row>
        <row r="1550">
          <cell r="A1550" t="str">
            <v>C0533</v>
          </cell>
          <cell r="B1550" t="str">
            <v>JAKARTA COS RANGKAYA</v>
          </cell>
          <cell r="C1550">
            <v>1137890.4545454546</v>
          </cell>
        </row>
        <row r="1551">
          <cell r="A1551" t="str">
            <v>C0568</v>
          </cell>
          <cell r="B1551" t="str">
            <v>UNA COS</v>
          </cell>
          <cell r="C1551">
            <v>449650</v>
          </cell>
        </row>
        <row r="1552">
          <cell r="A1552" t="str">
            <v>C0579</v>
          </cell>
          <cell r="B1552" t="str">
            <v>SETIA KAWAN</v>
          </cell>
          <cell r="C1552">
            <v>564747.72727272729</v>
          </cell>
        </row>
        <row r="1553">
          <cell r="A1553" t="str">
            <v>C0581</v>
          </cell>
          <cell r="B1553" t="str">
            <v>NUSA INDAH</v>
          </cell>
          <cell r="C1553">
            <v>10243701.954545444</v>
          </cell>
        </row>
        <row r="1554">
          <cell r="A1554" t="str">
            <v>C0625</v>
          </cell>
          <cell r="B1554" t="str">
            <v>MV. BINTANG COS</v>
          </cell>
          <cell r="C1554">
            <v>1625990.9090909092</v>
          </cell>
        </row>
        <row r="1555">
          <cell r="A1555" t="str">
            <v>C0648</v>
          </cell>
          <cell r="B1555" t="str">
            <v>SURYA AGUNG</v>
          </cell>
          <cell r="C1555">
            <v>410424.09090909088</v>
          </cell>
        </row>
        <row r="1556">
          <cell r="A1556" t="str">
            <v>C0650</v>
          </cell>
          <cell r="B1556" t="str">
            <v>ADI MARKET</v>
          </cell>
          <cell r="C1556">
            <v>377152.49999999994</v>
          </cell>
        </row>
        <row r="1557">
          <cell r="A1557" t="str">
            <v>C0658</v>
          </cell>
          <cell r="B1557" t="str">
            <v>MOVIE &amp; MUSIC</v>
          </cell>
          <cell r="C1557">
            <v>264886.36363636365</v>
          </cell>
        </row>
        <row r="1558">
          <cell r="A1558" t="str">
            <v>C0666</v>
          </cell>
          <cell r="B1558" t="str">
            <v>MIBO BERSAUDARA</v>
          </cell>
          <cell r="C1558">
            <v>20963.863636363691</v>
          </cell>
        </row>
        <row r="1559">
          <cell r="A1559" t="str">
            <v>C0669</v>
          </cell>
          <cell r="B1559" t="str">
            <v>DVR SHOP</v>
          </cell>
          <cell r="C1559">
            <v>1841809.0909090913</v>
          </cell>
        </row>
        <row r="1560">
          <cell r="A1560" t="str">
            <v>C0695</v>
          </cell>
          <cell r="B1560" t="str">
            <v>FIDA COS</v>
          </cell>
          <cell r="C1560">
            <v>2873582.7272727275</v>
          </cell>
        </row>
        <row r="1561">
          <cell r="A1561" t="str">
            <v>C0718</v>
          </cell>
          <cell r="B1561" t="str">
            <v>HS OFFICIAL ( PAJAK )</v>
          </cell>
          <cell r="C1561">
            <v>24048638.727272723</v>
          </cell>
        </row>
        <row r="1562">
          <cell r="A1562" t="str">
            <v>C072</v>
          </cell>
          <cell r="B1562" t="str">
            <v>HOKI MART</v>
          </cell>
          <cell r="C1562">
            <v>4663978.2272727266</v>
          </cell>
        </row>
        <row r="1563">
          <cell r="A1563" t="str">
            <v>C073</v>
          </cell>
          <cell r="B1563" t="str">
            <v>CT MART / BUDI</v>
          </cell>
          <cell r="C1563">
            <v>518690.45454545453</v>
          </cell>
        </row>
        <row r="1564">
          <cell r="A1564" t="str">
            <v>C076</v>
          </cell>
          <cell r="B1564" t="str">
            <v>CV. BINTAN MARINDO PERMAI</v>
          </cell>
          <cell r="C1564">
            <v>744774.54545454541</v>
          </cell>
        </row>
        <row r="1565">
          <cell r="A1565" t="str">
            <v>C0768</v>
          </cell>
          <cell r="B1565" t="str">
            <v>TABINA 2</v>
          </cell>
          <cell r="C1565">
            <v>310252.5</v>
          </cell>
        </row>
        <row r="1566">
          <cell r="A1566" t="str">
            <v>C077</v>
          </cell>
          <cell r="B1566" t="str">
            <v>CHESSA COSMETI C / CYNTIA DEVIANA</v>
          </cell>
          <cell r="C1566">
            <v>3776972.0454545477</v>
          </cell>
        </row>
        <row r="1567">
          <cell r="A1567" t="str">
            <v>C0770</v>
          </cell>
          <cell r="B1567" t="str">
            <v>HIJRAH SWALAYAN</v>
          </cell>
          <cell r="C1567">
            <v>1762651.3636363638</v>
          </cell>
        </row>
        <row r="1568">
          <cell r="A1568" t="str">
            <v>C0789</v>
          </cell>
          <cell r="B1568" t="str">
            <v>YANIS BARU</v>
          </cell>
          <cell r="C1568">
            <v>4015269.5454545459</v>
          </cell>
        </row>
        <row r="1569">
          <cell r="A1569" t="str">
            <v>C0790</v>
          </cell>
          <cell r="B1569" t="str">
            <v>HSCO</v>
          </cell>
          <cell r="C1569">
            <v>15395713.636363639</v>
          </cell>
        </row>
        <row r="1570">
          <cell r="A1570" t="str">
            <v>C0793</v>
          </cell>
          <cell r="B1570" t="str">
            <v>PLANET COS</v>
          </cell>
          <cell r="C1570">
            <v>12385068.000000002</v>
          </cell>
        </row>
        <row r="1571">
          <cell r="A1571" t="str">
            <v>C0808</v>
          </cell>
          <cell r="B1571" t="str">
            <v>JAKARTA COS</v>
          </cell>
          <cell r="C1571">
            <v>6039345.0000000009</v>
          </cell>
        </row>
        <row r="1572">
          <cell r="A1572" t="str">
            <v>C0814</v>
          </cell>
          <cell r="B1572" t="str">
            <v>VYA OLSHOP</v>
          </cell>
          <cell r="C1572">
            <v>6039629.0909090899</v>
          </cell>
        </row>
        <row r="1573">
          <cell r="A1573" t="str">
            <v>C0901</v>
          </cell>
          <cell r="B1573" t="str">
            <v>MERRY JAYA</v>
          </cell>
          <cell r="C1573">
            <v>1845603.4090909094</v>
          </cell>
        </row>
        <row r="1574">
          <cell r="A1574" t="str">
            <v>C0947</v>
          </cell>
          <cell r="B1574" t="str">
            <v>ARIQA COS</v>
          </cell>
          <cell r="C1574">
            <v>12399659.454545457</v>
          </cell>
        </row>
        <row r="1575">
          <cell r="A1575" t="str">
            <v>C0948</v>
          </cell>
          <cell r="B1575" t="str">
            <v>MD SHOP COS</v>
          </cell>
          <cell r="C1575">
            <v>740781.81818181823</v>
          </cell>
        </row>
        <row r="1576">
          <cell r="A1576" t="str">
            <v>C0950</v>
          </cell>
          <cell r="B1576" t="str">
            <v>CITRA COS ULIM</v>
          </cell>
          <cell r="C1576">
            <v>8866450.3636363633</v>
          </cell>
        </row>
        <row r="1577">
          <cell r="A1577" t="str">
            <v>C0957</v>
          </cell>
          <cell r="B1577" t="str">
            <v>DUNIA ANAK</v>
          </cell>
          <cell r="C1577">
            <v>745963.63636363647</v>
          </cell>
        </row>
        <row r="1578">
          <cell r="A1578" t="str">
            <v>C0969</v>
          </cell>
          <cell r="B1578" t="str">
            <v>ASYIFA COS</v>
          </cell>
          <cell r="C1578">
            <v>1341386.7272727271</v>
          </cell>
        </row>
        <row r="1579">
          <cell r="A1579" t="str">
            <v>C1296</v>
          </cell>
          <cell r="B1579" t="str">
            <v>CAHAYA CITRA</v>
          </cell>
          <cell r="C1579">
            <v>6039183</v>
          </cell>
        </row>
        <row r="1580">
          <cell r="A1580" t="str">
            <v>C1306</v>
          </cell>
          <cell r="B1580" t="str">
            <v>DIFZA MANDIRI MM</v>
          </cell>
          <cell r="C1580">
            <v>2315928.0000000005</v>
          </cell>
        </row>
        <row r="1581">
          <cell r="A1581" t="str">
            <v>C1318</v>
          </cell>
          <cell r="B1581" t="str">
            <v>CAHAYA BARU (BAYU)</v>
          </cell>
          <cell r="C1581">
            <v>1383481.8181818179</v>
          </cell>
        </row>
        <row r="1582">
          <cell r="A1582" t="str">
            <v>C1335</v>
          </cell>
          <cell r="B1582" t="str">
            <v>RAUDHAH MARKET</v>
          </cell>
          <cell r="C1582">
            <v>862151.31818181823</v>
          </cell>
        </row>
        <row r="1583">
          <cell r="A1583" t="str">
            <v>C1356</v>
          </cell>
          <cell r="B1583" t="str">
            <v>MAYA BARU 1 SIGLI</v>
          </cell>
          <cell r="C1583">
            <v>891818.18181818177</v>
          </cell>
        </row>
        <row r="1584">
          <cell r="A1584" t="str">
            <v>C1982</v>
          </cell>
          <cell r="B1584" t="str">
            <v>UD. BALQIS</v>
          </cell>
          <cell r="C1584">
            <v>346546.36363636359</v>
          </cell>
        </row>
        <row r="1585">
          <cell r="A1585" t="str">
            <v>C1983</v>
          </cell>
          <cell r="B1585" t="str">
            <v>KHANSA COS</v>
          </cell>
          <cell r="C1585">
            <v>15897199.636363639</v>
          </cell>
        </row>
        <row r="1586">
          <cell r="A1586" t="str">
            <v>C2012</v>
          </cell>
          <cell r="B1586" t="str">
            <v>IIS KOSMETIK</v>
          </cell>
          <cell r="C1586">
            <v>1536339.0909090908</v>
          </cell>
        </row>
        <row r="1587">
          <cell r="A1587" t="str">
            <v>C2020</v>
          </cell>
          <cell r="B1587" t="str">
            <v>BATRAS</v>
          </cell>
          <cell r="C1587">
            <v>4682400</v>
          </cell>
        </row>
        <row r="1588">
          <cell r="A1588" t="str">
            <v>C2022</v>
          </cell>
          <cell r="B1588" t="str">
            <v>ZIA BEAUTY</v>
          </cell>
          <cell r="C1588">
            <v>5842631.1818181816</v>
          </cell>
        </row>
        <row r="1589">
          <cell r="A1589" t="str">
            <v>C2023</v>
          </cell>
          <cell r="B1589" t="str">
            <v>BERINGIN JAYA</v>
          </cell>
          <cell r="C1589">
            <v>1972799.4545454546</v>
          </cell>
        </row>
        <row r="1590">
          <cell r="A1590" t="str">
            <v>C2028</v>
          </cell>
          <cell r="B1590" t="str">
            <v>BABA COSMETIK</v>
          </cell>
          <cell r="C1590">
            <v>6962350.909090911</v>
          </cell>
        </row>
        <row r="1591">
          <cell r="A1591" t="str">
            <v>C2032</v>
          </cell>
          <cell r="B1591" t="str">
            <v>JASA DELIMA 3</v>
          </cell>
          <cell r="C1591">
            <v>19530723.409090914</v>
          </cell>
        </row>
        <row r="1592">
          <cell r="A1592" t="str">
            <v>C2053</v>
          </cell>
          <cell r="B1592" t="str">
            <v>U MART ( IDI RAYEUK )</v>
          </cell>
          <cell r="C1592">
            <v>1330874.9999999998</v>
          </cell>
        </row>
        <row r="1593">
          <cell r="A1593" t="str">
            <v>C2072</v>
          </cell>
          <cell r="B1593" t="str">
            <v>MAKMUR SWALAYAN 1</v>
          </cell>
          <cell r="C1593">
            <v>1564428.3636363638</v>
          </cell>
        </row>
        <row r="1594">
          <cell r="A1594" t="str">
            <v>C2073</v>
          </cell>
          <cell r="B1594" t="str">
            <v>MAKMUR SWALAYAN 2</v>
          </cell>
          <cell r="C1594">
            <v>672390.68181818188</v>
          </cell>
        </row>
        <row r="1595">
          <cell r="A1595" t="str">
            <v>C2077</v>
          </cell>
          <cell r="B1595" t="str">
            <v>N CELL</v>
          </cell>
          <cell r="C1595">
            <v>1020190.9090909089</v>
          </cell>
        </row>
        <row r="1596">
          <cell r="A1596" t="str">
            <v>C2080</v>
          </cell>
          <cell r="B1596" t="str">
            <v>S'RAIYA STORE</v>
          </cell>
          <cell r="C1596">
            <v>860913.18181818165</v>
          </cell>
        </row>
        <row r="1597">
          <cell r="A1597" t="str">
            <v>C2100</v>
          </cell>
          <cell r="B1597" t="str">
            <v>TARI COS LAMPINENG</v>
          </cell>
          <cell r="C1597">
            <v>7628727.2727272734</v>
          </cell>
        </row>
        <row r="1598">
          <cell r="A1598" t="str">
            <v>C2103</v>
          </cell>
          <cell r="B1598" t="str">
            <v>KHANSA 2 TENOM</v>
          </cell>
          <cell r="C1598">
            <v>3883719.9545454532</v>
          </cell>
        </row>
        <row r="1599">
          <cell r="A1599" t="str">
            <v>C2106</v>
          </cell>
          <cell r="B1599" t="str">
            <v>RIYAN COSMETIC</v>
          </cell>
          <cell r="C1599">
            <v>855000</v>
          </cell>
        </row>
        <row r="1600">
          <cell r="A1600" t="str">
            <v>C2128</v>
          </cell>
          <cell r="B1600" t="str">
            <v>NAZAR SWALAYAN</v>
          </cell>
          <cell r="C1600">
            <v>2174127.2727272725</v>
          </cell>
        </row>
        <row r="1601">
          <cell r="A1601" t="str">
            <v>C2133</v>
          </cell>
          <cell r="B1601" t="str">
            <v>ARAFAH MART</v>
          </cell>
          <cell r="C1601">
            <v>834000</v>
          </cell>
        </row>
        <row r="1602">
          <cell r="A1602" t="str">
            <v>C2134</v>
          </cell>
          <cell r="B1602" t="str">
            <v>SINAR DUNIA</v>
          </cell>
          <cell r="C1602">
            <v>892227.27272727271</v>
          </cell>
        </row>
        <row r="1603">
          <cell r="A1603" t="str">
            <v>C2137</v>
          </cell>
          <cell r="B1603" t="str">
            <v>NUROEL GALERY</v>
          </cell>
          <cell r="C1603">
            <v>72536863.772727221</v>
          </cell>
        </row>
        <row r="1604">
          <cell r="A1604" t="str">
            <v>C2142</v>
          </cell>
          <cell r="B1604" t="str">
            <v>TK LILI</v>
          </cell>
          <cell r="C1604">
            <v>2884209.0909090913</v>
          </cell>
        </row>
        <row r="1605">
          <cell r="A1605" t="str">
            <v>C2144</v>
          </cell>
          <cell r="B1605" t="str">
            <v>FAIRY COSMETIC</v>
          </cell>
          <cell r="C1605">
            <v>1269292.7272727273</v>
          </cell>
        </row>
        <row r="1606">
          <cell r="A1606" t="str">
            <v>C2148</v>
          </cell>
          <cell r="B1606" t="str">
            <v>CAHAYA COSMETIC</v>
          </cell>
          <cell r="C1606">
            <v>1274637.5000000002</v>
          </cell>
        </row>
        <row r="1607">
          <cell r="A1607" t="str">
            <v>C2150</v>
          </cell>
          <cell r="B1607" t="str">
            <v>AYU MAULIZA</v>
          </cell>
          <cell r="C1607">
            <v>2225723.1818181816</v>
          </cell>
        </row>
        <row r="1608">
          <cell r="A1608" t="str">
            <v>C2153</v>
          </cell>
          <cell r="B1608" t="str">
            <v>AYYUN BEUTY CARE</v>
          </cell>
          <cell r="C1608">
            <v>3668567.7272727275</v>
          </cell>
        </row>
        <row r="1609">
          <cell r="A1609" t="str">
            <v>C2165</v>
          </cell>
          <cell r="B1609" t="str">
            <v>ZAMZAM JAYA</v>
          </cell>
          <cell r="C1609">
            <v>2371101.1363636362</v>
          </cell>
        </row>
        <row r="1610">
          <cell r="A1610" t="str">
            <v>C2166</v>
          </cell>
          <cell r="B1610" t="str">
            <v>CEKMI SW</v>
          </cell>
          <cell r="C1610">
            <v>1130649.8181818179</v>
          </cell>
        </row>
        <row r="1611">
          <cell r="A1611" t="str">
            <v>C2167</v>
          </cell>
          <cell r="B1611" t="str">
            <v>MARNI ACC</v>
          </cell>
          <cell r="C1611">
            <v>6505715.9090909092</v>
          </cell>
        </row>
        <row r="1612">
          <cell r="A1612" t="str">
            <v>C2169</v>
          </cell>
          <cell r="B1612" t="str">
            <v>ROSE BEAUTY STORE</v>
          </cell>
          <cell r="C1612">
            <v>10232915.909090908</v>
          </cell>
        </row>
        <row r="1613">
          <cell r="A1613" t="str">
            <v>C2170</v>
          </cell>
          <cell r="B1613" t="str">
            <v>NARATA SWALAYAN</v>
          </cell>
          <cell r="C1613">
            <v>1073790.0000000002</v>
          </cell>
        </row>
        <row r="1614">
          <cell r="A1614" t="str">
            <v>C2175</v>
          </cell>
          <cell r="B1614" t="str">
            <v>PANTE JAYA</v>
          </cell>
          <cell r="C1614">
            <v>603241.36363636365</v>
          </cell>
        </row>
        <row r="1615">
          <cell r="A1615" t="str">
            <v>C2176</v>
          </cell>
          <cell r="B1615" t="str">
            <v>MITA JAYA</v>
          </cell>
          <cell r="C1615">
            <v>410638.63636363635</v>
          </cell>
        </row>
        <row r="1616">
          <cell r="A1616" t="str">
            <v>C2179</v>
          </cell>
          <cell r="B1616" t="str">
            <v>MAKMUR SWALAYAN IDI</v>
          </cell>
          <cell r="C1616">
            <v>3841712.7272727275</v>
          </cell>
        </row>
        <row r="1617">
          <cell r="A1617" t="str">
            <v>C2182</v>
          </cell>
          <cell r="B1617" t="str">
            <v>ABIGAIL'S GALLERY</v>
          </cell>
          <cell r="C1617">
            <v>235551.95454545456</v>
          </cell>
        </row>
        <row r="1618">
          <cell r="A1618" t="str">
            <v>C2956</v>
          </cell>
          <cell r="B1618" t="str">
            <v>CITRA COS BATUPAT</v>
          </cell>
          <cell r="C1618">
            <v>19124601.81818182</v>
          </cell>
        </row>
        <row r="1619">
          <cell r="A1619" t="str">
            <v>C3319</v>
          </cell>
          <cell r="B1619" t="str">
            <v xml:space="preserve">MB. LESTARI ( TUNGKOP) </v>
          </cell>
          <cell r="C1619">
            <v>672811.36363636353</v>
          </cell>
        </row>
        <row r="1620">
          <cell r="A1620" t="str">
            <v>C3394</v>
          </cell>
          <cell r="B1620" t="str">
            <v>NERDY SHOP</v>
          </cell>
          <cell r="C1620">
            <v>98382769.727272704</v>
          </cell>
        </row>
        <row r="1621">
          <cell r="A1621" t="str">
            <v>C4492</v>
          </cell>
          <cell r="B1621" t="str">
            <v>WEDANA SWALAYAN</v>
          </cell>
          <cell r="C1621">
            <v>333151.36363636365</v>
          </cell>
        </row>
        <row r="1622">
          <cell r="A1622" t="str">
            <v>C4599</v>
          </cell>
          <cell r="B1622" t="str">
            <v>NR COSMETIC</v>
          </cell>
          <cell r="C1622">
            <v>77375120.99999997</v>
          </cell>
        </row>
        <row r="1623">
          <cell r="A1623" t="str">
            <v>C6003</v>
          </cell>
          <cell r="B1623" t="str">
            <v>PUFA COS</v>
          </cell>
          <cell r="C1623">
            <v>1234739.5909090908</v>
          </cell>
        </row>
        <row r="1624">
          <cell r="A1624" t="str">
            <v>C6006</v>
          </cell>
          <cell r="B1624" t="str">
            <v>LAMSAYEUN SWALAYAN</v>
          </cell>
          <cell r="C1624">
            <v>536836.36363636376</v>
          </cell>
        </row>
        <row r="1625">
          <cell r="A1625" t="str">
            <v>C6009</v>
          </cell>
          <cell r="B1625" t="str">
            <v>RUMAISA COS MERDU</v>
          </cell>
          <cell r="C1625">
            <v>9821168.1818181816</v>
          </cell>
        </row>
        <row r="1626">
          <cell r="A1626" t="str">
            <v>C6011</v>
          </cell>
          <cell r="B1626" t="str">
            <v>WIWW SHOP</v>
          </cell>
          <cell r="C1626">
            <v>31215309.363636374</v>
          </cell>
        </row>
        <row r="1627">
          <cell r="A1627" t="str">
            <v>C6012</v>
          </cell>
          <cell r="B1627" t="str">
            <v>BERKAT SYUKUR</v>
          </cell>
          <cell r="C1627">
            <v>1263529.0909090913</v>
          </cell>
        </row>
        <row r="1628">
          <cell r="A1628" t="str">
            <v>C6017</v>
          </cell>
          <cell r="B1628" t="str">
            <v>LADYS/ ERA KOSMETIK</v>
          </cell>
          <cell r="C1628">
            <v>8714830</v>
          </cell>
        </row>
        <row r="1629">
          <cell r="A1629" t="str">
            <v>C6018</v>
          </cell>
          <cell r="B1629" t="str">
            <v>SEJAHTERA MAJU</v>
          </cell>
          <cell r="C1629">
            <v>839059.09090909082</v>
          </cell>
        </row>
        <row r="1630">
          <cell r="A1630" t="str">
            <v>C6019</v>
          </cell>
          <cell r="B1630" t="str">
            <v>ARKAN 561 MART</v>
          </cell>
          <cell r="C1630">
            <v>242524.77272727276</v>
          </cell>
        </row>
        <row r="1631">
          <cell r="A1631" t="str">
            <v>C6028</v>
          </cell>
          <cell r="B1631" t="str">
            <v>SULAIMAN JAYA</v>
          </cell>
          <cell r="C1631">
            <v>49950.000000000015</v>
          </cell>
        </row>
        <row r="1632">
          <cell r="A1632" t="str">
            <v>C6036</v>
          </cell>
          <cell r="B1632" t="str">
            <v>MIRAY SWALAYAN</v>
          </cell>
          <cell r="C1632">
            <v>812181.81818181812</v>
          </cell>
        </row>
        <row r="1633">
          <cell r="A1633" t="str">
            <v>C6039</v>
          </cell>
          <cell r="B1633" t="str">
            <v>VIDA COS</v>
          </cell>
          <cell r="C1633">
            <v>1429981.3636363635</v>
          </cell>
        </row>
        <row r="1634">
          <cell r="A1634" t="str">
            <v>C6051</v>
          </cell>
          <cell r="B1634" t="str">
            <v>(TOKO HAYANA SHOP)</v>
          </cell>
          <cell r="C1634">
            <v>66765762</v>
          </cell>
        </row>
        <row r="1635">
          <cell r="A1635" t="str">
            <v>C6062</v>
          </cell>
          <cell r="B1635" t="str">
            <v>UD. LENA</v>
          </cell>
          <cell r="C1635">
            <v>1067576.7272727271</v>
          </cell>
        </row>
        <row r="1636">
          <cell r="A1636" t="str">
            <v>C6076</v>
          </cell>
          <cell r="B1636" t="str">
            <v>DKS 88 MINIMART</v>
          </cell>
          <cell r="C1636">
            <v>220889.54545454547</v>
          </cell>
        </row>
        <row r="1637">
          <cell r="A1637" t="str">
            <v>C6077</v>
          </cell>
          <cell r="B1637" t="str">
            <v>BARAKAH</v>
          </cell>
          <cell r="C1637">
            <v>1292952.9545454544</v>
          </cell>
        </row>
        <row r="1638">
          <cell r="A1638" t="str">
            <v>C6090</v>
          </cell>
          <cell r="B1638" t="str">
            <v>ARKAN MART</v>
          </cell>
          <cell r="C1638">
            <v>472984.09090909094</v>
          </cell>
        </row>
        <row r="1639">
          <cell r="A1639" t="str">
            <v>C6091</v>
          </cell>
          <cell r="B1639" t="str">
            <v>CEK NAN KUTURI MART</v>
          </cell>
          <cell r="C1639">
            <v>624950</v>
          </cell>
        </row>
        <row r="1640">
          <cell r="A1640" t="str">
            <v>C6093</v>
          </cell>
          <cell r="B1640" t="str">
            <v>FAILA COS</v>
          </cell>
          <cell r="C1640">
            <v>388399.09090909094</v>
          </cell>
        </row>
        <row r="1641">
          <cell r="A1641" t="str">
            <v>C6100</v>
          </cell>
          <cell r="B1641" t="str">
            <v>AL-BARKI STORE</v>
          </cell>
          <cell r="C1641">
            <v>468722.72727272729</v>
          </cell>
        </row>
        <row r="1642">
          <cell r="A1642" t="str">
            <v>C6101</v>
          </cell>
          <cell r="B1642" t="str">
            <v>ARON MART</v>
          </cell>
          <cell r="C1642">
            <v>133200</v>
          </cell>
        </row>
        <row r="1643">
          <cell r="A1643" t="str">
            <v>C6103</v>
          </cell>
          <cell r="B1643" t="str">
            <v>RAFFA JAYA</v>
          </cell>
          <cell r="C1643">
            <v>1121462.7272727273</v>
          </cell>
        </row>
        <row r="1644">
          <cell r="A1644" t="str">
            <v>C6108</v>
          </cell>
          <cell r="B1644" t="str">
            <v>HRD SWALAYAN</v>
          </cell>
          <cell r="C1644">
            <v>3996745.6363636362</v>
          </cell>
        </row>
        <row r="1645">
          <cell r="A1645" t="str">
            <v>C6109</v>
          </cell>
          <cell r="B1645" t="str">
            <v>FAMILY MART BIREUN</v>
          </cell>
          <cell r="C1645">
            <v>9673671.8181818202</v>
          </cell>
        </row>
        <row r="1646">
          <cell r="A1646" t="str">
            <v>C6112</v>
          </cell>
          <cell r="B1646" t="str">
            <v>KOREA MARKET</v>
          </cell>
          <cell r="C1646">
            <v>435808.63636363635</v>
          </cell>
        </row>
        <row r="1647">
          <cell r="A1647" t="str">
            <v>C6130</v>
          </cell>
          <cell r="B1647" t="str">
            <v>MATANG SWALAYAN</v>
          </cell>
          <cell r="C1647">
            <v>4612343.6363636367</v>
          </cell>
        </row>
        <row r="1648">
          <cell r="A1648" t="str">
            <v>C6141</v>
          </cell>
          <cell r="B1648" t="str">
            <v>SYAFIQA</v>
          </cell>
          <cell r="C1648">
            <v>3627190.9090909087</v>
          </cell>
        </row>
        <row r="1649">
          <cell r="A1649" t="str">
            <v>C6143</v>
          </cell>
          <cell r="B1649" t="str">
            <v>RD NIAGA</v>
          </cell>
          <cell r="C1649">
            <v>133200</v>
          </cell>
        </row>
        <row r="1650">
          <cell r="A1650" t="str">
            <v>C6169</v>
          </cell>
          <cell r="B1650" t="str">
            <v>DUTA COS BIREUEN</v>
          </cell>
          <cell r="C1650">
            <v>54552019.81818182</v>
          </cell>
        </row>
        <row r="1651">
          <cell r="A1651" t="str">
            <v>C640</v>
          </cell>
          <cell r="B1651" t="str">
            <v>WANDA COS</v>
          </cell>
          <cell r="C1651">
            <v>9441209.8636363633</v>
          </cell>
        </row>
        <row r="1652">
          <cell r="A1652" t="str">
            <v>C642</v>
          </cell>
          <cell r="B1652" t="str">
            <v>D. ROYAL MART</v>
          </cell>
          <cell r="C1652">
            <v>767063.86363636376</v>
          </cell>
        </row>
        <row r="1653">
          <cell r="A1653" t="str">
            <v>C818</v>
          </cell>
          <cell r="B1653" t="str">
            <v>PUNGE SWALAYAN</v>
          </cell>
          <cell r="C1653">
            <v>791374.50000000023</v>
          </cell>
        </row>
        <row r="1654">
          <cell r="A1654" t="str">
            <v>C925</v>
          </cell>
          <cell r="B1654" t="str">
            <v xml:space="preserve">MUKHSIN COS </v>
          </cell>
          <cell r="C1654">
            <v>62137104.545454547</v>
          </cell>
        </row>
        <row r="1655">
          <cell r="A1655" t="str">
            <v>C928</v>
          </cell>
          <cell r="B1655" t="str">
            <v>NAZWA ULEE GLE ( PAJAK)</v>
          </cell>
          <cell r="C1655">
            <v>-480024.54545454553</v>
          </cell>
        </row>
        <row r="1656">
          <cell r="A1656" t="str">
            <v>C989</v>
          </cell>
          <cell r="B1656" t="str">
            <v>ARSHIYA MARKET</v>
          </cell>
          <cell r="C1656">
            <v>196186.36363636368</v>
          </cell>
        </row>
        <row r="1657">
          <cell r="A1657" t="str">
            <v>C991</v>
          </cell>
          <cell r="B1657" t="str">
            <v>TOKO AMALIA</v>
          </cell>
          <cell r="C1657">
            <v>5027566.0000000019</v>
          </cell>
        </row>
        <row r="1658">
          <cell r="A1658" t="str">
            <v>CAHY</v>
          </cell>
          <cell r="B1658" t="str">
            <v>CAHAYA BEAUTY</v>
          </cell>
          <cell r="C1658">
            <v>23802369.545454551</v>
          </cell>
        </row>
        <row r="1659">
          <cell r="A1659" t="str">
            <v>CAST</v>
          </cell>
          <cell r="B1659" t="str">
            <v>CASTLE COSMETIC,SINTANG</v>
          </cell>
          <cell r="C1659">
            <v>4977817.0909090908</v>
          </cell>
        </row>
        <row r="1660">
          <cell r="A1660" t="str">
            <v>CB</v>
          </cell>
          <cell r="B1660" t="str">
            <v>CITRA BERINGIN MANDIRI,CV</v>
          </cell>
          <cell r="C1660">
            <v>1201147.6363636362</v>
          </cell>
        </row>
        <row r="1661">
          <cell r="A1661" t="str">
            <v>CERE</v>
          </cell>
          <cell r="B1661" t="str">
            <v>CEREA TOKO</v>
          </cell>
          <cell r="C1661">
            <v>3731337.2727272725</v>
          </cell>
        </row>
        <row r="1662">
          <cell r="A1662" t="str">
            <v>CH.MT</v>
          </cell>
          <cell r="B1662" t="str">
            <v>CAHAYA MITRA ,TOKO</v>
          </cell>
          <cell r="C1662">
            <v>2232057.8636363642</v>
          </cell>
        </row>
        <row r="1663">
          <cell r="A1663" t="str">
            <v>CHLS</v>
          </cell>
          <cell r="B1663" t="str">
            <v>CHELSIE TKO</v>
          </cell>
          <cell r="C1663">
            <v>15372259.363636369</v>
          </cell>
        </row>
        <row r="1664">
          <cell r="A1664" t="str">
            <v>CITRAKB</v>
          </cell>
          <cell r="B1664" t="str">
            <v>CITRA NIAGA, KOBAR SM</v>
          </cell>
          <cell r="C1664">
            <v>2039480.1818181821</v>
          </cell>
        </row>
        <row r="1665">
          <cell r="A1665" t="str">
            <v>CK</v>
          </cell>
          <cell r="B1665" t="str">
            <v>CITRA KITA ,TK</v>
          </cell>
          <cell r="C1665">
            <v>810554.4545454547</v>
          </cell>
        </row>
        <row r="1666">
          <cell r="A1666" t="str">
            <v>CM</v>
          </cell>
          <cell r="B1666" t="str">
            <v>CITRA MANDIRI CV,DELTA PAWAN</v>
          </cell>
          <cell r="C1666">
            <v>2243427.2727272725</v>
          </cell>
        </row>
        <row r="1667">
          <cell r="A1667" t="str">
            <v>CMEKS</v>
          </cell>
          <cell r="B1667" t="str">
            <v>CITRA MART EXPRESS RETAILINDO,PT</v>
          </cell>
          <cell r="C1667">
            <v>238397.72727272726</v>
          </cell>
        </row>
        <row r="1668">
          <cell r="A1668" t="str">
            <v>CNIM</v>
          </cell>
          <cell r="B1668" t="str">
            <v>CITRA NIAGA, IMBON SM</v>
          </cell>
          <cell r="C1668">
            <v>1020191.9999999998</v>
          </cell>
        </row>
        <row r="1669">
          <cell r="A1669" t="str">
            <v>CST0000022</v>
          </cell>
          <cell r="B1669" t="str">
            <v>WILDA KOSMETIK</v>
          </cell>
          <cell r="C1669">
            <v>185421.18181818177</v>
          </cell>
        </row>
        <row r="1670">
          <cell r="A1670" t="str">
            <v>CST0000027</v>
          </cell>
          <cell r="B1670" t="str">
            <v>MB YUS</v>
          </cell>
          <cell r="C1670">
            <v>214734.54545454547</v>
          </cell>
        </row>
        <row r="1671">
          <cell r="A1671" t="str">
            <v>CST0000061</v>
          </cell>
          <cell r="B1671" t="str">
            <v>BILLA PANJANG</v>
          </cell>
          <cell r="C1671">
            <v>317863.63636363635</v>
          </cell>
        </row>
        <row r="1672">
          <cell r="A1672" t="str">
            <v>CST0000096</v>
          </cell>
          <cell r="B1672" t="str">
            <v>AAN</v>
          </cell>
          <cell r="C1672">
            <v>4821601.090909089</v>
          </cell>
        </row>
        <row r="1673">
          <cell r="A1673" t="str">
            <v>CST0000162</v>
          </cell>
          <cell r="B1673" t="str">
            <v>NUFUS</v>
          </cell>
          <cell r="C1673">
            <v>2681126.6818181816</v>
          </cell>
        </row>
        <row r="1674">
          <cell r="A1674" t="str">
            <v>CST0000189</v>
          </cell>
          <cell r="B1674" t="str">
            <v>APT. ROWOREJO</v>
          </cell>
          <cell r="C1674">
            <v>119400</v>
          </cell>
        </row>
        <row r="1675">
          <cell r="A1675" t="str">
            <v>CST0000196</v>
          </cell>
          <cell r="B1675" t="str">
            <v>MS</v>
          </cell>
          <cell r="C1675">
            <v>239154</v>
          </cell>
        </row>
        <row r="1676">
          <cell r="A1676" t="str">
            <v>CST0000199</v>
          </cell>
          <cell r="B1676" t="str">
            <v>SAP</v>
          </cell>
          <cell r="C1676">
            <v>3542794.6363636367</v>
          </cell>
        </row>
        <row r="1677">
          <cell r="A1677" t="str">
            <v>CST0000201</v>
          </cell>
          <cell r="B1677" t="str">
            <v>MILA TOKO</v>
          </cell>
          <cell r="C1677">
            <v>635727.27272727259</v>
          </cell>
        </row>
        <row r="1678">
          <cell r="A1678" t="str">
            <v>CST0000206</v>
          </cell>
          <cell r="B1678" t="str">
            <v>BALI PERDANA</v>
          </cell>
          <cell r="C1678">
            <v>783412.36363636353</v>
          </cell>
        </row>
        <row r="1679">
          <cell r="A1679" t="str">
            <v>CST0000229</v>
          </cell>
          <cell r="B1679" t="str">
            <v>MASINAY KOSMETIK</v>
          </cell>
          <cell r="C1679">
            <v>1334468.3181818181</v>
          </cell>
        </row>
        <row r="1680">
          <cell r="A1680" t="str">
            <v>CST0000259</v>
          </cell>
          <cell r="B1680" t="str">
            <v>CV. CHANDRA PERDANA ABADI</v>
          </cell>
          <cell r="C1680">
            <v>6981545.4545454541</v>
          </cell>
        </row>
        <row r="1681">
          <cell r="A1681" t="str">
            <v>CST0000260</v>
          </cell>
          <cell r="B1681" t="str">
            <v>PT. SEKAWAN CHANDRA ABADI</v>
          </cell>
          <cell r="C1681">
            <v>1430388.5454545454</v>
          </cell>
        </row>
        <row r="1682">
          <cell r="A1682" t="str">
            <v>CST0000277</v>
          </cell>
          <cell r="B1682" t="str">
            <v>FADLI TOKO</v>
          </cell>
          <cell r="C1682">
            <v>117265.90909090909</v>
          </cell>
        </row>
        <row r="1683">
          <cell r="A1683" t="str">
            <v>CST0000288</v>
          </cell>
          <cell r="B1683" t="str">
            <v>HARIS TOKO</v>
          </cell>
          <cell r="C1683">
            <v>248031.81818181818</v>
          </cell>
        </row>
        <row r="1684">
          <cell r="A1684" t="str">
            <v>CST0000293</v>
          </cell>
          <cell r="B1684" t="str">
            <v>LAMPUNG JAYA TOKO</v>
          </cell>
          <cell r="C1684">
            <v>202827.27272727274</v>
          </cell>
        </row>
        <row r="1685">
          <cell r="A1685" t="str">
            <v>CST0000294</v>
          </cell>
          <cell r="B1685" t="str">
            <v>EDI TOKO</v>
          </cell>
          <cell r="C1685">
            <v>565059.09090909082</v>
          </cell>
        </row>
        <row r="1686">
          <cell r="A1686" t="str">
            <v>CST0000297</v>
          </cell>
          <cell r="B1686" t="str">
            <v>MITRA ABADI</v>
          </cell>
          <cell r="C1686">
            <v>3449577.2727272734</v>
          </cell>
        </row>
        <row r="1687">
          <cell r="A1687" t="str">
            <v>CST0000298</v>
          </cell>
          <cell r="B1687" t="str">
            <v>SARI WARAS</v>
          </cell>
          <cell r="C1687">
            <v>151200</v>
          </cell>
        </row>
        <row r="1688">
          <cell r="A1688" t="str">
            <v>CST0000352</v>
          </cell>
          <cell r="B1688" t="str">
            <v>MM NANA</v>
          </cell>
          <cell r="C1688">
            <v>690054.54545454541</v>
          </cell>
        </row>
        <row r="1689">
          <cell r="A1689" t="str">
            <v>CST0000369</v>
          </cell>
          <cell r="B1689" t="str">
            <v>BILAL</v>
          </cell>
          <cell r="C1689">
            <v>313754.54545454547</v>
          </cell>
        </row>
        <row r="1690">
          <cell r="A1690" t="str">
            <v>CST0000386</v>
          </cell>
          <cell r="B1690" t="str">
            <v>ANDINI</v>
          </cell>
          <cell r="C1690">
            <v>189955.09090909091</v>
          </cell>
        </row>
        <row r="1691">
          <cell r="A1691" t="str">
            <v>CST0000406</v>
          </cell>
          <cell r="B1691" t="str">
            <v>SAYLENDRA</v>
          </cell>
          <cell r="C1691">
            <v>726736.59090909082</v>
          </cell>
        </row>
        <row r="1692">
          <cell r="A1692" t="str">
            <v>CST0000419</v>
          </cell>
          <cell r="B1692" t="str">
            <v>TOKO SRIKANDI</v>
          </cell>
          <cell r="C1692">
            <v>2516623.6363636362</v>
          </cell>
        </row>
        <row r="1693">
          <cell r="A1693" t="str">
            <v>CST0000508</v>
          </cell>
          <cell r="B1693" t="str">
            <v>APT. AA GELORA</v>
          </cell>
          <cell r="C1693">
            <v>18542.045454545456</v>
          </cell>
        </row>
        <row r="1694">
          <cell r="A1694" t="str">
            <v>CST0000574</v>
          </cell>
          <cell r="B1694" t="str">
            <v>TANJUNG TOKO</v>
          </cell>
          <cell r="C1694">
            <v>471108</v>
          </cell>
        </row>
        <row r="1695">
          <cell r="A1695" t="str">
            <v>CST0000605</v>
          </cell>
          <cell r="B1695" t="str">
            <v>AMBAR</v>
          </cell>
          <cell r="C1695">
            <v>21000</v>
          </cell>
        </row>
        <row r="1696">
          <cell r="A1696" t="str">
            <v>CST0000628</v>
          </cell>
          <cell r="B1696" t="str">
            <v>AGUNG BAKAU</v>
          </cell>
          <cell r="C1696">
            <v>1920888.0909090915</v>
          </cell>
        </row>
        <row r="1697">
          <cell r="A1697" t="str">
            <v>CST0000664</v>
          </cell>
          <cell r="B1697" t="str">
            <v>SS JAYA</v>
          </cell>
          <cell r="C1697">
            <v>692791.36363636365</v>
          </cell>
        </row>
        <row r="1698">
          <cell r="A1698" t="str">
            <v>CST0000708</v>
          </cell>
          <cell r="B1698" t="str">
            <v xml:space="preserve">FANTASI COSMETIK </v>
          </cell>
          <cell r="C1698">
            <v>300709.09090909088</v>
          </cell>
        </row>
        <row r="1699">
          <cell r="A1699" t="str">
            <v>CST0000713</v>
          </cell>
          <cell r="B1699" t="str">
            <v>PESONA CANTIK COSMETIC</v>
          </cell>
          <cell r="C1699">
            <v>173865.90909090909</v>
          </cell>
        </row>
        <row r="1700">
          <cell r="A1700" t="str">
            <v>CST0000717</v>
          </cell>
          <cell r="B1700" t="str">
            <v>CV SURYA KENCANA PERSADA</v>
          </cell>
          <cell r="C1700">
            <v>688703.45454545447</v>
          </cell>
        </row>
        <row r="1701">
          <cell r="A1701" t="str">
            <v>CST0000744</v>
          </cell>
          <cell r="B1701" t="str">
            <v>SYIFA CELL</v>
          </cell>
          <cell r="C1701">
            <v>140084.09090909091</v>
          </cell>
        </row>
        <row r="1702">
          <cell r="A1702" t="str">
            <v>CST0000758</v>
          </cell>
          <cell r="B1702" t="str">
            <v>KOSMETIK DEWI</v>
          </cell>
          <cell r="C1702">
            <v>992147.72727272729</v>
          </cell>
        </row>
        <row r="1703">
          <cell r="A1703" t="str">
            <v>CST0000781</v>
          </cell>
          <cell r="B1703" t="str">
            <v>APT NAZARET FARMA</v>
          </cell>
          <cell r="C1703">
            <v>105954.54545454546</v>
          </cell>
        </row>
        <row r="1704">
          <cell r="A1704" t="str">
            <v>CST0000787</v>
          </cell>
          <cell r="B1704" t="str">
            <v>NASYA</v>
          </cell>
          <cell r="C1704">
            <v>870272.36363636376</v>
          </cell>
        </row>
        <row r="1705">
          <cell r="A1705" t="str">
            <v>CST0000816</v>
          </cell>
          <cell r="B1705" t="str">
            <v>SIFA CELL</v>
          </cell>
          <cell r="C1705">
            <v>39430.227272727279</v>
          </cell>
        </row>
        <row r="1706">
          <cell r="A1706" t="str">
            <v>CST0002572</v>
          </cell>
          <cell r="B1706" t="str">
            <v>ALDI MART</v>
          </cell>
          <cell r="C1706">
            <v>8325.0000000000018</v>
          </cell>
        </row>
        <row r="1707">
          <cell r="A1707" t="str">
            <v>CST0002622</v>
          </cell>
          <cell r="B1707" t="str">
            <v>MARKET UNGU 2</v>
          </cell>
          <cell r="C1707">
            <v>37084.090909090912</v>
          </cell>
        </row>
        <row r="1708">
          <cell r="A1708" t="str">
            <v>CST0004240</v>
          </cell>
          <cell r="B1708" t="str">
            <v>ANDI</v>
          </cell>
          <cell r="C1708">
            <v>317863.63636363635</v>
          </cell>
        </row>
        <row r="1709">
          <cell r="A1709" t="str">
            <v>CST0006099</v>
          </cell>
          <cell r="B1709" t="str">
            <v>HARDONO TOKO</v>
          </cell>
          <cell r="C1709">
            <v>605413.63636363624</v>
          </cell>
        </row>
        <row r="1710">
          <cell r="A1710" t="str">
            <v>CST0006152</v>
          </cell>
          <cell r="B1710" t="str">
            <v xml:space="preserve">TOKO SAFWA </v>
          </cell>
          <cell r="C1710">
            <v>6325699.863636367</v>
          </cell>
        </row>
        <row r="1711">
          <cell r="A1711" t="str">
            <v>CST0006189</v>
          </cell>
          <cell r="B1711" t="str">
            <v>PUTRA ABADI TOKO</v>
          </cell>
          <cell r="C1711">
            <v>655149.7063636363</v>
          </cell>
        </row>
        <row r="1712">
          <cell r="A1712" t="str">
            <v>CST0006386</v>
          </cell>
          <cell r="B1712" t="str">
            <v>ANUGRAH JW</v>
          </cell>
          <cell r="C1712">
            <v>1138190.4090909089</v>
          </cell>
        </row>
        <row r="1713">
          <cell r="A1713" t="str">
            <v>CST0006579</v>
          </cell>
          <cell r="B1713" t="str">
            <v>NUR</v>
          </cell>
          <cell r="C1713">
            <v>317863.63636363635</v>
          </cell>
        </row>
        <row r="1714">
          <cell r="A1714" t="str">
            <v>CST0006601</v>
          </cell>
          <cell r="B1714" t="str">
            <v>CITRA COSMETIK</v>
          </cell>
          <cell r="C1714">
            <v>225654</v>
          </cell>
        </row>
        <row r="1715">
          <cell r="A1715" t="str">
            <v>CST0006652</v>
          </cell>
          <cell r="B1715" t="str">
            <v>YOLYN</v>
          </cell>
          <cell r="C1715">
            <v>1289981.7481818183</v>
          </cell>
        </row>
        <row r="1716">
          <cell r="A1716" t="str">
            <v>CST0006698</v>
          </cell>
          <cell r="B1716" t="str">
            <v>ABUN</v>
          </cell>
          <cell r="C1716">
            <v>14817964.363636363</v>
          </cell>
        </row>
        <row r="1717">
          <cell r="A1717" t="str">
            <v>CST0006771</v>
          </cell>
          <cell r="B1717" t="str">
            <v>MAHKOTA</v>
          </cell>
          <cell r="C1717">
            <v>86000</v>
          </cell>
        </row>
        <row r="1718">
          <cell r="A1718" t="str">
            <v>CST0006907</v>
          </cell>
          <cell r="B1718" t="str">
            <v>ARIS TOKO</v>
          </cell>
          <cell r="C1718">
            <v>3623497.3636363642</v>
          </cell>
        </row>
        <row r="1719">
          <cell r="A1719" t="str">
            <v>CST0006909</v>
          </cell>
          <cell r="B1719" t="str">
            <v>ASIFA</v>
          </cell>
          <cell r="C1719">
            <v>404645.45454545447</v>
          </cell>
        </row>
        <row r="1720">
          <cell r="A1720" t="str">
            <v>CST0007026</v>
          </cell>
          <cell r="B1720" t="str">
            <v>RIZKI</v>
          </cell>
          <cell r="C1720">
            <v>317863.63636363635</v>
          </cell>
        </row>
        <row r="1721">
          <cell r="A1721" t="str">
            <v>CST0007053</v>
          </cell>
          <cell r="B1721" t="str">
            <v>MITRA FARMA</v>
          </cell>
          <cell r="C1721">
            <v>788879.63636363635</v>
          </cell>
        </row>
        <row r="1722">
          <cell r="A1722" t="str">
            <v>CST0007102</v>
          </cell>
          <cell r="B1722" t="str">
            <v>JOHAN TOKO</v>
          </cell>
          <cell r="C1722">
            <v>808285.63636363624</v>
          </cell>
        </row>
        <row r="1723">
          <cell r="A1723" t="str">
            <v>CST0007119</v>
          </cell>
          <cell r="B1723" t="str">
            <v>AMPERA</v>
          </cell>
          <cell r="C1723">
            <v>708177.27272727271</v>
          </cell>
        </row>
        <row r="1724">
          <cell r="A1724" t="str">
            <v>CST0007134</v>
          </cell>
          <cell r="B1724" t="str">
            <v>TOKO EMRY 2</v>
          </cell>
          <cell r="C1724">
            <v>363318.13636363629</v>
          </cell>
        </row>
        <row r="1725">
          <cell r="A1725" t="str">
            <v>CST0007192</v>
          </cell>
          <cell r="B1725" t="str">
            <v>GEO FARMA</v>
          </cell>
          <cell r="C1725">
            <v>337968.63636363641</v>
          </cell>
        </row>
        <row r="1726">
          <cell r="A1726" t="str">
            <v>CST0007254</v>
          </cell>
          <cell r="B1726" t="str">
            <v>KOSMETIK CITRA</v>
          </cell>
          <cell r="C1726">
            <v>384463.63636363629</v>
          </cell>
        </row>
        <row r="1727">
          <cell r="A1727" t="str">
            <v>CST0007292</v>
          </cell>
          <cell r="B1727" t="str">
            <v>TOKO VEGA</v>
          </cell>
          <cell r="C1727">
            <v>554400</v>
          </cell>
        </row>
        <row r="1728">
          <cell r="A1728" t="str">
            <v>CST0007302</v>
          </cell>
          <cell r="B1728" t="str">
            <v>MIRA</v>
          </cell>
          <cell r="C1728">
            <v>255462.09090909094</v>
          </cell>
        </row>
        <row r="1729">
          <cell r="A1729" t="str">
            <v>CST0007327</v>
          </cell>
          <cell r="B1729" t="str">
            <v>PT. SEKAWAN CHANDRA ABADI</v>
          </cell>
          <cell r="C1729">
            <v>16565293.909090916</v>
          </cell>
        </row>
        <row r="1730">
          <cell r="A1730" t="str">
            <v>CST0007329</v>
          </cell>
          <cell r="B1730" t="str">
            <v>PT. SEKAWAN CHANDRA ABADI</v>
          </cell>
          <cell r="C1730">
            <v>6357272.7272727266</v>
          </cell>
        </row>
        <row r="1731">
          <cell r="A1731" t="str">
            <v>CST0007338</v>
          </cell>
          <cell r="B1731" t="str">
            <v>PT. SEKAWAN CHANDRA ABADI</v>
          </cell>
          <cell r="C1731">
            <v>686795.45454545459</v>
          </cell>
        </row>
        <row r="1732">
          <cell r="A1732" t="str">
            <v>CST0007339</v>
          </cell>
          <cell r="B1732" t="str">
            <v>IWAN PARFUME</v>
          </cell>
          <cell r="C1732">
            <v>1008843.5454545454</v>
          </cell>
        </row>
        <row r="1733">
          <cell r="A1733" t="str">
            <v>CST0007420</v>
          </cell>
          <cell r="B1733" t="str">
            <v>INDAH</v>
          </cell>
          <cell r="C1733">
            <v>27245.454545454548</v>
          </cell>
        </row>
        <row r="1734">
          <cell r="A1734" t="str">
            <v>CST0007693</v>
          </cell>
          <cell r="B1734" t="str">
            <v>TOKO GM</v>
          </cell>
          <cell r="C1734">
            <v>343954.54545454547</v>
          </cell>
        </row>
        <row r="1735">
          <cell r="A1735" t="str">
            <v>CST0008952</v>
          </cell>
          <cell r="B1735" t="str">
            <v>KARTINI</v>
          </cell>
          <cell r="C1735">
            <v>72654.545454545456</v>
          </cell>
        </row>
        <row r="1736">
          <cell r="A1736" t="str">
            <v>CST0009152</v>
          </cell>
          <cell r="B1736" t="str">
            <v>TOKO RAGIL</v>
          </cell>
          <cell r="C1736">
            <v>471646.36363636365</v>
          </cell>
        </row>
        <row r="1737">
          <cell r="A1737" t="str">
            <v>CST0009189</v>
          </cell>
          <cell r="B1737" t="str">
            <v>TOKO IIT</v>
          </cell>
          <cell r="C1737">
            <v>980204.31818181812</v>
          </cell>
        </row>
        <row r="1738">
          <cell r="A1738" t="str">
            <v>CST0009229</v>
          </cell>
          <cell r="B1738" t="str">
            <v>BUYUNG</v>
          </cell>
          <cell r="C1738">
            <v>948913.68181818188</v>
          </cell>
        </row>
        <row r="1739">
          <cell r="A1739" t="str">
            <v>CST0009230</v>
          </cell>
          <cell r="B1739" t="str">
            <v>FITRI KOTA</v>
          </cell>
          <cell r="C1739">
            <v>834124.09090909094</v>
          </cell>
        </row>
        <row r="1740">
          <cell r="A1740" t="str">
            <v>CST0009285</v>
          </cell>
          <cell r="B1740" t="str">
            <v>APT RAJA WIJAYA</v>
          </cell>
          <cell r="C1740">
            <v>38143.636363636368</v>
          </cell>
        </row>
        <row r="1741">
          <cell r="A1741" t="str">
            <v>CST0009296</v>
          </cell>
          <cell r="B1741" t="str">
            <v>RIA</v>
          </cell>
          <cell r="C1741">
            <v>690216</v>
          </cell>
        </row>
        <row r="1742">
          <cell r="A1742" t="str">
            <v>CST0009384</v>
          </cell>
          <cell r="B1742" t="str">
            <v>WAYAN</v>
          </cell>
          <cell r="C1742">
            <v>374563.63636363635</v>
          </cell>
        </row>
        <row r="1743">
          <cell r="A1743" t="str">
            <v>CST0009431</v>
          </cell>
          <cell r="B1743" t="str">
            <v>BU YANI</v>
          </cell>
          <cell r="C1743">
            <v>18315</v>
          </cell>
        </row>
        <row r="1744">
          <cell r="A1744" t="str">
            <v>CST0009722</v>
          </cell>
          <cell r="B1744" t="str">
            <v>SANTI BUDI</v>
          </cell>
          <cell r="C1744">
            <v>443863.63636363635</v>
          </cell>
        </row>
        <row r="1745">
          <cell r="A1745" t="str">
            <v>CST0009724</v>
          </cell>
          <cell r="B1745" t="str">
            <v>ALIF PW</v>
          </cell>
          <cell r="C1745">
            <v>317863.63636363635</v>
          </cell>
        </row>
        <row r="1746">
          <cell r="A1746" t="str">
            <v>CST0009877</v>
          </cell>
          <cell r="B1746" t="str">
            <v>SANUR</v>
          </cell>
          <cell r="C1746">
            <v>333979.09090909094</v>
          </cell>
        </row>
        <row r="1747">
          <cell r="A1747" t="str">
            <v>CST0010006</v>
          </cell>
          <cell r="B1747" t="str">
            <v>LAURA</v>
          </cell>
          <cell r="C1747">
            <v>634782.09090909094</v>
          </cell>
        </row>
        <row r="1748">
          <cell r="A1748" t="str">
            <v>CST0010012</v>
          </cell>
          <cell r="B1748" t="str">
            <v>MITA</v>
          </cell>
          <cell r="C1748">
            <v>317863.63636363635</v>
          </cell>
        </row>
        <row r="1749">
          <cell r="A1749" t="str">
            <v>CST0010057</v>
          </cell>
          <cell r="B1749" t="str">
            <v>ALEN SISKA</v>
          </cell>
          <cell r="C1749">
            <v>641167.63636363624</v>
          </cell>
        </row>
        <row r="1750">
          <cell r="A1750" t="str">
            <v>CST0010086</v>
          </cell>
          <cell r="B1750" t="str">
            <v>TAQWA MULIA</v>
          </cell>
          <cell r="C1750">
            <v>1787106.9545454546</v>
          </cell>
        </row>
        <row r="1751">
          <cell r="A1751" t="str">
            <v>CST0010237</v>
          </cell>
          <cell r="B1751" t="str">
            <v>SOLIHIN</v>
          </cell>
          <cell r="C1751">
            <v>295043.18181818182</v>
          </cell>
        </row>
        <row r="1752">
          <cell r="A1752" t="str">
            <v>CST0010256</v>
          </cell>
          <cell r="B1752" t="str">
            <v>SUPRIHATIN</v>
          </cell>
          <cell r="C1752">
            <v>5884237.4545454551</v>
          </cell>
        </row>
        <row r="1753">
          <cell r="A1753" t="str">
            <v>CST0010575</v>
          </cell>
          <cell r="B1753" t="str">
            <v>VERI</v>
          </cell>
          <cell r="C1753">
            <v>167400</v>
          </cell>
        </row>
        <row r="1754">
          <cell r="A1754" t="str">
            <v>CST0010600</v>
          </cell>
          <cell r="B1754" t="str">
            <v>M.U</v>
          </cell>
          <cell r="C1754">
            <v>160188.63636363635</v>
          </cell>
        </row>
        <row r="1755">
          <cell r="A1755" t="str">
            <v>CST0010620</v>
          </cell>
          <cell r="B1755" t="str">
            <v>MIMIN</v>
          </cell>
          <cell r="C1755">
            <v>1520180.1818181816</v>
          </cell>
        </row>
        <row r="1756">
          <cell r="A1756" t="str">
            <v>CST0010627</v>
          </cell>
          <cell r="B1756" t="str">
            <v>TOKO CELLO</v>
          </cell>
          <cell r="C1756">
            <v>380863.63636363635</v>
          </cell>
        </row>
        <row r="1757">
          <cell r="A1757" t="str">
            <v>CST0010668</v>
          </cell>
          <cell r="B1757" t="str">
            <v>PB PUNGGUR</v>
          </cell>
          <cell r="C1757">
            <v>4261953.954545456</v>
          </cell>
        </row>
        <row r="1758">
          <cell r="A1758" t="str">
            <v>CST0010679</v>
          </cell>
          <cell r="B1758" t="str">
            <v>MULTI MART 41</v>
          </cell>
          <cell r="C1758">
            <v>899533.68181818188</v>
          </cell>
        </row>
        <row r="1759">
          <cell r="A1759" t="str">
            <v>CST0010680</v>
          </cell>
          <cell r="B1759" t="str">
            <v>PUTRA BARU ( SWALAYAN )</v>
          </cell>
          <cell r="C1759">
            <v>17979177.81818182</v>
          </cell>
        </row>
        <row r="1760">
          <cell r="A1760" t="str">
            <v>CST0010683</v>
          </cell>
          <cell r="B1760" t="str">
            <v>PB 21 PUSAT KADO</v>
          </cell>
          <cell r="C1760">
            <v>15360157.272727272</v>
          </cell>
        </row>
        <row r="1761">
          <cell r="A1761" t="str">
            <v>CST0010685</v>
          </cell>
          <cell r="B1761" t="str">
            <v>ALI TOKO BARU</v>
          </cell>
          <cell r="C1761">
            <v>572031.36363636365</v>
          </cell>
        </row>
        <row r="1762">
          <cell r="A1762" t="str">
            <v>CST0010687</v>
          </cell>
          <cell r="B1762" t="str">
            <v>SODIK</v>
          </cell>
          <cell r="C1762">
            <v>628663.63636363635</v>
          </cell>
        </row>
        <row r="1763">
          <cell r="A1763" t="str">
            <v>CST0010688</v>
          </cell>
          <cell r="B1763" t="str">
            <v>APT RANDU FARMA</v>
          </cell>
          <cell r="C1763">
            <v>782707.81818181812</v>
          </cell>
        </row>
        <row r="1764">
          <cell r="A1764" t="str">
            <v>CST0010702</v>
          </cell>
          <cell r="B1764" t="str">
            <v>ULFI TOKO</v>
          </cell>
          <cell r="C1764">
            <v>47139906.818181813</v>
          </cell>
        </row>
        <row r="1765">
          <cell r="A1765" t="str">
            <v>CST0010706</v>
          </cell>
          <cell r="B1765" t="str">
            <v>AWI</v>
          </cell>
          <cell r="C1765">
            <v>529775.63636363624</v>
          </cell>
        </row>
        <row r="1766">
          <cell r="A1766" t="str">
            <v>CST0010713</v>
          </cell>
          <cell r="B1766" t="str">
            <v>AGUS TOKO SEPUTIH</v>
          </cell>
          <cell r="C1766">
            <v>582750</v>
          </cell>
        </row>
        <row r="1767">
          <cell r="A1767" t="str">
            <v>CST0010745</v>
          </cell>
          <cell r="B1767" t="str">
            <v>AZAHRA KALI</v>
          </cell>
          <cell r="C1767">
            <v>354000</v>
          </cell>
        </row>
        <row r="1768">
          <cell r="A1768" t="str">
            <v>CST0010891</v>
          </cell>
          <cell r="B1768" t="str">
            <v>LELI TOKO</v>
          </cell>
          <cell r="C1768">
            <v>2241025.9090909092</v>
          </cell>
        </row>
        <row r="1769">
          <cell r="A1769" t="str">
            <v>CST0010922</v>
          </cell>
          <cell r="B1769" t="str">
            <v>MORO SENENG</v>
          </cell>
          <cell r="C1769">
            <v>211909.09090909091</v>
          </cell>
        </row>
        <row r="1770">
          <cell r="A1770" t="str">
            <v>CST0010938</v>
          </cell>
          <cell r="B1770" t="str">
            <v>SINAR MULIA</v>
          </cell>
          <cell r="C1770">
            <v>29511113.999999996</v>
          </cell>
        </row>
        <row r="1771">
          <cell r="A1771" t="str">
            <v>CST0010953</v>
          </cell>
          <cell r="B1771" t="str">
            <v>SUN TOKO</v>
          </cell>
          <cell r="C1771">
            <v>222000.00000000006</v>
          </cell>
        </row>
        <row r="1772">
          <cell r="A1772" t="str">
            <v>CST0010954</v>
          </cell>
          <cell r="B1772" t="str">
            <v>AVI SENA</v>
          </cell>
          <cell r="C1772">
            <v>246305.45454545453</v>
          </cell>
        </row>
        <row r="1773">
          <cell r="A1773" t="str">
            <v>CST0011010</v>
          </cell>
          <cell r="B1773" t="str">
            <v>TOPIK</v>
          </cell>
          <cell r="C1773">
            <v>-26488.636363636364</v>
          </cell>
        </row>
        <row r="1774">
          <cell r="A1774" t="str">
            <v>CST0011087</v>
          </cell>
          <cell r="B1774" t="str">
            <v>SAROH</v>
          </cell>
          <cell r="C1774">
            <v>373354</v>
          </cell>
        </row>
        <row r="1775">
          <cell r="A1775" t="str">
            <v>CST0011254</v>
          </cell>
          <cell r="B1775" t="str">
            <v>HSN / SOLEH</v>
          </cell>
          <cell r="C1775">
            <v>2785859.4545454541</v>
          </cell>
        </row>
        <row r="1776">
          <cell r="A1776" t="str">
            <v>CST0011271</v>
          </cell>
          <cell r="B1776" t="str">
            <v>FITRI BK</v>
          </cell>
          <cell r="C1776">
            <v>38143.636363636368</v>
          </cell>
        </row>
        <row r="1777">
          <cell r="A1777" t="str">
            <v>CST0011396</v>
          </cell>
          <cell r="B1777" t="str">
            <v>CV. FEMINA LAMPUNG</v>
          </cell>
          <cell r="C1777">
            <v>74437006.363636374</v>
          </cell>
        </row>
        <row r="1778">
          <cell r="A1778" t="str">
            <v>CST0011420</v>
          </cell>
          <cell r="B1778" t="str">
            <v>TONO</v>
          </cell>
          <cell r="C1778">
            <v>883993.90909090906</v>
          </cell>
        </row>
        <row r="1779">
          <cell r="A1779" t="str">
            <v>CST0011428</v>
          </cell>
          <cell r="B1779" t="str">
            <v>SANTO</v>
          </cell>
          <cell r="C1779">
            <v>761657.54545454553</v>
          </cell>
        </row>
        <row r="1780">
          <cell r="A1780" t="str">
            <v>CST0011452</v>
          </cell>
          <cell r="B1780" t="str">
            <v>TOKO MUNASRI</v>
          </cell>
          <cell r="C1780">
            <v>556262.09090909082</v>
          </cell>
        </row>
        <row r="1781">
          <cell r="A1781" t="str">
            <v>CST0011529</v>
          </cell>
          <cell r="B1781" t="str">
            <v>TOKO MAURA</v>
          </cell>
          <cell r="C1781">
            <v>839057.99999999988</v>
          </cell>
        </row>
        <row r="1782">
          <cell r="A1782" t="str">
            <v>CST0011561</v>
          </cell>
          <cell r="B1782" t="str">
            <v>KARYA TANI</v>
          </cell>
          <cell r="C1782">
            <v>751358.31818181823</v>
          </cell>
        </row>
        <row r="1783">
          <cell r="A1783" t="str">
            <v>CST0011572</v>
          </cell>
          <cell r="B1783" t="str">
            <v>SINAR BARU</v>
          </cell>
          <cell r="C1783">
            <v>591843.75</v>
          </cell>
        </row>
        <row r="1784">
          <cell r="A1784" t="str">
            <v>CST0011589</v>
          </cell>
          <cell r="B1784" t="str">
            <v>MBC CANTER</v>
          </cell>
          <cell r="C1784">
            <v>514063.09090909088</v>
          </cell>
        </row>
        <row r="1785">
          <cell r="A1785" t="str">
            <v>CST0011592</v>
          </cell>
          <cell r="B1785" t="str">
            <v>EDO TOKO</v>
          </cell>
          <cell r="C1785">
            <v>21919573.090909094</v>
          </cell>
        </row>
        <row r="1786">
          <cell r="A1786" t="str">
            <v>CST0011626</v>
          </cell>
          <cell r="B1786" t="str">
            <v>MENARA METRO</v>
          </cell>
          <cell r="C1786">
            <v>195500</v>
          </cell>
        </row>
        <row r="1787">
          <cell r="A1787" t="str">
            <v>CST0011654</v>
          </cell>
          <cell r="B1787" t="str">
            <v>MU TOKO SEPUTIH</v>
          </cell>
          <cell r="C1787">
            <v>132443.18181818182</v>
          </cell>
        </row>
        <row r="1788">
          <cell r="A1788" t="str">
            <v>CST0011679</v>
          </cell>
          <cell r="B1788" t="str">
            <v>MAULANA</v>
          </cell>
          <cell r="C1788">
            <v>1029034.7727272726</v>
          </cell>
        </row>
        <row r="1789">
          <cell r="A1789" t="str">
            <v>CST0011801</v>
          </cell>
          <cell r="B1789" t="str">
            <v>SUM TOKO</v>
          </cell>
          <cell r="C1789">
            <v>354000</v>
          </cell>
        </row>
        <row r="1790">
          <cell r="A1790" t="str">
            <v>CST0011839</v>
          </cell>
          <cell r="B1790" t="str">
            <v>SITI AGIL</v>
          </cell>
          <cell r="C1790">
            <v>126000</v>
          </cell>
        </row>
        <row r="1791">
          <cell r="A1791" t="str">
            <v>CST0011849</v>
          </cell>
          <cell r="B1791" t="str">
            <v>INDO M</v>
          </cell>
          <cell r="C1791">
            <v>386284.22727272718</v>
          </cell>
        </row>
        <row r="1792">
          <cell r="A1792" t="str">
            <v>CST0011864</v>
          </cell>
          <cell r="B1792" t="str">
            <v>CALISTA</v>
          </cell>
          <cell r="C1792">
            <v>25000</v>
          </cell>
        </row>
        <row r="1793">
          <cell r="A1793" t="str">
            <v>CST0011875</v>
          </cell>
          <cell r="B1793" t="str">
            <v>YASMIN</v>
          </cell>
          <cell r="C1793">
            <v>31316012.045454547</v>
          </cell>
        </row>
        <row r="1794">
          <cell r="A1794" t="str">
            <v>CST0011878</v>
          </cell>
          <cell r="B1794" t="str">
            <v>NUNUNG</v>
          </cell>
          <cell r="C1794">
            <v>1201917.6363636365</v>
          </cell>
        </row>
        <row r="1795">
          <cell r="A1795" t="str">
            <v>CST0012067</v>
          </cell>
          <cell r="B1795" t="str">
            <v>DARA PS</v>
          </cell>
          <cell r="C1795">
            <v>1188322.2727272725</v>
          </cell>
        </row>
        <row r="1796">
          <cell r="A1796" t="str">
            <v>CST0012081</v>
          </cell>
          <cell r="B1796" t="str">
            <v>SAHABAT</v>
          </cell>
          <cell r="C1796">
            <v>384463.63636363635</v>
          </cell>
        </row>
        <row r="1797">
          <cell r="A1797" t="str">
            <v>CST0012278</v>
          </cell>
          <cell r="B1797" t="str">
            <v>IKIN</v>
          </cell>
          <cell r="C1797">
            <v>308931.81818181818</v>
          </cell>
        </row>
        <row r="1798">
          <cell r="A1798" t="str">
            <v>CST0012330</v>
          </cell>
          <cell r="B1798" t="str">
            <v>RA. SUPERMARKET &amp; DEPT. STORE</v>
          </cell>
          <cell r="C1798">
            <v>686800</v>
          </cell>
        </row>
        <row r="1799">
          <cell r="A1799" t="str">
            <v>CST0012572</v>
          </cell>
          <cell r="B1799" t="str">
            <v>PT. SEKAWAN CHANDRA PERSADA</v>
          </cell>
          <cell r="C1799">
            <v>3151390.9090909082</v>
          </cell>
        </row>
        <row r="1800">
          <cell r="A1800" t="str">
            <v>CST0012596</v>
          </cell>
          <cell r="B1800" t="str">
            <v>SITI ARIAH</v>
          </cell>
          <cell r="C1800">
            <v>455099.63636363635</v>
          </cell>
        </row>
        <row r="1801">
          <cell r="A1801" t="str">
            <v>CST0012656</v>
          </cell>
          <cell r="B1801" t="str">
            <v>MAS ALI</v>
          </cell>
          <cell r="C1801">
            <v>884775</v>
          </cell>
        </row>
        <row r="1802">
          <cell r="A1802" t="str">
            <v>CST0012674</v>
          </cell>
          <cell r="B1802" t="str">
            <v>MERTASARI 2</v>
          </cell>
          <cell r="C1802">
            <v>635727.27272727259</v>
          </cell>
        </row>
        <row r="1803">
          <cell r="A1803" t="str">
            <v>CST0012695</v>
          </cell>
          <cell r="B1803" t="str">
            <v>TOKO ZUKNI</v>
          </cell>
          <cell r="C1803">
            <v>8325.0000000000018</v>
          </cell>
        </row>
        <row r="1804">
          <cell r="A1804" t="str">
            <v>CST0012697</v>
          </cell>
          <cell r="B1804" t="str">
            <v>TOKO HENDRA</v>
          </cell>
          <cell r="C1804">
            <v>406663.63636363635</v>
          </cell>
        </row>
        <row r="1805">
          <cell r="A1805" t="str">
            <v>CST0012802</v>
          </cell>
          <cell r="B1805" t="str">
            <v>TOKO RATU</v>
          </cell>
          <cell r="C1805">
            <v>584263.63636363635</v>
          </cell>
        </row>
        <row r="1806">
          <cell r="A1806" t="str">
            <v>CST0012872</v>
          </cell>
          <cell r="B1806" t="str">
            <v>TOKO RAFI</v>
          </cell>
          <cell r="C1806">
            <v>35318</v>
          </cell>
        </row>
        <row r="1807">
          <cell r="A1807" t="str">
            <v>CST0012889</v>
          </cell>
          <cell r="B1807" t="str">
            <v>SHANTY</v>
          </cell>
          <cell r="C1807">
            <v>63000</v>
          </cell>
        </row>
        <row r="1808">
          <cell r="A1808" t="str">
            <v>CST0013673</v>
          </cell>
          <cell r="B1808" t="str">
            <v>CERIA</v>
          </cell>
          <cell r="C1808">
            <v>11229297.727272728</v>
          </cell>
        </row>
        <row r="1809">
          <cell r="A1809" t="str">
            <v>CST0013686</v>
          </cell>
          <cell r="B1809" t="str">
            <v>PUTRA BARU/PONCOWATI</v>
          </cell>
          <cell r="C1809">
            <v>16877246.18181818</v>
          </cell>
        </row>
        <row r="1810">
          <cell r="A1810" t="str">
            <v>CST0013692</v>
          </cell>
          <cell r="B1810" t="str">
            <v>PUTRA BARU/PROKLAMATOR</v>
          </cell>
          <cell r="C1810">
            <v>32197536.590909101</v>
          </cell>
        </row>
        <row r="1811">
          <cell r="A1811" t="str">
            <v>CST0013699</v>
          </cell>
          <cell r="B1811" t="str">
            <v>PUTRA BARU / BANDAR JAYA</v>
          </cell>
          <cell r="C1811">
            <v>7757210.8636363652</v>
          </cell>
        </row>
        <row r="1812">
          <cell r="A1812" t="str">
            <v>CST0013720</v>
          </cell>
          <cell r="B1812" t="str">
            <v>AMINAH</v>
          </cell>
          <cell r="C1812">
            <v>858415.36363636353</v>
          </cell>
        </row>
        <row r="1813">
          <cell r="A1813" t="str">
            <v>CST0013728</v>
          </cell>
          <cell r="B1813" t="str">
            <v>MULUD</v>
          </cell>
          <cell r="C1813">
            <v>98083.636363636382</v>
          </cell>
        </row>
        <row r="1814">
          <cell r="A1814" t="str">
            <v>CST0013736</v>
          </cell>
          <cell r="B1814" t="str">
            <v>AMIN</v>
          </cell>
          <cell r="C1814">
            <v>238401</v>
          </cell>
        </row>
        <row r="1815">
          <cell r="A1815" t="str">
            <v>CST0013738</v>
          </cell>
          <cell r="B1815" t="str">
            <v>IBU NYOMAN</v>
          </cell>
          <cell r="C1815">
            <v>238677.27272727271</v>
          </cell>
        </row>
        <row r="1816">
          <cell r="A1816" t="str">
            <v>CST0013751</v>
          </cell>
          <cell r="B1816" t="str">
            <v>CAHAYA COSMETIK</v>
          </cell>
          <cell r="C1816">
            <v>10242829.636363631</v>
          </cell>
        </row>
        <row r="1817">
          <cell r="A1817" t="str">
            <v>CST0013764</v>
          </cell>
          <cell r="B1817" t="str">
            <v>MARGA</v>
          </cell>
          <cell r="C1817">
            <v>578399.63636363635</v>
          </cell>
        </row>
        <row r="1818">
          <cell r="A1818" t="str">
            <v>CST0013788</v>
          </cell>
          <cell r="B1818" t="str">
            <v>BERKAH ABADI</v>
          </cell>
          <cell r="C1818">
            <v>3521954.0909090922</v>
          </cell>
        </row>
        <row r="1819">
          <cell r="A1819" t="str">
            <v>CST0013795</v>
          </cell>
          <cell r="B1819" t="str">
            <v>TEGAR</v>
          </cell>
          <cell r="C1819">
            <v>2624878</v>
          </cell>
        </row>
        <row r="1820">
          <cell r="A1820" t="str">
            <v>CST0013817</v>
          </cell>
          <cell r="B1820" t="str">
            <v>ARIES WIJAYA</v>
          </cell>
          <cell r="C1820">
            <v>584869.09090909094</v>
          </cell>
        </row>
        <row r="1821">
          <cell r="A1821" t="str">
            <v>CST0013836</v>
          </cell>
          <cell r="B1821" t="str">
            <v>QUEEN KOSMETIK</v>
          </cell>
          <cell r="C1821">
            <v>1419995.2727272725</v>
          </cell>
        </row>
        <row r="1822">
          <cell r="A1822" t="str">
            <v>CST0013840</v>
          </cell>
          <cell r="B1822" t="str">
            <v>DEWI B.JAYA</v>
          </cell>
          <cell r="C1822">
            <v>1325185.6363636362</v>
          </cell>
        </row>
        <row r="1823">
          <cell r="A1823" t="str">
            <v>CST0013849</v>
          </cell>
          <cell r="B1823" t="str">
            <v>ELYA KOSMETIK</v>
          </cell>
          <cell r="C1823">
            <v>632023.18181818165</v>
          </cell>
        </row>
        <row r="1824">
          <cell r="A1824" t="str">
            <v>CST0013883</v>
          </cell>
          <cell r="B1824" t="str">
            <v>SALSA SHOP</v>
          </cell>
          <cell r="C1824">
            <v>1508370.9999999998</v>
          </cell>
        </row>
        <row r="1825">
          <cell r="A1825" t="str">
            <v>CST0014246</v>
          </cell>
          <cell r="B1825" t="str">
            <v>INDAH</v>
          </cell>
          <cell r="C1825">
            <v>344604.54545454547</v>
          </cell>
        </row>
        <row r="1826">
          <cell r="A1826" t="str">
            <v>CST0014411</v>
          </cell>
          <cell r="B1826" t="str">
            <v>ECHA</v>
          </cell>
          <cell r="C1826">
            <v>35000</v>
          </cell>
        </row>
        <row r="1827">
          <cell r="A1827" t="str">
            <v>CST0014415</v>
          </cell>
          <cell r="B1827" t="str">
            <v>SALSABILA</v>
          </cell>
          <cell r="C1827">
            <v>1461590.9090909089</v>
          </cell>
        </row>
        <row r="1828">
          <cell r="A1828" t="str">
            <v>CST0014419</v>
          </cell>
          <cell r="B1828" t="str">
            <v>ARMY</v>
          </cell>
          <cell r="C1828">
            <v>635727.27272727271</v>
          </cell>
        </row>
        <row r="1829">
          <cell r="A1829" t="str">
            <v>CST0014868</v>
          </cell>
          <cell r="B1829" t="str">
            <v>ELI</v>
          </cell>
          <cell r="C1829">
            <v>288363.63636363635</v>
          </cell>
        </row>
        <row r="1830">
          <cell r="A1830" t="str">
            <v>CST0014975</v>
          </cell>
          <cell r="B1830" t="str">
            <v>WALI SONGO</v>
          </cell>
          <cell r="C1830">
            <v>227066.90909090912</v>
          </cell>
        </row>
        <row r="1831">
          <cell r="A1831" t="str">
            <v>CST0015086</v>
          </cell>
          <cell r="B1831" t="str">
            <v>KENCANA</v>
          </cell>
          <cell r="C1831">
            <v>311354</v>
          </cell>
        </row>
        <row r="1832">
          <cell r="A1832" t="str">
            <v>CST0015089</v>
          </cell>
          <cell r="B1832" t="str">
            <v>TANJUNG</v>
          </cell>
          <cell r="C1832">
            <v>25854541.045454551</v>
          </cell>
        </row>
        <row r="1833">
          <cell r="A1833" t="str">
            <v>CST0015095</v>
          </cell>
          <cell r="B1833" t="str">
            <v>BANDUNG</v>
          </cell>
          <cell r="C1833">
            <v>345272.54545454547</v>
          </cell>
        </row>
        <row r="1834">
          <cell r="A1834" t="str">
            <v>CST0015111</v>
          </cell>
          <cell r="B1834" t="str">
            <v>ANEKA BARU</v>
          </cell>
          <cell r="C1834">
            <v>1067348.5454545454</v>
          </cell>
        </row>
        <row r="1835">
          <cell r="A1835" t="str">
            <v>CST0015115</v>
          </cell>
          <cell r="B1835" t="str">
            <v>ANEKA WARNA</v>
          </cell>
          <cell r="C1835">
            <v>635727.27272727259</v>
          </cell>
        </row>
        <row r="1836">
          <cell r="A1836" t="str">
            <v>CST0015150</v>
          </cell>
          <cell r="B1836" t="str">
            <v>DELAPAN JAYA</v>
          </cell>
          <cell r="C1836">
            <v>145636</v>
          </cell>
        </row>
        <row r="1837">
          <cell r="A1837" t="str">
            <v>CST0016610</v>
          </cell>
          <cell r="B1837" t="str">
            <v>SRC ANDO</v>
          </cell>
          <cell r="C1837">
            <v>239400</v>
          </cell>
        </row>
        <row r="1838">
          <cell r="A1838" t="str">
            <v>CST0018266</v>
          </cell>
          <cell r="B1838" t="str">
            <v>YASIN</v>
          </cell>
          <cell r="C1838">
            <v>384463.63636363635</v>
          </cell>
        </row>
        <row r="1839">
          <cell r="A1839" t="str">
            <v>CST0018274</v>
          </cell>
          <cell r="B1839" t="str">
            <v>KURNIA ABADI</v>
          </cell>
          <cell r="C1839">
            <v>652200</v>
          </cell>
        </row>
        <row r="1840">
          <cell r="A1840" t="str">
            <v>CST0019089</v>
          </cell>
          <cell r="B1840" t="str">
            <v>TOKO RUDI</v>
          </cell>
          <cell r="C1840">
            <v>1468661.8636363635</v>
          </cell>
        </row>
        <row r="1841">
          <cell r="A1841" t="str">
            <v>CST0019310</v>
          </cell>
          <cell r="B1841" t="str">
            <v>ARIF SRIBAWONO</v>
          </cell>
          <cell r="C1841">
            <v>1602092.2727272729</v>
          </cell>
        </row>
        <row r="1842">
          <cell r="A1842" t="str">
            <v>CST0019317</v>
          </cell>
          <cell r="B1842" t="str">
            <v>APT TEGAR FARMA</v>
          </cell>
          <cell r="C1842">
            <v>44400</v>
          </cell>
        </row>
        <row r="1843">
          <cell r="A1843" t="str">
            <v>CST0019377</v>
          </cell>
          <cell r="B1843" t="str">
            <v>APT ADILA FARMA</v>
          </cell>
          <cell r="C1843">
            <v>48688.636363636368</v>
          </cell>
        </row>
        <row r="1844">
          <cell r="A1844" t="str">
            <v>CST0019480</v>
          </cell>
          <cell r="B1844" t="str">
            <v>TOKO ANSORI</v>
          </cell>
          <cell r="C1844">
            <v>591327.27272727271</v>
          </cell>
        </row>
        <row r="1845">
          <cell r="A1845" t="str">
            <v>CST0019553</v>
          </cell>
          <cell r="B1845" t="str">
            <v>TOKO GIRI</v>
          </cell>
          <cell r="C1845">
            <v>792824.99999999988</v>
          </cell>
        </row>
        <row r="1846">
          <cell r="A1846" t="str">
            <v>CST0019596</v>
          </cell>
          <cell r="B1846" t="str">
            <v>DANI/RIA</v>
          </cell>
          <cell r="C1846">
            <v>443863.63636363635</v>
          </cell>
        </row>
        <row r="1847">
          <cell r="A1847" t="str">
            <v>CST0019676</v>
          </cell>
          <cell r="B1847" t="str">
            <v>MM GABE JAYA</v>
          </cell>
          <cell r="C1847">
            <v>1467657.4545454544</v>
          </cell>
        </row>
        <row r="1848">
          <cell r="A1848" t="str">
            <v>CST0020083</v>
          </cell>
          <cell r="B1848" t="str">
            <v>TOKO MBAH LEBO</v>
          </cell>
          <cell r="C1848">
            <v>4023733.6363636362</v>
          </cell>
        </row>
        <row r="1849">
          <cell r="A1849" t="str">
            <v>CST0020133</v>
          </cell>
          <cell r="B1849" t="str">
            <v>BAGUS</v>
          </cell>
          <cell r="C1849">
            <v>1051663.6363636362</v>
          </cell>
        </row>
        <row r="1850">
          <cell r="A1850" t="str">
            <v>CST0020145</v>
          </cell>
          <cell r="B1850" t="str">
            <v xml:space="preserve">SIFA/MBAK  MUN </v>
          </cell>
          <cell r="C1850">
            <v>317863.63636363635</v>
          </cell>
        </row>
        <row r="1851">
          <cell r="A1851" t="str">
            <v>CST0020189</v>
          </cell>
          <cell r="B1851" t="str">
            <v>TOKO WINDA</v>
          </cell>
          <cell r="C1851">
            <v>789774</v>
          </cell>
        </row>
        <row r="1852">
          <cell r="A1852" t="str">
            <v>CST0020193</v>
          </cell>
          <cell r="B1852" t="str">
            <v>TOKO DINAR</v>
          </cell>
          <cell r="C1852">
            <v>317863.63636363635</v>
          </cell>
        </row>
        <row r="1853">
          <cell r="A1853" t="str">
            <v>CST0020217</v>
          </cell>
          <cell r="B1853" t="str">
            <v>AMAN JAYA 2</v>
          </cell>
          <cell r="C1853">
            <v>1351677.2727272727</v>
          </cell>
        </row>
        <row r="1854">
          <cell r="A1854" t="str">
            <v>CST0020244</v>
          </cell>
          <cell r="B1854" t="str">
            <v>TOKO GRIYA COSMETIC</v>
          </cell>
          <cell r="C1854">
            <v>3784283.1818181816</v>
          </cell>
        </row>
        <row r="1855">
          <cell r="A1855" t="str">
            <v>CST0020266</v>
          </cell>
          <cell r="B1855" t="str">
            <v>MIFTA</v>
          </cell>
          <cell r="C1855">
            <v>1887654.5454545452</v>
          </cell>
        </row>
        <row r="1856">
          <cell r="A1856" t="str">
            <v>CST0020280</v>
          </cell>
          <cell r="B1856" t="str">
            <v>TOKO NOVI</v>
          </cell>
          <cell r="C1856">
            <v>185420.45454545453</v>
          </cell>
        </row>
        <row r="1857">
          <cell r="A1857" t="str">
            <v>CST0020441</v>
          </cell>
          <cell r="B1857" t="str">
            <v>MM RUMAH BUKU</v>
          </cell>
          <cell r="C1857">
            <v>393468.36363636359</v>
          </cell>
        </row>
        <row r="1858">
          <cell r="A1858" t="str">
            <v>CST0020547</v>
          </cell>
          <cell r="B1858" t="str">
            <v>TOKO DEWI</v>
          </cell>
          <cell r="C1858">
            <v>52977.272727272728</v>
          </cell>
        </row>
        <row r="1859">
          <cell r="A1859" t="str">
            <v>CST0020548</v>
          </cell>
          <cell r="B1859" t="str">
            <v>HILMI</v>
          </cell>
          <cell r="C1859">
            <v>168954</v>
          </cell>
        </row>
        <row r="1860">
          <cell r="A1860" t="str">
            <v>CST0021179</v>
          </cell>
          <cell r="B1860" t="str">
            <v>SINAR MM</v>
          </cell>
          <cell r="C1860">
            <v>1017881.7272727271</v>
          </cell>
        </row>
        <row r="1861">
          <cell r="A1861" t="str">
            <v>CST0021329</v>
          </cell>
          <cell r="B1861" t="str">
            <v>TOKO BUDI JAYA</v>
          </cell>
          <cell r="C1861">
            <v>1582344.7727272727</v>
          </cell>
        </row>
        <row r="1862">
          <cell r="A1862" t="str">
            <v>CST0021350</v>
          </cell>
          <cell r="B1862" t="str">
            <v>NAHWA</v>
          </cell>
          <cell r="C1862">
            <v>588639.54545454541</v>
          </cell>
        </row>
        <row r="1863">
          <cell r="A1863" t="str">
            <v>CST0021408</v>
          </cell>
          <cell r="B1863" t="str">
            <v>etaRIA</v>
          </cell>
          <cell r="C1863">
            <v>267900</v>
          </cell>
        </row>
        <row r="1864">
          <cell r="A1864" t="str">
            <v>CST0021664</v>
          </cell>
          <cell r="B1864" t="str">
            <v>TOKO RULI</v>
          </cell>
          <cell r="C1864">
            <v>89304.545454545456</v>
          </cell>
        </row>
        <row r="1865">
          <cell r="A1865" t="str">
            <v>CST0022010</v>
          </cell>
          <cell r="B1865" t="str">
            <v>HASBI COSMETIK</v>
          </cell>
          <cell r="C1865">
            <v>8313913.9090909129</v>
          </cell>
        </row>
        <row r="1866">
          <cell r="A1866" t="str">
            <v>CST0022014</v>
          </cell>
          <cell r="B1866" t="str">
            <v>CARNI SEHAT APOTIK</v>
          </cell>
          <cell r="C1866">
            <v>4572374.1818181816</v>
          </cell>
        </row>
        <row r="1867">
          <cell r="A1867" t="str">
            <v>CST0022015</v>
          </cell>
          <cell r="B1867" t="str">
            <v>DIDI COSMETIC</v>
          </cell>
          <cell r="C1867">
            <v>57550222.363636367</v>
          </cell>
        </row>
        <row r="1868">
          <cell r="A1868" t="str">
            <v>CST0022017</v>
          </cell>
          <cell r="B1868" t="str">
            <v>HAIDIL COSMETIK</v>
          </cell>
          <cell r="C1868">
            <v>1327459.0909090908</v>
          </cell>
        </row>
        <row r="1869">
          <cell r="A1869" t="str">
            <v>CST0022020</v>
          </cell>
          <cell r="B1869" t="str">
            <v>ARAZAKI TOKO CR</v>
          </cell>
          <cell r="C1869">
            <v>3187718.1818181816</v>
          </cell>
        </row>
        <row r="1870">
          <cell r="A1870" t="str">
            <v>CST0022023</v>
          </cell>
          <cell r="B1870" t="str">
            <v>MARNIS GTC</v>
          </cell>
          <cell r="C1870">
            <v>1252800</v>
          </cell>
        </row>
        <row r="1871">
          <cell r="A1871" t="str">
            <v>CST0022031</v>
          </cell>
          <cell r="B1871" t="str">
            <v>SURYA PRIMA APOTEK</v>
          </cell>
          <cell r="C1871">
            <v>567160.09090909094</v>
          </cell>
        </row>
        <row r="1872">
          <cell r="A1872" t="str">
            <v>CST0022034</v>
          </cell>
          <cell r="B1872" t="str">
            <v>KHATULISTIWA NEW/TOKO NK</v>
          </cell>
          <cell r="C1872">
            <v>234365083.49999988</v>
          </cell>
        </row>
        <row r="1873">
          <cell r="A1873" t="str">
            <v>CST0022040</v>
          </cell>
          <cell r="B1873" t="str">
            <v>DUA SAUDARA TOKO</v>
          </cell>
          <cell r="C1873">
            <v>643171.63636363635</v>
          </cell>
        </row>
        <row r="1874">
          <cell r="A1874" t="str">
            <v>CST0022053</v>
          </cell>
          <cell r="B1874" t="str">
            <v>MARANATHA APOTEK</v>
          </cell>
          <cell r="C1874">
            <v>278508</v>
          </cell>
        </row>
        <row r="1875">
          <cell r="A1875" t="str">
            <v>CST0022061</v>
          </cell>
          <cell r="B1875" t="str">
            <v>MEDISTRO FARMA APOTIK</v>
          </cell>
          <cell r="C1875">
            <v>965760.27272727271</v>
          </cell>
        </row>
        <row r="1876">
          <cell r="A1876" t="str">
            <v>CST0022074</v>
          </cell>
          <cell r="B1876" t="str">
            <v>SRIWIJAYA TOKO OBAT</v>
          </cell>
          <cell r="C1876">
            <v>266400.00000000006</v>
          </cell>
        </row>
        <row r="1877">
          <cell r="A1877" t="str">
            <v>CST0022081</v>
          </cell>
          <cell r="B1877" t="str">
            <v>DIJA RB TOKO</v>
          </cell>
          <cell r="C1877">
            <v>37084.090909090912</v>
          </cell>
        </row>
        <row r="1878">
          <cell r="A1878" t="str">
            <v>CST0022084</v>
          </cell>
          <cell r="B1878" t="str">
            <v>KOYA MM</v>
          </cell>
          <cell r="C1878">
            <v>432597.27272727276</v>
          </cell>
        </row>
        <row r="1879">
          <cell r="A1879" t="str">
            <v>CST0022087</v>
          </cell>
          <cell r="B1879" t="str">
            <v>OSHENA COSMETIC</v>
          </cell>
          <cell r="C1879">
            <v>1961288.1818181816</v>
          </cell>
        </row>
        <row r="1880">
          <cell r="A1880" t="str">
            <v>CST0022100</v>
          </cell>
          <cell r="B1880" t="str">
            <v>NADIA TK.MANISAN</v>
          </cell>
          <cell r="C1880">
            <v>168954</v>
          </cell>
        </row>
        <row r="1881">
          <cell r="A1881" t="str">
            <v>CST0022109</v>
          </cell>
          <cell r="B1881" t="str">
            <v>NRL TOKO</v>
          </cell>
          <cell r="C1881">
            <v>765578.27272727259</v>
          </cell>
        </row>
        <row r="1882">
          <cell r="A1882" t="str">
            <v>CST0022136</v>
          </cell>
          <cell r="B1882" t="str">
            <v>DEDEK BKL / DHE2K TOKO</v>
          </cell>
          <cell r="C1882">
            <v>245836.00000000003</v>
          </cell>
        </row>
        <row r="1883">
          <cell r="A1883" t="str">
            <v>CST0022146</v>
          </cell>
          <cell r="B1883" t="str">
            <v>SINAR BARU TOKO</v>
          </cell>
          <cell r="C1883">
            <v>4139175.6818181812</v>
          </cell>
        </row>
        <row r="1884">
          <cell r="A1884" t="str">
            <v>CST0022150</v>
          </cell>
          <cell r="B1884" t="str">
            <v>SAUDARA DISVA</v>
          </cell>
          <cell r="C1884">
            <v>1999800.818181819</v>
          </cell>
        </row>
        <row r="1885">
          <cell r="A1885" t="str">
            <v>CST0022156</v>
          </cell>
          <cell r="B1885" t="str">
            <v>MATA AIR MM.</v>
          </cell>
          <cell r="C1885">
            <v>2128567.5</v>
          </cell>
        </row>
        <row r="1886">
          <cell r="A1886" t="str">
            <v>CST0022238</v>
          </cell>
          <cell r="B1886" t="str">
            <v>YOPI MM</v>
          </cell>
          <cell r="C1886">
            <v>19071.818181818184</v>
          </cell>
        </row>
        <row r="1887">
          <cell r="A1887" t="str">
            <v>CST0022242</v>
          </cell>
          <cell r="B1887" t="str">
            <v>ROLLI TOKO</v>
          </cell>
          <cell r="C1887">
            <v>323154</v>
          </cell>
        </row>
        <row r="1888">
          <cell r="A1888" t="str">
            <v>CST0022270</v>
          </cell>
          <cell r="B1888" t="str">
            <v>LENY TOKO</v>
          </cell>
          <cell r="C1888">
            <v>271798.63636363641</v>
          </cell>
        </row>
        <row r="1889">
          <cell r="A1889" t="str">
            <v>CST0022357</v>
          </cell>
          <cell r="B1889" t="str">
            <v>SYAFAAT</v>
          </cell>
          <cell r="C1889">
            <v>59536.181818181823</v>
          </cell>
        </row>
        <row r="1890">
          <cell r="A1890" t="str">
            <v>CST0022388</v>
          </cell>
          <cell r="B1890" t="str">
            <v>EXPRS TOKO</v>
          </cell>
          <cell r="C1890">
            <v>18542.045454545456</v>
          </cell>
        </row>
        <row r="1891">
          <cell r="A1891" t="str">
            <v>CST0022405</v>
          </cell>
          <cell r="B1891" t="str">
            <v xml:space="preserve">EVA/SEMULI </v>
          </cell>
          <cell r="C1891">
            <v>462531.81818181812</v>
          </cell>
        </row>
        <row r="1892">
          <cell r="A1892" t="str">
            <v>CST0022442</v>
          </cell>
          <cell r="B1892" t="str">
            <v>RETRI TOKO</v>
          </cell>
          <cell r="C1892">
            <v>1943497.2727272727</v>
          </cell>
        </row>
        <row r="1893">
          <cell r="A1893" t="str">
            <v>CST0022477</v>
          </cell>
          <cell r="B1893" t="str">
            <v>REMAJA KAMPUS BKL</v>
          </cell>
          <cell r="C1893">
            <v>1509926.7272727275</v>
          </cell>
        </row>
        <row r="1894">
          <cell r="A1894" t="str">
            <v>CST0022500</v>
          </cell>
          <cell r="B1894" t="str">
            <v>KIDDY MM</v>
          </cell>
          <cell r="C1894">
            <v>467581.81818181812</v>
          </cell>
        </row>
        <row r="1895">
          <cell r="A1895" t="str">
            <v>CST0022507</v>
          </cell>
          <cell r="B1895" t="str">
            <v>TOKO BERKAH</v>
          </cell>
          <cell r="C1895">
            <v>320154</v>
          </cell>
        </row>
        <row r="1896">
          <cell r="A1896" t="str">
            <v>CST0022510</v>
          </cell>
          <cell r="B1896" t="str">
            <v>MM 88</v>
          </cell>
          <cell r="C1896">
            <v>301200</v>
          </cell>
        </row>
        <row r="1897">
          <cell r="A1897" t="str">
            <v>CST0022518</v>
          </cell>
          <cell r="B1897" t="str">
            <v>NAILAH TOKO</v>
          </cell>
          <cell r="C1897">
            <v>16650.000000000004</v>
          </cell>
        </row>
        <row r="1898">
          <cell r="A1898" t="str">
            <v>CST0022560</v>
          </cell>
          <cell r="B1898" t="str">
            <v>NAMORA TOKO</v>
          </cell>
          <cell r="C1898">
            <v>18542.045454545456</v>
          </cell>
        </row>
        <row r="1899">
          <cell r="A1899" t="str">
            <v>CST0022562</v>
          </cell>
          <cell r="B1899" t="str">
            <v>KIKI TOKO</v>
          </cell>
          <cell r="C1899">
            <v>337163.22727272729</v>
          </cell>
        </row>
        <row r="1900">
          <cell r="A1900" t="str">
            <v>CST0022589</v>
          </cell>
          <cell r="B1900" t="str">
            <v>BAYU BAJAK TOKO</v>
          </cell>
          <cell r="C1900">
            <v>18542.045454545456</v>
          </cell>
        </row>
        <row r="1901">
          <cell r="A1901" t="str">
            <v>CST0022618</v>
          </cell>
          <cell r="B1901" t="str">
            <v>LOVITA</v>
          </cell>
          <cell r="C1901">
            <v>317863.63636363635</v>
          </cell>
        </row>
        <row r="1902">
          <cell r="A1902" t="str">
            <v>CST0022621</v>
          </cell>
          <cell r="B1902" t="str">
            <v>PASARIBU PD BESI</v>
          </cell>
          <cell r="C1902">
            <v>18542.045454545456</v>
          </cell>
        </row>
        <row r="1903">
          <cell r="A1903" t="str">
            <v>CST0022649</v>
          </cell>
          <cell r="B1903" t="str">
            <v>TOKO HENNI</v>
          </cell>
          <cell r="C1903">
            <v>318580.72727272729</v>
          </cell>
        </row>
        <row r="1904">
          <cell r="A1904" t="str">
            <v>CST0022737</v>
          </cell>
          <cell r="B1904" t="str">
            <v>ANEKA RASA</v>
          </cell>
          <cell r="C1904">
            <v>11596691</v>
          </cell>
        </row>
        <row r="1905">
          <cell r="A1905" t="str">
            <v>CST0022743</v>
          </cell>
          <cell r="B1905" t="str">
            <v>TOKO AMIR CHAN</v>
          </cell>
          <cell r="C1905">
            <v>5.8207660913467407E-11</v>
          </cell>
        </row>
        <row r="1906">
          <cell r="A1906" t="str">
            <v>CST0022766</v>
          </cell>
          <cell r="B1906" t="str">
            <v>REOG MART</v>
          </cell>
          <cell r="C1906">
            <v>635323.63636363635</v>
          </cell>
        </row>
        <row r="1907">
          <cell r="A1907" t="str">
            <v>CST0022805</v>
          </cell>
          <cell r="B1907" t="str">
            <v>KAPUAS MM</v>
          </cell>
          <cell r="C1907">
            <v>746932.5</v>
          </cell>
        </row>
        <row r="1908">
          <cell r="A1908" t="str">
            <v>CST0022823</v>
          </cell>
          <cell r="B1908" t="str">
            <v>ENGGI MART</v>
          </cell>
          <cell r="C1908">
            <v>177600.00000000006</v>
          </cell>
        </row>
        <row r="1909">
          <cell r="A1909" t="str">
            <v>CST0022883</v>
          </cell>
          <cell r="B1909" t="str">
            <v>AMANAH</v>
          </cell>
          <cell r="C1909">
            <v>239154.00000000003</v>
          </cell>
        </row>
        <row r="1910">
          <cell r="A1910" t="str">
            <v>CST0022907</v>
          </cell>
          <cell r="B1910" t="str">
            <v>RICA MM</v>
          </cell>
          <cell r="C1910">
            <v>18542.045454545456</v>
          </cell>
        </row>
        <row r="1911">
          <cell r="A1911" t="str">
            <v>CST0022925</v>
          </cell>
          <cell r="B1911" t="str">
            <v xml:space="preserve">RAJINO </v>
          </cell>
          <cell r="C1911">
            <v>42000</v>
          </cell>
        </row>
        <row r="1912">
          <cell r="A1912" t="str">
            <v>CST0022974</v>
          </cell>
          <cell r="B1912" t="str">
            <v>UCOK MERPAS</v>
          </cell>
          <cell r="C1912">
            <v>731439.81818181812</v>
          </cell>
        </row>
        <row r="1913">
          <cell r="A1913" t="str">
            <v>CST0023003</v>
          </cell>
          <cell r="B1913" t="str">
            <v>OLIVIA</v>
          </cell>
          <cell r="C1913">
            <v>12109.09090909091</v>
          </cell>
        </row>
        <row r="1914">
          <cell r="A1914" t="str">
            <v>CST0023006</v>
          </cell>
          <cell r="B1914" t="str">
            <v>RISKI</v>
          </cell>
          <cell r="C1914">
            <v>44400.000000000007</v>
          </cell>
        </row>
        <row r="1915">
          <cell r="A1915" t="str">
            <v>CST0023028</v>
          </cell>
          <cell r="B1915" t="str">
            <v>MAULANA APOTEK</v>
          </cell>
          <cell r="C1915">
            <v>470438.18181818177</v>
          </cell>
        </row>
        <row r="1916">
          <cell r="A1916" t="str">
            <v>CST0023097</v>
          </cell>
          <cell r="B1916" t="str">
            <v>JB TRANSPORT</v>
          </cell>
          <cell r="C1916">
            <v>941681.27272727259</v>
          </cell>
        </row>
        <row r="1917">
          <cell r="A1917" t="str">
            <v>CST0023149</v>
          </cell>
          <cell r="B1917" t="str">
            <v>HOSSANA MM</v>
          </cell>
          <cell r="C1917">
            <v>1705263.8181818179</v>
          </cell>
        </row>
        <row r="1918">
          <cell r="A1918" t="str">
            <v>CST0023162</v>
          </cell>
          <cell r="B1918" t="str">
            <v>HENI</v>
          </cell>
          <cell r="C1918">
            <v>44400.000000000007</v>
          </cell>
        </row>
        <row r="1919">
          <cell r="A1919" t="str">
            <v>CST0023207</v>
          </cell>
          <cell r="B1919" t="str">
            <v>LULU</v>
          </cell>
          <cell r="C1919">
            <v>364397.72727272729</v>
          </cell>
        </row>
        <row r="1920">
          <cell r="A1920" t="str">
            <v>CST0023218</v>
          </cell>
          <cell r="B1920" t="str">
            <v>CAHAYA TOKO</v>
          </cell>
          <cell r="C1920">
            <v>178036</v>
          </cell>
        </row>
        <row r="1921">
          <cell r="A1921" t="str">
            <v>CST0023253</v>
          </cell>
          <cell r="B1921" t="str">
            <v xml:space="preserve">NIDA TOKO </v>
          </cell>
          <cell r="C1921">
            <v>340200</v>
          </cell>
        </row>
        <row r="1922">
          <cell r="A1922" t="str">
            <v>CST0023404</v>
          </cell>
          <cell r="B1922" t="str">
            <v>YAFI CELL</v>
          </cell>
          <cell r="C1922">
            <v>16650.000000000004</v>
          </cell>
        </row>
        <row r="1923">
          <cell r="A1923" t="str">
            <v>CST0023450</v>
          </cell>
          <cell r="B1923" t="str">
            <v>GITA MM</v>
          </cell>
          <cell r="C1923">
            <v>735997.63636363635</v>
          </cell>
        </row>
        <row r="1924">
          <cell r="A1924" t="str">
            <v>CST0023558</v>
          </cell>
          <cell r="B1924" t="str">
            <v>ADVENT MM</v>
          </cell>
          <cell r="C1924">
            <v>994742.04545454565</v>
          </cell>
        </row>
        <row r="1925">
          <cell r="A1925" t="str">
            <v>CST0023577</v>
          </cell>
          <cell r="B1925" t="str">
            <v>RAY WARUNG MANISAN</v>
          </cell>
          <cell r="C1925">
            <v>266400.00000000006</v>
          </cell>
        </row>
        <row r="1926">
          <cell r="A1926" t="str">
            <v>CST0023661</v>
          </cell>
          <cell r="B1926" t="str">
            <v>YENI</v>
          </cell>
          <cell r="C1926">
            <v>18542.045454545456</v>
          </cell>
        </row>
        <row r="1927">
          <cell r="A1927" t="str">
            <v>CST0023694</v>
          </cell>
          <cell r="B1927" t="str">
            <v>BUSINESS CENTRE SMK N 1</v>
          </cell>
          <cell r="C1927">
            <v>200484.09090909094</v>
          </cell>
        </row>
        <row r="1928">
          <cell r="A1928" t="str">
            <v>CST0023913</v>
          </cell>
          <cell r="B1928" t="str">
            <v>TIRA COS</v>
          </cell>
          <cell r="C1928">
            <v>1041366.7272727273</v>
          </cell>
        </row>
        <row r="1929">
          <cell r="A1929" t="str">
            <v>CST0023925</v>
          </cell>
          <cell r="B1929" t="str">
            <v>MURI TOKO</v>
          </cell>
          <cell r="C1929">
            <v>167626.13636363638</v>
          </cell>
        </row>
        <row r="1930">
          <cell r="A1930" t="str">
            <v>CST0023928</v>
          </cell>
          <cell r="B1930" t="str">
            <v>DESI PUTRI HIJAU</v>
          </cell>
          <cell r="C1930">
            <v>272331.81818181818</v>
          </cell>
        </row>
        <row r="1931">
          <cell r="A1931" t="str">
            <v>CST0023979</v>
          </cell>
          <cell r="B1931" t="str">
            <v>INAL TOKO MANISAN</v>
          </cell>
          <cell r="C1931">
            <v>199800.00000000006</v>
          </cell>
        </row>
        <row r="1932">
          <cell r="A1932" t="str">
            <v>CST0023986</v>
          </cell>
          <cell r="B1932" t="str">
            <v>KOSMETIK DEVINA</v>
          </cell>
          <cell r="C1932">
            <v>3498333.0000000005</v>
          </cell>
        </row>
        <row r="1933">
          <cell r="A1933" t="str">
            <v>CST0024097</v>
          </cell>
          <cell r="B1933" t="str">
            <v>TULUS FARMA APOTIK</v>
          </cell>
          <cell r="C1933">
            <v>1312068.2727272727</v>
          </cell>
        </row>
        <row r="1934">
          <cell r="A1934" t="str">
            <v>CST0024103</v>
          </cell>
          <cell r="B1934" t="str">
            <v>PUTRI COSMETIC</v>
          </cell>
          <cell r="C1934">
            <v>1016234.0454545454</v>
          </cell>
        </row>
        <row r="1935">
          <cell r="A1935" t="str">
            <v>CST0024113</v>
          </cell>
          <cell r="B1935" t="str">
            <v>KIREI COSMETIC</v>
          </cell>
          <cell r="C1935">
            <v>2676613.9090909096</v>
          </cell>
        </row>
        <row r="1936">
          <cell r="A1936" t="str">
            <v>CST0024204</v>
          </cell>
          <cell r="B1936" t="str">
            <v>TOKO NINA</v>
          </cell>
          <cell r="C1936">
            <v>412963.63636363635</v>
          </cell>
        </row>
        <row r="1937">
          <cell r="A1937" t="str">
            <v>CST0024385</v>
          </cell>
          <cell r="B1937" t="str">
            <v>WIWIN</v>
          </cell>
          <cell r="C1937">
            <v>22250.454545454548</v>
          </cell>
        </row>
        <row r="1938">
          <cell r="A1938" t="str">
            <v>CST0024573</v>
          </cell>
          <cell r="B1938" t="str">
            <v>KURNIAWAN/H.BAHAR</v>
          </cell>
          <cell r="C1938">
            <v>2624208.0000000005</v>
          </cell>
        </row>
        <row r="1939">
          <cell r="A1939" t="str">
            <v>CST0024601</v>
          </cell>
          <cell r="B1939" t="str">
            <v>SAUDARA DISVA 2</v>
          </cell>
          <cell r="C1939">
            <v>1827406.9090909092</v>
          </cell>
        </row>
        <row r="1940">
          <cell r="A1940" t="str">
            <v>CST0024717</v>
          </cell>
          <cell r="B1940" t="str">
            <v>MITRA USAHA</v>
          </cell>
          <cell r="C1940">
            <v>114430.9090909091</v>
          </cell>
        </row>
        <row r="1941">
          <cell r="A1941" t="str">
            <v>CST0024932</v>
          </cell>
          <cell r="B1941" t="str">
            <v>GAURI</v>
          </cell>
          <cell r="C1941">
            <v>524507.72727272729</v>
          </cell>
        </row>
        <row r="1942">
          <cell r="A1942" t="str">
            <v>CST0024993</v>
          </cell>
          <cell r="B1942" t="str">
            <v>PB SWALAYAN</v>
          </cell>
          <cell r="C1942">
            <v>20488441.363636363</v>
          </cell>
        </row>
        <row r="1943">
          <cell r="A1943" t="str">
            <v>CST0025019</v>
          </cell>
          <cell r="B1943" t="str">
            <v>TOKO SOFIA</v>
          </cell>
          <cell r="C1943">
            <v>266836</v>
          </cell>
        </row>
        <row r="1944">
          <cell r="A1944" t="str">
            <v>CST0025140</v>
          </cell>
          <cell r="B1944" t="str">
            <v xml:space="preserve">KUSUMA MART </v>
          </cell>
          <cell r="C1944">
            <v>1788887.8636363638</v>
          </cell>
        </row>
        <row r="1945">
          <cell r="A1945" t="str">
            <v>CST0025150</v>
          </cell>
          <cell r="B1945" t="str">
            <v>MYLOVA GRUP INTERNASIONAL</v>
          </cell>
          <cell r="C1945">
            <v>38085500.31818182</v>
          </cell>
        </row>
        <row r="1946">
          <cell r="A1946" t="str">
            <v>CST0025464</v>
          </cell>
          <cell r="B1946" t="str">
            <v>SOUTH MARKET</v>
          </cell>
          <cell r="C1946">
            <v>617400</v>
          </cell>
        </row>
        <row r="1947">
          <cell r="A1947" t="str">
            <v>CST0025473</v>
          </cell>
          <cell r="B1947" t="str">
            <v>VELLY</v>
          </cell>
          <cell r="C1947">
            <v>801048.54545454541</v>
          </cell>
        </row>
        <row r="1948">
          <cell r="A1948" t="str">
            <v>CST0025505</v>
          </cell>
          <cell r="B1948" t="str">
            <v>AA KORPRI</v>
          </cell>
          <cell r="C1948">
            <v>16650.000000000004</v>
          </cell>
        </row>
        <row r="1949">
          <cell r="A1949" t="str">
            <v>CST0025533</v>
          </cell>
          <cell r="B1949" t="str">
            <v>INARA FROZEN FOOD</v>
          </cell>
          <cell r="C1949">
            <v>847642.90909090906</v>
          </cell>
        </row>
        <row r="1950">
          <cell r="A1950" t="str">
            <v>CST0025770</v>
          </cell>
          <cell r="B1950" t="str">
            <v>MM APRIAL</v>
          </cell>
          <cell r="C1950">
            <v>1543523.4545454544</v>
          </cell>
        </row>
        <row r="1951">
          <cell r="A1951" t="str">
            <v>CST0025786</v>
          </cell>
          <cell r="B1951" t="str">
            <v>ABBASY</v>
          </cell>
          <cell r="C1951">
            <v>22200.000000000007</v>
          </cell>
        </row>
        <row r="1952">
          <cell r="A1952" t="str">
            <v>CST0025790</v>
          </cell>
          <cell r="B1952" t="str">
            <v xml:space="preserve">HS TOKO </v>
          </cell>
          <cell r="C1952">
            <v>322909.09090909094</v>
          </cell>
        </row>
        <row r="1953">
          <cell r="A1953" t="str">
            <v>CST0025938</v>
          </cell>
          <cell r="B1953" t="str">
            <v>BUNDA COSMETIK</v>
          </cell>
          <cell r="C1953">
            <v>7466492.7272727322</v>
          </cell>
        </row>
        <row r="1954">
          <cell r="A1954" t="str">
            <v>CST0026064</v>
          </cell>
          <cell r="B1954" t="str">
            <v>BAYU ATK</v>
          </cell>
          <cell r="C1954">
            <v>431866.54545454547</v>
          </cell>
        </row>
        <row r="1955">
          <cell r="A1955" t="str">
            <v>CST0026091</v>
          </cell>
          <cell r="B1955" t="str">
            <v>MELI</v>
          </cell>
          <cell r="C1955">
            <v>1511972.1818181816</v>
          </cell>
        </row>
        <row r="1956">
          <cell r="A1956" t="str">
            <v>CST0026117</v>
          </cell>
          <cell r="B1956" t="str">
            <v>SARI WANGI</v>
          </cell>
          <cell r="C1956">
            <v>2341290.5454545454</v>
          </cell>
        </row>
        <row r="1957">
          <cell r="A1957" t="str">
            <v>CST0027343</v>
          </cell>
          <cell r="B1957" t="str">
            <v>NENG LAIS</v>
          </cell>
          <cell r="C1957">
            <v>2055025.5000000002</v>
          </cell>
        </row>
        <row r="1958">
          <cell r="A1958" t="str">
            <v>CST0027350</v>
          </cell>
          <cell r="B1958" t="str">
            <v xml:space="preserve">NANO </v>
          </cell>
          <cell r="C1958">
            <v>-4.3655745685100555E-11</v>
          </cell>
        </row>
        <row r="1959">
          <cell r="A1959" t="str">
            <v>CST0027459</v>
          </cell>
          <cell r="B1959" t="str">
            <v>TOKO UNI ITA</v>
          </cell>
          <cell r="C1959">
            <v>365063.63636363629</v>
          </cell>
        </row>
        <row r="1960">
          <cell r="A1960" t="str">
            <v>CST0027618</v>
          </cell>
          <cell r="B1960" t="str">
            <v>JOANA COSMETIC</v>
          </cell>
          <cell r="C1960">
            <v>17979826.90909091</v>
          </cell>
        </row>
        <row r="1961">
          <cell r="A1961" t="str">
            <v>CST0027650</v>
          </cell>
          <cell r="B1961" t="str">
            <v>RA BEAUTY</v>
          </cell>
          <cell r="C1961">
            <v>38695581.000000007</v>
          </cell>
        </row>
        <row r="1962">
          <cell r="A1962" t="str">
            <v>CST0027753</v>
          </cell>
          <cell r="B1962" t="str">
            <v>BERSAMA</v>
          </cell>
          <cell r="C1962">
            <v>352672.72727272729</v>
          </cell>
        </row>
        <row r="1963">
          <cell r="A1963" t="str">
            <v>CST0027821</v>
          </cell>
          <cell r="B1963" t="str">
            <v>EREN</v>
          </cell>
          <cell r="C1963">
            <v>56700</v>
          </cell>
        </row>
        <row r="1964">
          <cell r="A1964" t="str">
            <v>CST0027828</v>
          </cell>
          <cell r="B1964" t="str">
            <v>SRC LIFA</v>
          </cell>
          <cell r="C1964">
            <v>56000</v>
          </cell>
        </row>
        <row r="1965">
          <cell r="A1965" t="str">
            <v>CST0027860</v>
          </cell>
          <cell r="B1965" t="str">
            <v>ANAS 2</v>
          </cell>
          <cell r="C1965">
            <v>1167412.8181818179</v>
          </cell>
        </row>
        <row r="1966">
          <cell r="A1966" t="str">
            <v>CST0028113</v>
          </cell>
          <cell r="B1966" t="str">
            <v>YANA</v>
          </cell>
          <cell r="C1966">
            <v>268954</v>
          </cell>
        </row>
        <row r="1967">
          <cell r="A1967" t="str">
            <v>CST0028260</v>
          </cell>
          <cell r="B1967" t="str">
            <v>MULTI MM</v>
          </cell>
          <cell r="C1967">
            <v>37528774.954545461</v>
          </cell>
        </row>
        <row r="1968">
          <cell r="A1968" t="str">
            <v>CST0028322</v>
          </cell>
          <cell r="B1968" t="str">
            <v>SRC ARMA</v>
          </cell>
          <cell r="C1968">
            <v>383706.81818181818</v>
          </cell>
        </row>
        <row r="1969">
          <cell r="A1969" t="str">
            <v>CST0028424</v>
          </cell>
          <cell r="B1969" t="str">
            <v>AYU</v>
          </cell>
          <cell r="C1969">
            <v>145309.09090909091</v>
          </cell>
        </row>
        <row r="1970">
          <cell r="A1970" t="str">
            <v>CST0028756</v>
          </cell>
          <cell r="B1970" t="str">
            <v>SUMBER WARAS</v>
          </cell>
          <cell r="C1970">
            <v>672357.27272727271</v>
          </cell>
        </row>
        <row r="1971">
          <cell r="A1971" t="str">
            <v>CST0028769</v>
          </cell>
          <cell r="B1971" t="str">
            <v>TOKO UNI YANTI</v>
          </cell>
          <cell r="C1971">
            <v>-99384.090909090824</v>
          </cell>
        </row>
        <row r="1972">
          <cell r="A1972" t="str">
            <v>CST0028838</v>
          </cell>
          <cell r="B1972" t="str">
            <v xml:space="preserve">TOKO HIDAYAH </v>
          </cell>
          <cell r="C1972">
            <v>7844713.6363636348</v>
          </cell>
        </row>
        <row r="1973">
          <cell r="A1973" t="str">
            <v>CST0028984</v>
          </cell>
          <cell r="B1973" t="str">
            <v>TOKO DEVA</v>
          </cell>
          <cell r="C1973">
            <v>2626527.2727272729</v>
          </cell>
        </row>
        <row r="1974">
          <cell r="A1974" t="str">
            <v>CST0028985</v>
          </cell>
          <cell r="B1974" t="str">
            <v>TOKO TAROM</v>
          </cell>
          <cell r="C1974">
            <v>337908</v>
          </cell>
        </row>
        <row r="1975">
          <cell r="A1975" t="str">
            <v>CST0029086</v>
          </cell>
          <cell r="B1975" t="str">
            <v xml:space="preserve">TOKO DESHOP </v>
          </cell>
          <cell r="C1975">
            <v>119850732.54545458</v>
          </cell>
        </row>
        <row r="1976">
          <cell r="A1976" t="str">
            <v>CST0029149</v>
          </cell>
          <cell r="B1976" t="str">
            <v>NINGSIH</v>
          </cell>
          <cell r="C1976">
            <v>-158931.81818181818</v>
          </cell>
        </row>
        <row r="1977">
          <cell r="A1977" t="str">
            <v>CST0029226</v>
          </cell>
          <cell r="B1977" t="str">
            <v>TOKO HUDA</v>
          </cell>
          <cell r="C1977">
            <v>1222412.7272727271</v>
          </cell>
        </row>
        <row r="1978">
          <cell r="A1978" t="str">
            <v>CST0029254</v>
          </cell>
          <cell r="B1978" t="str">
            <v xml:space="preserve">MEDIANA KOSMETIK </v>
          </cell>
          <cell r="C1978">
            <v>18505711.090909094</v>
          </cell>
        </row>
        <row r="1979">
          <cell r="A1979" t="str">
            <v>CST0029294</v>
          </cell>
          <cell r="B1979" t="str">
            <v>TOKO ALYA</v>
          </cell>
          <cell r="C1979">
            <v>235200</v>
          </cell>
        </row>
        <row r="1980">
          <cell r="A1980" t="str">
            <v>CST0029299</v>
          </cell>
          <cell r="B1980" t="str">
            <v>TOKO MAYA</v>
          </cell>
          <cell r="C1980">
            <v>764757.81818181812</v>
          </cell>
        </row>
        <row r="1981">
          <cell r="A1981" t="str">
            <v>CST0029303</v>
          </cell>
          <cell r="B1981" t="str">
            <v>TOKO HERI</v>
          </cell>
          <cell r="C1981">
            <v>174792.04545454544</v>
          </cell>
        </row>
        <row r="1982">
          <cell r="A1982" t="str">
            <v>CST0029328</v>
          </cell>
          <cell r="B1982" t="str">
            <v>APT ASSIPA FAJAR BARU</v>
          </cell>
          <cell r="C1982">
            <v>19071.818181818184</v>
          </cell>
        </row>
        <row r="1983">
          <cell r="A1983" t="str">
            <v>CST0029350</v>
          </cell>
          <cell r="B1983" t="str">
            <v>RESTI KOSMETIK</v>
          </cell>
          <cell r="C1983">
            <v>216600</v>
          </cell>
        </row>
        <row r="1984">
          <cell r="A1984" t="str">
            <v>CST0029372</v>
          </cell>
          <cell r="B1984" t="str">
            <v>TOKO  MILENIAL KOSMETIK</v>
          </cell>
          <cell r="C1984">
            <v>23276652.545454547</v>
          </cell>
        </row>
        <row r="1985">
          <cell r="A1985" t="str">
            <v>CST0029439</v>
          </cell>
          <cell r="B1985" t="str">
            <v>ALDERO</v>
          </cell>
          <cell r="C1985">
            <v>52977.272727272728</v>
          </cell>
        </row>
        <row r="1986">
          <cell r="A1986" t="str">
            <v>CST0029555</v>
          </cell>
          <cell r="B1986" t="str">
            <v>NENENG</v>
          </cell>
          <cell r="C1986">
            <v>3121489.6363636362</v>
          </cell>
        </row>
        <row r="1987">
          <cell r="A1987" t="str">
            <v>CST0029561</v>
          </cell>
          <cell r="B1987" t="str">
            <v>WATI/IWAN</v>
          </cell>
          <cell r="C1987">
            <v>317863.63636363635</v>
          </cell>
        </row>
        <row r="1988">
          <cell r="A1988" t="str">
            <v>CST0029677</v>
          </cell>
          <cell r="B1988" t="str">
            <v>EDI PARIS ACCESORIS</v>
          </cell>
          <cell r="C1988">
            <v>15389747.181818182</v>
          </cell>
        </row>
        <row r="1989">
          <cell r="A1989" t="str">
            <v>CST0029682</v>
          </cell>
          <cell r="B1989" t="str">
            <v>M MART</v>
          </cell>
          <cell r="C1989">
            <v>1246813.0909090906</v>
          </cell>
        </row>
        <row r="1990">
          <cell r="A1990" t="str">
            <v>CST0029751</v>
          </cell>
          <cell r="B1990" t="str">
            <v>SRC NURYOKO</v>
          </cell>
          <cell r="C1990">
            <v>72654.545454545456</v>
          </cell>
        </row>
        <row r="1991">
          <cell r="A1991" t="str">
            <v>CST0029845</v>
          </cell>
          <cell r="B1991" t="str">
            <v>NANA</v>
          </cell>
          <cell r="C1991">
            <v>317863.63636363635</v>
          </cell>
        </row>
        <row r="1992">
          <cell r="A1992" t="str">
            <v>CST0029867</v>
          </cell>
          <cell r="B1992" t="str">
            <v>LAPAK SOPOWAE</v>
          </cell>
          <cell r="C1992">
            <v>1211739.5454545454</v>
          </cell>
        </row>
        <row r="1993">
          <cell r="A1993" t="str">
            <v>CST0029934</v>
          </cell>
          <cell r="B1993" t="str">
            <v>WR BRENDO</v>
          </cell>
          <cell r="C1993">
            <v>51450</v>
          </cell>
        </row>
        <row r="1994">
          <cell r="A1994" t="str">
            <v>CST0030033</v>
          </cell>
          <cell r="B1994" t="str">
            <v>MUBAROK MART</v>
          </cell>
          <cell r="C1994">
            <v>1004127.2727272727</v>
          </cell>
        </row>
        <row r="1995">
          <cell r="A1995" t="str">
            <v>CST0030062</v>
          </cell>
          <cell r="B1995" t="str">
            <v>MUAWANAH MART</v>
          </cell>
          <cell r="C1995">
            <v>344352.27272727265</v>
          </cell>
        </row>
        <row r="1996">
          <cell r="A1996" t="str">
            <v>CST0030103</v>
          </cell>
          <cell r="B1996" t="str">
            <v>TOKO AW</v>
          </cell>
          <cell r="C1996">
            <v>158931.81818181818</v>
          </cell>
        </row>
        <row r="1997">
          <cell r="A1997" t="str">
            <v>CST0030162</v>
          </cell>
          <cell r="B1997" t="str">
            <v>EKA TOKO</v>
          </cell>
          <cell r="C1997">
            <v>370840.90909090906</v>
          </cell>
        </row>
        <row r="1998">
          <cell r="A1998" t="str">
            <v>CST0030251</v>
          </cell>
          <cell r="B1998" t="str">
            <v>ALMAERA</v>
          </cell>
          <cell r="C1998">
            <v>75600</v>
          </cell>
        </row>
        <row r="1999">
          <cell r="A1999" t="str">
            <v>CST0030284</v>
          </cell>
          <cell r="B1999" t="str">
            <v>HELMI</v>
          </cell>
          <cell r="C1999">
            <v>300910.90909090906</v>
          </cell>
        </row>
        <row r="2000">
          <cell r="A2000" t="str">
            <v>CST0030297</v>
          </cell>
          <cell r="B2000" t="str">
            <v>AZIZA STORE</v>
          </cell>
          <cell r="C2000">
            <v>16378974.681818185</v>
          </cell>
        </row>
        <row r="2001">
          <cell r="A2001" t="str">
            <v>CST0030396</v>
          </cell>
          <cell r="B2001" t="str">
            <v xml:space="preserve">SRC KHUSNUL </v>
          </cell>
          <cell r="C2001">
            <v>317863.63636363635</v>
          </cell>
        </row>
        <row r="2002">
          <cell r="A2002" t="str">
            <v>CST0030411</v>
          </cell>
          <cell r="B2002" t="str">
            <v>MARWAN BERKAH</v>
          </cell>
          <cell r="C2002">
            <v>223100</v>
          </cell>
        </row>
        <row r="2003">
          <cell r="A2003" t="str">
            <v>CST0030546</v>
          </cell>
          <cell r="B2003" t="str">
            <v>NADIN/LILIK</v>
          </cell>
          <cell r="C2003">
            <v>858718.09090909082</v>
          </cell>
        </row>
        <row r="2004">
          <cell r="A2004" t="str">
            <v>CST0030572</v>
          </cell>
          <cell r="B2004" t="str">
            <v xml:space="preserve">TOKO SHABIL KOSMETIK </v>
          </cell>
          <cell r="C2004">
            <v>26556640.909090906</v>
          </cell>
        </row>
        <row r="2005">
          <cell r="A2005" t="str">
            <v>CST0030711</v>
          </cell>
          <cell r="B2005" t="str">
            <v>NEISA SKINCARE</v>
          </cell>
          <cell r="C2005">
            <v>862939.09090909094</v>
          </cell>
        </row>
        <row r="2006">
          <cell r="A2006" t="str">
            <v>CST0030873</v>
          </cell>
          <cell r="B2006" t="str">
            <v>APOTEK ORYZA</v>
          </cell>
          <cell r="C2006">
            <v>423818.18181818177</v>
          </cell>
        </row>
        <row r="2007">
          <cell r="A2007" t="str">
            <v>CST0030915</v>
          </cell>
          <cell r="B2007" t="str">
            <v>HANIF MART</v>
          </cell>
          <cell r="C2007">
            <v>206702.5</v>
          </cell>
        </row>
        <row r="2008">
          <cell r="A2008" t="str">
            <v>CST0031242</v>
          </cell>
          <cell r="B2008" t="str">
            <v>GELORA FARMA</v>
          </cell>
          <cell r="C2008">
            <v>4531535.1818181826</v>
          </cell>
        </row>
        <row r="2009">
          <cell r="A2009" t="str">
            <v>CST0031390</v>
          </cell>
          <cell r="B2009" t="str">
            <v>TOKO IZZA</v>
          </cell>
          <cell r="C2009">
            <v>317863.63636363635</v>
          </cell>
        </row>
        <row r="2010">
          <cell r="A2010" t="str">
            <v>CST0031464</v>
          </cell>
          <cell r="B2010" t="str">
            <v>FARA LINGKAR BARAT</v>
          </cell>
          <cell r="C2010">
            <v>16650.000000000004</v>
          </cell>
        </row>
        <row r="2011">
          <cell r="A2011" t="str">
            <v>CST0031499</v>
          </cell>
          <cell r="B2011" t="str">
            <v>SP SWALAYAN</v>
          </cell>
          <cell r="C2011">
            <v>372813</v>
          </cell>
        </row>
        <row r="2012">
          <cell r="A2012" t="str">
            <v>CST0031568</v>
          </cell>
          <cell r="B2012" t="str">
            <v>JEAN SHOP</v>
          </cell>
          <cell r="C2012">
            <v>360101032.5454545</v>
          </cell>
        </row>
        <row r="2013">
          <cell r="A2013" t="str">
            <v>CST0031587</v>
          </cell>
          <cell r="B2013" t="str">
            <v>ALI RIZKY</v>
          </cell>
          <cell r="C2013">
            <v>466826.909090909</v>
          </cell>
        </row>
        <row r="2014">
          <cell r="A2014" t="str">
            <v>CST0031598</v>
          </cell>
          <cell r="B2014" t="str">
            <v>APOTIK AMAL FARMA</v>
          </cell>
          <cell r="C2014">
            <v>444452.72727272729</v>
          </cell>
        </row>
        <row r="2015">
          <cell r="A2015" t="str">
            <v>CST0031616</v>
          </cell>
          <cell r="B2015" t="str">
            <v>ALNAS 2</v>
          </cell>
          <cell r="C2015">
            <v>18542.045454545456</v>
          </cell>
        </row>
        <row r="2016">
          <cell r="A2016" t="str">
            <v>CST0031623</v>
          </cell>
          <cell r="B2016" t="str">
            <v>JOH SHOP</v>
          </cell>
          <cell r="C2016">
            <v>228861.81818181821</v>
          </cell>
        </row>
        <row r="2017">
          <cell r="A2017" t="str">
            <v>CST0031627</v>
          </cell>
          <cell r="B2017" t="str">
            <v>SUPRAPTI BAKSO</v>
          </cell>
          <cell r="C2017">
            <v>404484.63636363641</v>
          </cell>
        </row>
        <row r="2018">
          <cell r="A2018" t="str">
            <v>CST0031679</v>
          </cell>
          <cell r="B2018" t="str">
            <v>LUTFI STORE</v>
          </cell>
          <cell r="C2018">
            <v>2593493.2727272725</v>
          </cell>
        </row>
        <row r="2019">
          <cell r="A2019" t="str">
            <v>CST0031686</v>
          </cell>
          <cell r="B2019" t="str">
            <v>REZEKI FARMA</v>
          </cell>
          <cell r="C2019">
            <v>635727.27272727271</v>
          </cell>
        </row>
        <row r="2020">
          <cell r="A2020" t="str">
            <v>CST0031764</v>
          </cell>
          <cell r="B2020" t="str">
            <v>BERKAH KOSMETIK</v>
          </cell>
          <cell r="C2020">
            <v>4925011.6363636367</v>
          </cell>
        </row>
        <row r="2021">
          <cell r="A2021" t="str">
            <v>CST0031819</v>
          </cell>
          <cell r="B2021" t="str">
            <v>AZZA</v>
          </cell>
          <cell r="C2021">
            <v>185420.45454545453</v>
          </cell>
        </row>
        <row r="2022">
          <cell r="A2022" t="str">
            <v>CST0031970</v>
          </cell>
          <cell r="B2022" t="str">
            <v>KALEA ABADI</v>
          </cell>
          <cell r="C2022">
            <v>428559.54545454547</v>
          </cell>
        </row>
        <row r="2023">
          <cell r="A2023" t="str">
            <v>CST0032126</v>
          </cell>
          <cell r="B2023" t="str">
            <v>TOKO SLAMET SADIDIN</v>
          </cell>
          <cell r="C2023">
            <v>337908</v>
          </cell>
        </row>
        <row r="2024">
          <cell r="A2024" t="str">
            <v>CST0032178</v>
          </cell>
          <cell r="B2024" t="str">
            <v>TOKO MBA YUNI</v>
          </cell>
          <cell r="C2024">
            <v>66600.000000000015</v>
          </cell>
        </row>
        <row r="2025">
          <cell r="A2025" t="str">
            <v>CST0032238</v>
          </cell>
          <cell r="B2025" t="str">
            <v>APOTIK LUMINTU</v>
          </cell>
          <cell r="C2025">
            <v>1353139.4545454546</v>
          </cell>
        </row>
        <row r="2026">
          <cell r="A2026" t="str">
            <v>CST0032253</v>
          </cell>
          <cell r="B2026" t="str">
            <v>JIHAN PARFUM &amp; KOSMETIK</v>
          </cell>
          <cell r="C2026">
            <v>1014708</v>
          </cell>
        </row>
        <row r="2027">
          <cell r="A2027" t="str">
            <v>CST0032259</v>
          </cell>
          <cell r="B2027" t="str">
            <v>NYONYA FASHION</v>
          </cell>
          <cell r="C2027">
            <v>28207967.863636374</v>
          </cell>
        </row>
        <row r="2028">
          <cell r="A2028" t="str">
            <v>CST0032338</v>
          </cell>
          <cell r="B2028" t="str">
            <v>APOTIK ANDHIKA FARMA</v>
          </cell>
          <cell r="C2028">
            <v>214684.09090909091</v>
          </cell>
        </row>
        <row r="2029">
          <cell r="A2029" t="str">
            <v>CST0032371</v>
          </cell>
          <cell r="B2029" t="str">
            <v>YULIANTI</v>
          </cell>
          <cell r="C2029">
            <v>168450</v>
          </cell>
        </row>
        <row r="2030">
          <cell r="A2030" t="str">
            <v>CST0032440</v>
          </cell>
          <cell r="B2030" t="str">
            <v>BUDE CAHAYA</v>
          </cell>
          <cell r="C2030">
            <v>0</v>
          </cell>
        </row>
        <row r="2031">
          <cell r="A2031" t="str">
            <v>CST0032492</v>
          </cell>
          <cell r="B2031" t="str">
            <v>TOKO NUNUNG</v>
          </cell>
          <cell r="C2031">
            <v>4127989.2272727275</v>
          </cell>
        </row>
        <row r="2032">
          <cell r="A2032" t="str">
            <v>CST0032498</v>
          </cell>
          <cell r="B2032" t="str">
            <v xml:space="preserve">FORMOSA MART </v>
          </cell>
          <cell r="C2032">
            <v>232989.54545454547</v>
          </cell>
        </row>
        <row r="2033">
          <cell r="A2033" t="str">
            <v>CST0032499</v>
          </cell>
          <cell r="B2033" t="str">
            <v>RATIH COSMETIK</v>
          </cell>
          <cell r="C2033">
            <v>283200</v>
          </cell>
        </row>
        <row r="2034">
          <cell r="A2034" t="str">
            <v>CST0032500</v>
          </cell>
          <cell r="B2034" t="str">
            <v>AMEL COSMETIK</v>
          </cell>
          <cell r="C2034">
            <v>444000.00000000006</v>
          </cell>
        </row>
        <row r="2035">
          <cell r="A2035" t="str">
            <v>CST0032634</v>
          </cell>
          <cell r="B2035" t="str">
            <v>TOKO LASTRI</v>
          </cell>
          <cell r="C2035">
            <v>406363.63636363635</v>
          </cell>
        </row>
        <row r="2036">
          <cell r="A2036" t="str">
            <v>CST0032729</v>
          </cell>
          <cell r="B2036" t="str">
            <v>APT. ALMAHYRA</v>
          </cell>
          <cell r="C2036">
            <v>38143.636363636368</v>
          </cell>
        </row>
        <row r="2037">
          <cell r="A2037" t="str">
            <v>CST0032757</v>
          </cell>
          <cell r="B2037" t="str">
            <v>IZZI LAIS</v>
          </cell>
          <cell r="C2037">
            <v>635726.18181818177</v>
          </cell>
        </row>
        <row r="2038">
          <cell r="A2038" t="str">
            <v>CST0033024</v>
          </cell>
          <cell r="B2038" t="str">
            <v>C2 TOKO</v>
          </cell>
          <cell r="C2038">
            <v>141979.09090909091</v>
          </cell>
        </row>
        <row r="2039">
          <cell r="A2039" t="str">
            <v>CST0033066</v>
          </cell>
          <cell r="B2039" t="str">
            <v>ARITONANG</v>
          </cell>
          <cell r="C2039">
            <v>112636</v>
          </cell>
        </row>
        <row r="2040">
          <cell r="A2040" t="str">
            <v>CST0033111</v>
          </cell>
          <cell r="B2040" t="str">
            <v>SYAUQI</v>
          </cell>
          <cell r="C2040">
            <v>3070022.5</v>
          </cell>
        </row>
        <row r="2041">
          <cell r="A2041" t="str">
            <v>CST0033141</v>
          </cell>
          <cell r="B2041" t="str">
            <v>LAXMI KOSMETIK</v>
          </cell>
          <cell r="C2041">
            <v>176541.81818181815</v>
          </cell>
        </row>
        <row r="2042">
          <cell r="A2042" t="str">
            <v>CST0033156</v>
          </cell>
          <cell r="B2042" t="str">
            <v>VIA PINK SHOP</v>
          </cell>
          <cell r="C2042">
            <v>9280668.0454545505</v>
          </cell>
        </row>
        <row r="2043">
          <cell r="A2043" t="str">
            <v>CST0033224</v>
          </cell>
          <cell r="B2043" t="str">
            <v>RIKA</v>
          </cell>
          <cell r="C2043">
            <v>145309.09090909091</v>
          </cell>
        </row>
        <row r="2044">
          <cell r="A2044" t="str">
            <v>CST0033235</v>
          </cell>
          <cell r="B2044" t="str">
            <v>MA MART</v>
          </cell>
          <cell r="C2044">
            <v>54945</v>
          </cell>
        </row>
        <row r="2045">
          <cell r="A2045" t="str">
            <v>CST0033277</v>
          </cell>
          <cell r="B2045" t="str">
            <v xml:space="preserve">AHMAD JUHAIRI </v>
          </cell>
          <cell r="C2045">
            <v>133700</v>
          </cell>
        </row>
        <row r="2046">
          <cell r="A2046" t="str">
            <v>CST0033376</v>
          </cell>
          <cell r="B2046" t="str">
            <v>NADEERA KOSMETIK</v>
          </cell>
          <cell r="C2046">
            <v>2292105.8181818184</v>
          </cell>
        </row>
        <row r="2047">
          <cell r="A2047" t="str">
            <v>CST0033477</v>
          </cell>
          <cell r="B2047" t="str">
            <v>TOKO MENTARI</v>
          </cell>
          <cell r="C2047">
            <v>0</v>
          </cell>
        </row>
        <row r="2048">
          <cell r="A2048" t="str">
            <v>CST0033527</v>
          </cell>
          <cell r="B2048" t="str">
            <v>VIO</v>
          </cell>
          <cell r="C2048">
            <v>344352.27272727265</v>
          </cell>
        </row>
        <row r="2049">
          <cell r="A2049" t="str">
            <v>CST0033560</v>
          </cell>
          <cell r="B2049" t="str">
            <v xml:space="preserve">Gallery RJ </v>
          </cell>
          <cell r="C2049">
            <v>4620764.1818181854</v>
          </cell>
        </row>
        <row r="2050">
          <cell r="A2050" t="str">
            <v>CST0033561</v>
          </cell>
          <cell r="B2050" t="str">
            <v>FAEZA KOSMETIK</v>
          </cell>
          <cell r="C2050">
            <v>898677.54545454541</v>
          </cell>
        </row>
        <row r="2051">
          <cell r="A2051" t="str">
            <v>CST0033596</v>
          </cell>
          <cell r="B2051" t="str">
            <v>GALLERY KOSMETIK</v>
          </cell>
          <cell r="C2051">
            <v>2934897.4090909092</v>
          </cell>
        </row>
        <row r="2052">
          <cell r="A2052" t="str">
            <v>CST0033653</v>
          </cell>
          <cell r="B2052" t="str">
            <v>PAK EKO KOSMETIK</v>
          </cell>
          <cell r="C2052">
            <v>150600</v>
          </cell>
        </row>
        <row r="2053">
          <cell r="A2053" t="str">
            <v>CST0033720</v>
          </cell>
          <cell r="B2053" t="str">
            <v>MIA IPUH</v>
          </cell>
          <cell r="C2053">
            <v>317863.63636363635</v>
          </cell>
        </row>
        <row r="2054">
          <cell r="A2054" t="str">
            <v>CST0033777</v>
          </cell>
          <cell r="B2054" t="str">
            <v>REZVAN</v>
          </cell>
          <cell r="C2054">
            <v>662215.90909090894</v>
          </cell>
        </row>
        <row r="2055">
          <cell r="A2055" t="str">
            <v>CST0033801</v>
          </cell>
          <cell r="B2055" t="str">
            <v>APT NAOMI</v>
          </cell>
          <cell r="C2055">
            <v>143542.04545454547</v>
          </cell>
        </row>
        <row r="2056">
          <cell r="A2056" t="str">
            <v>CST0033828</v>
          </cell>
          <cell r="B2056" t="str">
            <v>TOKO TIKA</v>
          </cell>
          <cell r="C2056">
            <v>569863.63636363635</v>
          </cell>
        </row>
        <row r="2057">
          <cell r="A2057" t="str">
            <v>CST0033848</v>
          </cell>
          <cell r="B2057" t="str">
            <v>MURAH MART</v>
          </cell>
          <cell r="C2057">
            <v>597129.54545454541</v>
          </cell>
        </row>
        <row r="2058">
          <cell r="A2058" t="str">
            <v>CST0034407</v>
          </cell>
          <cell r="B2058" t="str">
            <v>RINI KOSMETIK</v>
          </cell>
          <cell r="C2058">
            <v>177600.00000000003</v>
          </cell>
        </row>
        <row r="2059">
          <cell r="A2059" t="str">
            <v>CST0034489</v>
          </cell>
          <cell r="B2059" t="str">
            <v>TOKO EKA</v>
          </cell>
          <cell r="C2059">
            <v>52977.636363636368</v>
          </cell>
        </row>
        <row r="2060">
          <cell r="A2060" t="str">
            <v>CST0034549</v>
          </cell>
          <cell r="B2060" t="str">
            <v>TOKO RESTU BUNDA</v>
          </cell>
          <cell r="C2060">
            <v>523068.63636363641</v>
          </cell>
        </row>
        <row r="2061">
          <cell r="A2061" t="str">
            <v>CST0034614</v>
          </cell>
          <cell r="B2061" t="str">
            <v>NOVI</v>
          </cell>
          <cell r="C2061">
            <v>972700.90909090918</v>
          </cell>
        </row>
        <row r="2062">
          <cell r="A2062" t="str">
            <v>CST0034627</v>
          </cell>
          <cell r="B2062" t="str">
            <v>TOKO ACS</v>
          </cell>
          <cell r="C2062">
            <v>0</v>
          </cell>
        </row>
        <row r="2063">
          <cell r="A2063" t="str">
            <v>CST0034647</v>
          </cell>
          <cell r="B2063" t="str">
            <v>WASERBA NIKOLA MART</v>
          </cell>
          <cell r="C2063">
            <v>79465.909090909088</v>
          </cell>
        </row>
        <row r="2064">
          <cell r="A2064" t="str">
            <v>CST0034705</v>
          </cell>
          <cell r="B2064" t="str">
            <v>BUSTONI KOSMETIK</v>
          </cell>
          <cell r="C2064">
            <v>264886.36363636359</v>
          </cell>
        </row>
        <row r="2065">
          <cell r="A2065" t="str">
            <v>CST0034760</v>
          </cell>
          <cell r="B2065" t="str">
            <v>ENI BABY SHOP</v>
          </cell>
          <cell r="C2065">
            <v>2832092.7272727271</v>
          </cell>
        </row>
        <row r="2066">
          <cell r="A2066" t="str">
            <v>CST0034775</v>
          </cell>
          <cell r="B2066" t="str">
            <v xml:space="preserve">SAHABAT KOSMETIK </v>
          </cell>
          <cell r="C2066">
            <v>266400.00000000006</v>
          </cell>
        </row>
        <row r="2067">
          <cell r="A2067" t="str">
            <v>CST0034944</v>
          </cell>
          <cell r="B2067" t="str">
            <v>IDA KOSMETIK</v>
          </cell>
          <cell r="C2067">
            <v>207400</v>
          </cell>
        </row>
        <row r="2068">
          <cell r="A2068" t="str">
            <v>CST0034986</v>
          </cell>
          <cell r="B2068" t="str">
            <v>ZELINE KOSMETIK</v>
          </cell>
          <cell r="C2068">
            <v>1912217.6363636362</v>
          </cell>
        </row>
        <row r="2069">
          <cell r="A2069" t="str">
            <v>CST0035051</v>
          </cell>
          <cell r="B2069" t="str">
            <v xml:space="preserve">MAKE UP STORE </v>
          </cell>
          <cell r="C2069">
            <v>18507253.636363633</v>
          </cell>
        </row>
        <row r="2070">
          <cell r="A2070" t="str">
            <v>CST0035068</v>
          </cell>
          <cell r="B2070" t="str">
            <v>TOKO ALBY</v>
          </cell>
          <cell r="C2070">
            <v>3288326.1818181821</v>
          </cell>
        </row>
        <row r="2071">
          <cell r="A2071" t="str">
            <v>CST0035202</v>
          </cell>
          <cell r="B2071" t="str">
            <v>RINA KOSMETIK</v>
          </cell>
          <cell r="C2071">
            <v>679089.18181818177</v>
          </cell>
        </row>
        <row r="2072">
          <cell r="A2072" t="str">
            <v>CST0035227</v>
          </cell>
          <cell r="B2072" t="str">
            <v>DESY FASHION</v>
          </cell>
          <cell r="C2072">
            <v>709137.27272727271</v>
          </cell>
        </row>
        <row r="2073">
          <cell r="A2073" t="str">
            <v>CST0035239</v>
          </cell>
          <cell r="B2073" t="str">
            <v>DESY FASHION</v>
          </cell>
          <cell r="C2073">
            <v>12652446.363636371</v>
          </cell>
        </row>
        <row r="2074">
          <cell r="A2074" t="str">
            <v>CST0035270</v>
          </cell>
          <cell r="B2074" t="str">
            <v>COSME KOSMETIK</v>
          </cell>
          <cell r="C2074">
            <v>2516874.5454545454</v>
          </cell>
        </row>
        <row r="2075">
          <cell r="A2075" t="str">
            <v>CST0035425</v>
          </cell>
          <cell r="B2075" t="str">
            <v>SUKADAMAI MART</v>
          </cell>
          <cell r="C2075">
            <v>293100</v>
          </cell>
        </row>
        <row r="2076">
          <cell r="A2076" t="str">
            <v>CST0035470</v>
          </cell>
          <cell r="B2076" t="str">
            <v>SAKA MART</v>
          </cell>
          <cell r="C2076">
            <v>300381.13636363629</v>
          </cell>
        </row>
        <row r="2077">
          <cell r="A2077" t="str">
            <v>CST0035506</v>
          </cell>
          <cell r="B2077" t="str">
            <v>PT. BERSAMA GLAMINDO INDONESIA</v>
          </cell>
          <cell r="C2077">
            <v>21089643.000000004</v>
          </cell>
        </row>
        <row r="2078">
          <cell r="A2078" t="str">
            <v>CST0035520</v>
          </cell>
          <cell r="B2078" t="str">
            <v>LARAS SHOP</v>
          </cell>
          <cell r="C2078">
            <v>14439600</v>
          </cell>
        </row>
        <row r="2079">
          <cell r="A2079" t="str">
            <v>CST0035569</v>
          </cell>
          <cell r="B2079" t="str">
            <v>TOKO AWAN</v>
          </cell>
          <cell r="C2079">
            <v>428863.63636363629</v>
          </cell>
        </row>
        <row r="2080">
          <cell r="A2080" t="str">
            <v>CST0035596</v>
          </cell>
          <cell r="B2080" t="str">
            <v>LR KOSMETIK</v>
          </cell>
          <cell r="C2080">
            <v>1605722.7272727271</v>
          </cell>
        </row>
        <row r="2081">
          <cell r="A2081" t="str">
            <v>CST0035599</v>
          </cell>
          <cell r="B2081" t="str">
            <v>MM JAYA ABADI</v>
          </cell>
          <cell r="C2081">
            <v>1194849.5454545456</v>
          </cell>
        </row>
        <row r="2082">
          <cell r="A2082" t="str">
            <v>CST0035656</v>
          </cell>
          <cell r="B2082" t="str">
            <v>DYNA</v>
          </cell>
          <cell r="C2082">
            <v>588551.18181818177</v>
          </cell>
        </row>
        <row r="2083">
          <cell r="A2083" t="str">
            <v>CST0035675</v>
          </cell>
          <cell r="B2083" t="str">
            <v>TOKO RIZKY</v>
          </cell>
          <cell r="C2083">
            <v>22200</v>
          </cell>
        </row>
        <row r="2084">
          <cell r="A2084" t="str">
            <v>CST0035697</v>
          </cell>
          <cell r="B2084" t="str">
            <v>PAK BADRUN</v>
          </cell>
          <cell r="C2084">
            <v>1031792.0909090909</v>
          </cell>
        </row>
        <row r="2085">
          <cell r="A2085" t="str">
            <v>CST0035723</v>
          </cell>
          <cell r="B2085" t="str">
            <v>AMESTUF</v>
          </cell>
          <cell r="C2085">
            <v>4942828.0909090918</v>
          </cell>
        </row>
        <row r="2086">
          <cell r="A2086" t="str">
            <v>CST0035762</v>
          </cell>
          <cell r="B2086" t="str">
            <v xml:space="preserve">RIKA </v>
          </cell>
          <cell r="C2086">
            <v>16650.000000000004</v>
          </cell>
        </row>
        <row r="2087">
          <cell r="A2087" t="str">
            <v>CST0035774</v>
          </cell>
          <cell r="B2087" t="str">
            <v>UCOK MANNA</v>
          </cell>
          <cell r="C2087">
            <v>6325975.2272727266</v>
          </cell>
        </row>
        <row r="2088">
          <cell r="A2088" t="str">
            <v>CST0035977</v>
          </cell>
          <cell r="B2088" t="str">
            <v>TOKO FATAN</v>
          </cell>
          <cell r="C2088">
            <v>425180.45454545441</v>
          </cell>
        </row>
        <row r="2089">
          <cell r="A2089" t="str">
            <v>CST0036122</v>
          </cell>
          <cell r="B2089" t="str">
            <v xml:space="preserve">HAWWA PASSION </v>
          </cell>
          <cell r="C2089">
            <v>32453227.363636367</v>
          </cell>
        </row>
        <row r="2090">
          <cell r="A2090" t="str">
            <v>CST0036235</v>
          </cell>
          <cell r="B2090" t="str">
            <v>TOKO AYU</v>
          </cell>
          <cell r="C2090">
            <v>26488.636363636364</v>
          </cell>
        </row>
        <row r="2091">
          <cell r="A2091" t="str">
            <v>CST0036267</v>
          </cell>
          <cell r="B2091" t="str">
            <v>TOKO ROLUS</v>
          </cell>
          <cell r="C2091">
            <v>927861.27272727271</v>
          </cell>
        </row>
        <row r="2092">
          <cell r="A2092" t="str">
            <v>CST0036319</v>
          </cell>
          <cell r="B2092" t="str">
            <v>ELVA DC</v>
          </cell>
          <cell r="C2092">
            <v>240668.18181818182</v>
          </cell>
        </row>
        <row r="2093">
          <cell r="A2093" t="str">
            <v>CST0036325</v>
          </cell>
          <cell r="B2093" t="str">
            <v>TOKO KRING-KRING</v>
          </cell>
          <cell r="C2093">
            <v>1300324.0909090908</v>
          </cell>
        </row>
        <row r="2094">
          <cell r="A2094" t="str">
            <v>CST0036333</v>
          </cell>
          <cell r="B2094" t="str">
            <v>KEN KEN</v>
          </cell>
          <cell r="C2094">
            <v>22780.227272727272</v>
          </cell>
        </row>
        <row r="2095">
          <cell r="A2095" t="str">
            <v>CST0036452</v>
          </cell>
          <cell r="B2095" t="str">
            <v>HADI</v>
          </cell>
          <cell r="C2095">
            <v>1708507.3636363642</v>
          </cell>
        </row>
        <row r="2096">
          <cell r="A2096" t="str">
            <v>CST0036485</v>
          </cell>
          <cell r="B2096" t="str">
            <v>APOTIK PARVEEN</v>
          </cell>
          <cell r="C2096">
            <v>452154</v>
          </cell>
        </row>
        <row r="2097">
          <cell r="A2097" t="str">
            <v>CST0036507</v>
          </cell>
          <cell r="B2097" t="str">
            <v>SUCI COLLECTION</v>
          </cell>
          <cell r="C2097">
            <v>6041854.0909090918</v>
          </cell>
        </row>
        <row r="2098">
          <cell r="A2098" t="str">
            <v>CST0036593</v>
          </cell>
          <cell r="B2098" t="str">
            <v>NAVLA MART</v>
          </cell>
          <cell r="C2098">
            <v>792418.95454545447</v>
          </cell>
        </row>
        <row r="2099">
          <cell r="A2099" t="str">
            <v>CST0036633</v>
          </cell>
          <cell r="B2099" t="str">
            <v>INDAH COSMETIC</v>
          </cell>
          <cell r="C2099">
            <v>579690.90909090918</v>
          </cell>
        </row>
        <row r="2100">
          <cell r="A2100" t="str">
            <v>CST0036653</v>
          </cell>
          <cell r="B2100" t="str">
            <v>TOKO HEI</v>
          </cell>
          <cell r="C2100">
            <v>16650.000000000004</v>
          </cell>
        </row>
        <row r="2101">
          <cell r="A2101" t="str">
            <v>CST0036676</v>
          </cell>
          <cell r="B2101" t="str">
            <v>APT. NAMEERA</v>
          </cell>
          <cell r="C2101">
            <v>827900</v>
          </cell>
        </row>
        <row r="2102">
          <cell r="A2102" t="str">
            <v>CST0036728</v>
          </cell>
          <cell r="B2102" t="str">
            <v>LUHRETTA SHOP KOSMETIK</v>
          </cell>
          <cell r="C2102">
            <v>762885.81818181823</v>
          </cell>
        </row>
        <row r="2103">
          <cell r="A2103" t="str">
            <v>CST0036771</v>
          </cell>
          <cell r="B2103" t="str">
            <v xml:space="preserve">NOUNA SHOP KOSMETIK </v>
          </cell>
          <cell r="C2103">
            <v>2619142.0909090908</v>
          </cell>
        </row>
        <row r="2104">
          <cell r="A2104" t="str">
            <v>CST0036816</v>
          </cell>
          <cell r="B2104" t="str">
            <v>TK LINA</v>
          </cell>
          <cell r="C2104">
            <v>368721.81818181823</v>
          </cell>
        </row>
        <row r="2105">
          <cell r="A2105" t="str">
            <v>CST0036819</v>
          </cell>
          <cell r="B2105" t="str">
            <v>NAFALINDO 2</v>
          </cell>
          <cell r="C2105">
            <v>239154.54545454547</v>
          </cell>
        </row>
        <row r="2106">
          <cell r="A2106" t="str">
            <v>CST0036903</v>
          </cell>
          <cell r="B2106" t="str">
            <v>PUTRI UJANG 2</v>
          </cell>
          <cell r="C2106">
            <v>2903400.0909090908</v>
          </cell>
        </row>
        <row r="2107">
          <cell r="A2107" t="str">
            <v>CST0036917</v>
          </cell>
          <cell r="B2107" t="str">
            <v>SRC ALIF</v>
          </cell>
          <cell r="C2107">
            <v>386063.63636363641</v>
          </cell>
        </row>
        <row r="2108">
          <cell r="A2108" t="str">
            <v>CST0036925</v>
          </cell>
          <cell r="B2108" t="str">
            <v>3 PUTRI</v>
          </cell>
          <cell r="C2108">
            <v>370840.90909090906</v>
          </cell>
        </row>
        <row r="2109">
          <cell r="A2109" t="str">
            <v>CST0036958</v>
          </cell>
          <cell r="B2109" t="str">
            <v>ADDA</v>
          </cell>
          <cell r="C2109">
            <v>24218.18181818182</v>
          </cell>
        </row>
        <row r="2110">
          <cell r="A2110" t="str">
            <v>CST0037043</v>
          </cell>
          <cell r="B2110" t="str">
            <v>TK HANNY</v>
          </cell>
          <cell r="C2110">
            <v>79465.909090909088</v>
          </cell>
        </row>
        <row r="2111">
          <cell r="A2111" t="str">
            <v>CST0037083</v>
          </cell>
          <cell r="B2111" t="str">
            <v>TOKO KACA</v>
          </cell>
          <cell r="C2111">
            <v>1808211.0454545452</v>
          </cell>
        </row>
        <row r="2112">
          <cell r="A2112" t="str">
            <v>CST0037089</v>
          </cell>
          <cell r="B2112" t="str">
            <v>QUEEN STORE</v>
          </cell>
          <cell r="C2112">
            <v>850908</v>
          </cell>
        </row>
        <row r="2113">
          <cell r="A2113" t="str">
            <v>CST0037125</v>
          </cell>
          <cell r="B2113" t="str">
            <v>T.O FAMILY</v>
          </cell>
          <cell r="C2113">
            <v>105954</v>
          </cell>
        </row>
        <row r="2114">
          <cell r="A2114" t="str">
            <v>CST0037254</v>
          </cell>
          <cell r="B2114" t="str">
            <v>ILHAM PONDOK SUGUH</v>
          </cell>
          <cell r="C2114">
            <v>238397.72727272729</v>
          </cell>
        </row>
        <row r="2115">
          <cell r="A2115" t="str">
            <v>CST0037290</v>
          </cell>
          <cell r="B2115" t="str">
            <v>HI BEAUTY</v>
          </cell>
          <cell r="C2115">
            <v>1591176.136363636</v>
          </cell>
        </row>
        <row r="2116">
          <cell r="A2116" t="str">
            <v>CST0037489</v>
          </cell>
          <cell r="B2116" t="str">
            <v>HERYANSYAH</v>
          </cell>
          <cell r="C2116">
            <v>108073.63636363637</v>
          </cell>
        </row>
        <row r="2117">
          <cell r="A2117" t="str">
            <v>CST0037641</v>
          </cell>
          <cell r="B2117" t="str">
            <v>TK ABBASYI</v>
          </cell>
          <cell r="C2117">
            <v>16650.000000000004</v>
          </cell>
        </row>
        <row r="2118">
          <cell r="A2118" t="str">
            <v>CST0037669</v>
          </cell>
          <cell r="B2118" t="str">
            <v>TOKO FATHAR</v>
          </cell>
          <cell r="C2118">
            <v>59000</v>
          </cell>
        </row>
        <row r="2119">
          <cell r="A2119" t="str">
            <v>CST0037833</v>
          </cell>
          <cell r="B2119" t="str">
            <v>SUGIARTO</v>
          </cell>
          <cell r="C2119">
            <v>247393</v>
          </cell>
        </row>
        <row r="2120">
          <cell r="A2120" t="str">
            <v>CST0037857</v>
          </cell>
          <cell r="B2120" t="str">
            <v>AMANDA SHOP</v>
          </cell>
          <cell r="C2120">
            <v>7053877.8181818184</v>
          </cell>
        </row>
        <row r="2121">
          <cell r="A2121" t="str">
            <v>CST0037866</v>
          </cell>
          <cell r="B2121" t="str">
            <v>MARKET HOME</v>
          </cell>
          <cell r="C2121">
            <v>918763.63636363635</v>
          </cell>
        </row>
        <row r="2122">
          <cell r="A2122" t="str">
            <v>CST0037873</v>
          </cell>
          <cell r="B2122" t="str">
            <v>MAY VANIE LAROSA GIRSANG</v>
          </cell>
          <cell r="C2122">
            <v>57200</v>
          </cell>
        </row>
        <row r="2123">
          <cell r="A2123" t="str">
            <v>CST0037906</v>
          </cell>
          <cell r="B2123" t="str">
            <v>NAOMI BEAUTY</v>
          </cell>
          <cell r="C2123">
            <v>244200.00000000003</v>
          </cell>
        </row>
        <row r="2124">
          <cell r="A2124" t="str">
            <v>CST0037990</v>
          </cell>
          <cell r="B2124" t="str">
            <v>TOP MART</v>
          </cell>
          <cell r="C2124">
            <v>18720832.90909091</v>
          </cell>
        </row>
        <row r="2125">
          <cell r="A2125" t="str">
            <v>CST0038006</v>
          </cell>
          <cell r="B2125" t="str">
            <v>TIKTOK KOSMETIK</v>
          </cell>
          <cell r="C2125">
            <v>291234</v>
          </cell>
        </row>
        <row r="2126">
          <cell r="A2126" t="str">
            <v>CST0038009</v>
          </cell>
          <cell r="B2126" t="str">
            <v>ANNAYA BEAUTY</v>
          </cell>
          <cell r="C2126">
            <v>264886.36363636365</v>
          </cell>
        </row>
        <row r="2127">
          <cell r="A2127" t="str">
            <v>CST0038029</v>
          </cell>
          <cell r="B2127" t="str">
            <v>KOSMETIK MAHARANI</v>
          </cell>
          <cell r="C2127">
            <v>1785637.0909090906</v>
          </cell>
        </row>
        <row r="2128">
          <cell r="A2128" t="str">
            <v>CST0038044</v>
          </cell>
          <cell r="B2128" t="str">
            <v>GEAUTY STORE</v>
          </cell>
          <cell r="C2128">
            <v>8438528.363636367</v>
          </cell>
        </row>
        <row r="2129">
          <cell r="A2129" t="str">
            <v>CST0038087</v>
          </cell>
          <cell r="B2129" t="str">
            <v>Y DAN H</v>
          </cell>
          <cell r="C2129">
            <v>1715584.0909090906</v>
          </cell>
        </row>
        <row r="2130">
          <cell r="A2130" t="str">
            <v>CST0038216</v>
          </cell>
          <cell r="B2130" t="str">
            <v>TK AMY</v>
          </cell>
          <cell r="C2130">
            <v>25000</v>
          </cell>
        </row>
        <row r="2131">
          <cell r="A2131" t="str">
            <v>CST0038244</v>
          </cell>
          <cell r="B2131" t="str">
            <v>SHINTA EDP_CAPLANG</v>
          </cell>
          <cell r="C2131">
            <v>54489</v>
          </cell>
        </row>
        <row r="2132">
          <cell r="A2132" t="str">
            <v>CST0038257</v>
          </cell>
          <cell r="B2132" t="str">
            <v>SUKANI</v>
          </cell>
          <cell r="C2132">
            <v>72654.545454545456</v>
          </cell>
        </row>
        <row r="2133">
          <cell r="A2133" t="str">
            <v>CST0038277</v>
          </cell>
          <cell r="B2133" t="str">
            <v>NOVIA ANDRIYANI</v>
          </cell>
          <cell r="C2133">
            <v>72805.909090909088</v>
          </cell>
        </row>
        <row r="2134">
          <cell r="A2134" t="str">
            <v>CST0038611</v>
          </cell>
          <cell r="B2134" t="str">
            <v>APOTEK MUTIARA JAYA FARMA</v>
          </cell>
          <cell r="C2134">
            <v>553800</v>
          </cell>
        </row>
        <row r="2135">
          <cell r="A2135" t="str">
            <v>CST0038634</v>
          </cell>
          <cell r="B2135" t="str">
            <v>TK BERKAH / PENGKOLANG</v>
          </cell>
          <cell r="C2135">
            <v>936981.27272727247</v>
          </cell>
        </row>
        <row r="2136">
          <cell r="A2136" t="str">
            <v>CST0038646</v>
          </cell>
          <cell r="B2136" t="str">
            <v>SRC LILI</v>
          </cell>
          <cell r="C2136">
            <v>0</v>
          </cell>
        </row>
        <row r="2137">
          <cell r="A2137" t="str">
            <v>CST0038754</v>
          </cell>
          <cell r="B2137" t="str">
            <v>MANTAN KARYAWAN</v>
          </cell>
          <cell r="C2137">
            <v>56000</v>
          </cell>
        </row>
        <row r="2138">
          <cell r="A2138" t="str">
            <v>CST0038820</v>
          </cell>
          <cell r="B2138" t="str">
            <v>GALERY MAUZA</v>
          </cell>
          <cell r="C2138">
            <v>4598145.4545454551</v>
          </cell>
        </row>
        <row r="2139">
          <cell r="A2139" t="str">
            <v>CST0038826</v>
          </cell>
          <cell r="B2139" t="str">
            <v>ANAS SUPIR TLB</v>
          </cell>
          <cell r="C2139">
            <v>72980.227272727265</v>
          </cell>
        </row>
        <row r="2140">
          <cell r="A2140" t="str">
            <v>CST0038942</v>
          </cell>
          <cell r="B2140" t="str">
            <v>OPERA POOL CAFE BILIARD</v>
          </cell>
          <cell r="C2140">
            <v>331486.36363636359</v>
          </cell>
        </row>
        <row r="2141">
          <cell r="A2141" t="str">
            <v>CST0038966</v>
          </cell>
          <cell r="B2141" t="str">
            <v>IQBAL COLLECTION</v>
          </cell>
          <cell r="C2141">
            <v>471011.81818181812</v>
          </cell>
        </row>
        <row r="2142">
          <cell r="A2142" t="str">
            <v>CST0039018</v>
          </cell>
          <cell r="B2142" t="str">
            <v>NUANSA KOSMETIK</v>
          </cell>
          <cell r="C2142">
            <v>1593305.3181818179</v>
          </cell>
        </row>
        <row r="2143">
          <cell r="A2143" t="str">
            <v>CST0039039</v>
          </cell>
          <cell r="B2143" t="str">
            <v>RATU BEAUTY</v>
          </cell>
          <cell r="C2143">
            <v>6062385.5454545449</v>
          </cell>
        </row>
        <row r="2144">
          <cell r="A2144" t="str">
            <v>CST0039117</v>
          </cell>
          <cell r="B2144" t="str">
            <v>KANTOR MIX</v>
          </cell>
          <cell r="C2144">
            <v>62512740.090909094</v>
          </cell>
        </row>
        <row r="2145">
          <cell r="A2145" t="str">
            <v>CST0039201</v>
          </cell>
          <cell r="B2145" t="str">
            <v>TOKO SLP</v>
          </cell>
          <cell r="C2145">
            <v>9971221.3636363633</v>
          </cell>
        </row>
        <row r="2146">
          <cell r="A2146" t="str">
            <v>CST0039245</v>
          </cell>
          <cell r="B2146" t="str">
            <v>BUDE ROS</v>
          </cell>
          <cell r="C2146">
            <v>22780.227272727272</v>
          </cell>
        </row>
        <row r="2147">
          <cell r="A2147" t="str">
            <v>CST0039247</v>
          </cell>
          <cell r="B2147" t="str">
            <v>INDAH FAJAR WATI</v>
          </cell>
          <cell r="C2147">
            <v>61488.636363636368</v>
          </cell>
        </row>
        <row r="2148">
          <cell r="A2148" t="str">
            <v>CST0039248</v>
          </cell>
          <cell r="B2148" t="str">
            <v>TOKO FAJAR</v>
          </cell>
          <cell r="C2148">
            <v>-4.3655745685100555E-11</v>
          </cell>
        </row>
        <row r="2149">
          <cell r="A2149" t="str">
            <v>CST0039303</v>
          </cell>
          <cell r="B2149" t="str">
            <v>SRC SUGIANTO</v>
          </cell>
          <cell r="C2149">
            <v>257754.54545454547</v>
          </cell>
        </row>
        <row r="2150">
          <cell r="A2150" t="str">
            <v>CST0039304</v>
          </cell>
          <cell r="B2150" t="str">
            <v>TK KENZI</v>
          </cell>
          <cell r="C2150">
            <v>113400</v>
          </cell>
        </row>
        <row r="2151">
          <cell r="A2151" t="str">
            <v>CST0039318</v>
          </cell>
          <cell r="B2151" t="str">
            <v>EIZHA DAILY</v>
          </cell>
          <cell r="C2151">
            <v>18234741.818181816</v>
          </cell>
        </row>
        <row r="2152">
          <cell r="A2152" t="str">
            <v>CST0039339</v>
          </cell>
          <cell r="B2152" t="str">
            <v>GBU</v>
          </cell>
          <cell r="C2152">
            <v>382793.18181818177</v>
          </cell>
        </row>
        <row r="2153">
          <cell r="A2153" t="str">
            <v>CST0039517</v>
          </cell>
          <cell r="B2153" t="str">
            <v>TOKO EMI</v>
          </cell>
          <cell r="C2153">
            <v>354000</v>
          </cell>
        </row>
        <row r="2154">
          <cell r="A2154" t="str">
            <v>CST0039640</v>
          </cell>
          <cell r="B2154" t="str">
            <v>RJ TOSERBA</v>
          </cell>
          <cell r="C2154">
            <v>2386226.454545456</v>
          </cell>
        </row>
        <row r="2155">
          <cell r="A2155" t="str">
            <v>CST0039655</v>
          </cell>
          <cell r="B2155" t="str">
            <v>LAKEYS STORE</v>
          </cell>
          <cell r="C2155">
            <v>3164950.9090909087</v>
          </cell>
        </row>
        <row r="2156">
          <cell r="A2156" t="str">
            <v>CST0039661</v>
          </cell>
          <cell r="B2156" t="str">
            <v>AYRIZ KOSMETIK</v>
          </cell>
          <cell r="C2156">
            <v>158931.81818181818</v>
          </cell>
        </row>
        <row r="2157">
          <cell r="A2157" t="str">
            <v>CST0039668</v>
          </cell>
          <cell r="B2157" t="str">
            <v xml:space="preserve">BEAUTY STORE </v>
          </cell>
          <cell r="C2157">
            <v>2058105</v>
          </cell>
        </row>
        <row r="2158">
          <cell r="A2158" t="str">
            <v>CST0039669</v>
          </cell>
          <cell r="B2158" t="str">
            <v xml:space="preserve">SRC DEVI </v>
          </cell>
          <cell r="C2158">
            <v>24218.18181818182</v>
          </cell>
        </row>
        <row r="2159">
          <cell r="A2159" t="str">
            <v>CST0039691</v>
          </cell>
          <cell r="B2159" t="str">
            <v>BAROKAH JAYA</v>
          </cell>
          <cell r="C2159">
            <v>751329.5454545453</v>
          </cell>
        </row>
        <row r="2160">
          <cell r="A2160" t="str">
            <v>CST0039785</v>
          </cell>
          <cell r="B2160" t="str">
            <v>KANAYA SKINCARE</v>
          </cell>
          <cell r="C2160">
            <v>1886398.9090909092</v>
          </cell>
        </row>
        <row r="2161">
          <cell r="A2161" t="str">
            <v>CST0039801</v>
          </cell>
          <cell r="B2161" t="str">
            <v>TK MADSOPINI</v>
          </cell>
          <cell r="C2161">
            <v>317863.63636363635</v>
          </cell>
        </row>
        <row r="2162">
          <cell r="A2162" t="str">
            <v>CST0039850</v>
          </cell>
          <cell r="B2162" t="str">
            <v>TOKO EKO</v>
          </cell>
          <cell r="C2162">
            <v>57000</v>
          </cell>
        </row>
        <row r="2163">
          <cell r="A2163" t="str">
            <v>CST0039879</v>
          </cell>
          <cell r="B2163" t="str">
            <v>MAS IKHWAN</v>
          </cell>
          <cell r="C2163">
            <v>169018</v>
          </cell>
        </row>
        <row r="2164">
          <cell r="A2164" t="str">
            <v>CST0039911</v>
          </cell>
          <cell r="B2164" t="str">
            <v>KARANG INDAH MALL (KIM)</v>
          </cell>
          <cell r="C2164">
            <v>2227416</v>
          </cell>
        </row>
        <row r="2165">
          <cell r="A2165" t="str">
            <v>CST0039934</v>
          </cell>
          <cell r="B2165" t="str">
            <v>JOVITA CELYN</v>
          </cell>
          <cell r="C2165">
            <v>48436.36363636364</v>
          </cell>
        </row>
        <row r="2166">
          <cell r="A2166" t="str">
            <v>CST0040002</v>
          </cell>
          <cell r="B2166" t="str">
            <v>NANI ASRIWARDANI</v>
          </cell>
          <cell r="C2166">
            <v>194454.54545454544</v>
          </cell>
        </row>
        <row r="2167">
          <cell r="A2167" t="str">
            <v>CST0040049</v>
          </cell>
          <cell r="B2167" t="str">
            <v>APOTIK LAMSER</v>
          </cell>
          <cell r="C2167">
            <v>649958.63636363624</v>
          </cell>
        </row>
        <row r="2168">
          <cell r="A2168" t="str">
            <v>CST0040060</v>
          </cell>
          <cell r="B2168" t="str">
            <v>ALDA KOSMETIK</v>
          </cell>
          <cell r="C2168">
            <v>431590</v>
          </cell>
        </row>
        <row r="2169">
          <cell r="A2169" t="str">
            <v>CST0040064</v>
          </cell>
          <cell r="B2169" t="str">
            <v>CK BEAUTY</v>
          </cell>
          <cell r="C2169">
            <v>133200.00000000003</v>
          </cell>
        </row>
        <row r="2170">
          <cell r="A2170" t="str">
            <v>CST0040142</v>
          </cell>
          <cell r="B2170" t="str">
            <v>PN  TOKO</v>
          </cell>
          <cell r="C2170">
            <v>23500</v>
          </cell>
        </row>
        <row r="2171">
          <cell r="A2171" t="str">
            <v>CST0040197</v>
          </cell>
          <cell r="B2171" t="str">
            <v>LAU</v>
          </cell>
          <cell r="C2171">
            <v>50000</v>
          </cell>
        </row>
        <row r="2172">
          <cell r="A2172" t="str">
            <v>CST0040229</v>
          </cell>
          <cell r="B2172" t="str">
            <v>EVA SAHABAT CANTIK</v>
          </cell>
          <cell r="C2172">
            <v>11455547.181818182</v>
          </cell>
        </row>
        <row r="2173">
          <cell r="A2173" t="str">
            <v>CST0040271</v>
          </cell>
          <cell r="B2173" t="str">
            <v>IVO</v>
          </cell>
          <cell r="C2173">
            <v>86977.272727272735</v>
          </cell>
        </row>
        <row r="2174">
          <cell r="A2174" t="str">
            <v>CST0040300</v>
          </cell>
          <cell r="B2174" t="str">
            <v>TOKO MONIC</v>
          </cell>
          <cell r="C2174">
            <v>343531.81818181818</v>
          </cell>
        </row>
        <row r="2175">
          <cell r="A2175" t="str">
            <v>CST0040317</v>
          </cell>
          <cell r="B2175" t="str">
            <v>LESTARI JAYA</v>
          </cell>
          <cell r="C2175">
            <v>687617.63636363624</v>
          </cell>
        </row>
        <row r="2176">
          <cell r="A2176" t="str">
            <v>CST0040342</v>
          </cell>
          <cell r="B2176" t="str">
            <v xml:space="preserve">EVA BEAUTY </v>
          </cell>
          <cell r="C2176">
            <v>7872600</v>
          </cell>
        </row>
        <row r="2177">
          <cell r="A2177" t="str">
            <v>CST0040351</v>
          </cell>
          <cell r="B2177" t="str">
            <v>ILHAM KOSMETIK</v>
          </cell>
          <cell r="C2177">
            <v>201061.36363636365</v>
          </cell>
        </row>
        <row r="2178">
          <cell r="A2178" t="str">
            <v>CST0040387</v>
          </cell>
          <cell r="B2178" t="str">
            <v>YUNMA STORE</v>
          </cell>
          <cell r="C2178">
            <v>675816</v>
          </cell>
        </row>
        <row r="2179">
          <cell r="A2179" t="str">
            <v>CST0040420</v>
          </cell>
          <cell r="B2179" t="str">
            <v>PT. MYLOVA GRUP INTERNASIONAL</v>
          </cell>
          <cell r="C2179">
            <v>19575409.636363637</v>
          </cell>
        </row>
        <row r="2180">
          <cell r="A2180" t="str">
            <v>CST0040531</v>
          </cell>
          <cell r="B2180" t="str">
            <v>LADIES ACCECORIES</v>
          </cell>
          <cell r="C2180">
            <v>6020105768.3504982</v>
          </cell>
        </row>
        <row r="2181">
          <cell r="A2181" t="str">
            <v>CST0040577</v>
          </cell>
          <cell r="B2181" t="str">
            <v>EKA WINARSIH SHOP</v>
          </cell>
          <cell r="C2181">
            <v>7169563.6363636367</v>
          </cell>
        </row>
        <row r="2182">
          <cell r="A2182" t="str">
            <v>CST0040578</v>
          </cell>
          <cell r="B2182" t="str">
            <v>APOTEK RADIKA FARMA</v>
          </cell>
          <cell r="C2182">
            <v>415000</v>
          </cell>
        </row>
        <row r="2183">
          <cell r="A2183" t="str">
            <v>CST0040611</v>
          </cell>
          <cell r="B2183" t="str">
            <v>INDAH AKSESORIS</v>
          </cell>
          <cell r="C2183">
            <v>1088547.2727272727</v>
          </cell>
        </row>
        <row r="2184">
          <cell r="A2184" t="str">
            <v>CST0040653</v>
          </cell>
          <cell r="B2184" t="str">
            <v>STHREE STORE</v>
          </cell>
          <cell r="C2184">
            <v>1665449.4545454555</v>
          </cell>
        </row>
        <row r="2185">
          <cell r="A2185" t="str">
            <v>CST0040682</v>
          </cell>
          <cell r="B2185" t="str">
            <v>SITI KOSMETIK</v>
          </cell>
          <cell r="C2185">
            <v>6874956.8181818193</v>
          </cell>
        </row>
        <row r="2186">
          <cell r="A2186" t="str">
            <v>CST0040696</v>
          </cell>
          <cell r="B2186" t="str">
            <v>GK KOSMETIK</v>
          </cell>
          <cell r="C2186">
            <v>384463.63636363635</v>
          </cell>
        </row>
        <row r="2187">
          <cell r="A2187" t="str">
            <v>CST0040705</v>
          </cell>
          <cell r="B2187" t="str">
            <v>PINGLEDGIRLS</v>
          </cell>
          <cell r="C2187">
            <v>17734369.909090906</v>
          </cell>
        </row>
        <row r="2188">
          <cell r="A2188" t="str">
            <v>CST0040727</v>
          </cell>
          <cell r="B2188" t="str">
            <v>YOGA SURYANTO</v>
          </cell>
          <cell r="C2188">
            <v>52978</v>
          </cell>
        </row>
        <row r="2189">
          <cell r="A2189" t="str">
            <v>CTRA-KL2</v>
          </cell>
          <cell r="B2189" t="str">
            <v>CITRA INDAH SWALAYAN</v>
          </cell>
          <cell r="C2189">
            <v>715951.09090909082</v>
          </cell>
        </row>
        <row r="2190">
          <cell r="A2190" t="str">
            <v>CTRAM</v>
          </cell>
          <cell r="B2190" t="str">
            <v>EKARIC CITRA RETAILINDO,PT</v>
          </cell>
          <cell r="C2190">
            <v>2297522.7272727275</v>
          </cell>
        </row>
        <row r="2191">
          <cell r="A2191" t="str">
            <v>D012</v>
          </cell>
          <cell r="B2191" t="str">
            <v>DEDE SETIA MART</v>
          </cell>
          <cell r="C2191">
            <v>266400.00000000006</v>
          </cell>
        </row>
        <row r="2192">
          <cell r="A2192" t="str">
            <v>D018</v>
          </cell>
          <cell r="B2192" t="str">
            <v>DINDA TAPAN</v>
          </cell>
          <cell r="C2192">
            <v>1888389.3181818184</v>
          </cell>
        </row>
        <row r="2193">
          <cell r="A2193" t="str">
            <v>D024</v>
          </cell>
          <cell r="B2193" t="str">
            <v>DOSEN PALANTA</v>
          </cell>
          <cell r="C2193">
            <v>702997.95454545459</v>
          </cell>
        </row>
        <row r="2194">
          <cell r="A2194" t="str">
            <v>D028</v>
          </cell>
          <cell r="B2194" t="str">
            <v>DAYU MART KALAWI</v>
          </cell>
          <cell r="C2194">
            <v>3408376.3636363642</v>
          </cell>
        </row>
        <row r="2195">
          <cell r="A2195" t="str">
            <v>D029</v>
          </cell>
          <cell r="B2195" t="str">
            <v>DD MART</v>
          </cell>
          <cell r="C2195">
            <v>1993472.7272727275</v>
          </cell>
        </row>
        <row r="2196">
          <cell r="A2196" t="str">
            <v>D042</v>
          </cell>
          <cell r="B2196" t="str">
            <v>DEDI U.GADING</v>
          </cell>
          <cell r="C2196">
            <v>1730386.3636363633</v>
          </cell>
        </row>
        <row r="2197">
          <cell r="A2197" t="str">
            <v>D050</v>
          </cell>
          <cell r="B2197" t="str">
            <v>DV BARA</v>
          </cell>
          <cell r="C2197">
            <v>3224581.3636363633</v>
          </cell>
        </row>
        <row r="2198">
          <cell r="A2198" t="str">
            <v>D055</v>
          </cell>
          <cell r="B2198" t="str">
            <v>DAILY BEAUTY KOSMETIK DMS</v>
          </cell>
          <cell r="C2198">
            <v>3405876.8181818174</v>
          </cell>
        </row>
        <row r="2199">
          <cell r="A2199" t="str">
            <v>D056</v>
          </cell>
          <cell r="B2199" t="str">
            <v>DD MM PASAMAN</v>
          </cell>
          <cell r="C2199">
            <v>1647374.3181818179</v>
          </cell>
        </row>
        <row r="2200">
          <cell r="A2200" t="str">
            <v>D061</v>
          </cell>
          <cell r="B2200" t="str">
            <v>DAYU MART P.LAWEH</v>
          </cell>
          <cell r="C2200">
            <v>3457028.8636363642</v>
          </cell>
        </row>
        <row r="2201">
          <cell r="A2201" t="str">
            <v>D077</v>
          </cell>
          <cell r="B2201" t="str">
            <v>DARREN ANDERSON</v>
          </cell>
          <cell r="C2201">
            <v>-49950.000000000007</v>
          </cell>
        </row>
        <row r="2202">
          <cell r="A2202" t="str">
            <v>DHL.BOR</v>
          </cell>
          <cell r="B2202" t="str">
            <v>DHL BORNEO,CV</v>
          </cell>
          <cell r="C2202">
            <v>28006263.272727285</v>
          </cell>
        </row>
        <row r="2203">
          <cell r="A2203" t="str">
            <v>DIV2</v>
          </cell>
          <cell r="B2203" t="str">
            <v>DIVA MART,SATONG SUKADANA</v>
          </cell>
          <cell r="C2203">
            <v>3228468.0000000009</v>
          </cell>
        </row>
        <row r="2204">
          <cell r="A2204" t="str">
            <v>DIVA</v>
          </cell>
          <cell r="B2204" t="str">
            <v>DIVA MART,KETAPANG</v>
          </cell>
          <cell r="C2204">
            <v>718674.54545454541</v>
          </cell>
        </row>
        <row r="2205">
          <cell r="A2205" t="str">
            <v>DK</v>
          </cell>
          <cell r="B2205" t="str">
            <v>DOKI DOKI ,SEMITAU</v>
          </cell>
          <cell r="C2205">
            <v>11326984.363636367</v>
          </cell>
        </row>
        <row r="2206">
          <cell r="A2206" t="str">
            <v>DLM001</v>
          </cell>
          <cell r="B2206" t="str">
            <v>3 KENZA COS</v>
          </cell>
          <cell r="C2206">
            <v>3612272.727272728</v>
          </cell>
        </row>
        <row r="2207">
          <cell r="A2207" t="str">
            <v>DLM003</v>
          </cell>
          <cell r="B2207" t="str">
            <v>SERBA JAYA</v>
          </cell>
          <cell r="C2207">
            <v>6992214.1363636367</v>
          </cell>
        </row>
        <row r="2208">
          <cell r="A2208" t="str">
            <v>DLM004</v>
          </cell>
          <cell r="B2208" t="str">
            <v>TOSERBA DOLOK</v>
          </cell>
          <cell r="C2208">
            <v>4618923.9090909101</v>
          </cell>
        </row>
        <row r="2209">
          <cell r="A2209" t="str">
            <v>DLS002</v>
          </cell>
          <cell r="B2209" t="str">
            <v>TOKO ANNA SALON</v>
          </cell>
          <cell r="C2209">
            <v>3338925.0000000009</v>
          </cell>
        </row>
        <row r="2210">
          <cell r="A2210" t="str">
            <v>DLS005</v>
          </cell>
          <cell r="B2210" t="str">
            <v>FAMILY SALON</v>
          </cell>
          <cell r="C2210">
            <v>1942467.2727272722</v>
          </cell>
        </row>
        <row r="2211">
          <cell r="A2211" t="str">
            <v>DLUV</v>
          </cell>
          <cell r="B2211" t="str">
            <v>DLUVEN TOKO,SINGKAWANG</v>
          </cell>
          <cell r="C2211">
            <v>12083288.318181826</v>
          </cell>
        </row>
        <row r="2212">
          <cell r="A2212" t="str">
            <v>DMCOS</v>
          </cell>
          <cell r="B2212" t="str">
            <v>DEMO COS</v>
          </cell>
          <cell r="C2212">
            <v>326737.72727272729</v>
          </cell>
        </row>
        <row r="2213">
          <cell r="A2213" t="str">
            <v>DORE</v>
          </cell>
          <cell r="B2213" t="str">
            <v>DOREMI,CV</v>
          </cell>
          <cell r="C2213">
            <v>38903577.818181813</v>
          </cell>
        </row>
        <row r="2214">
          <cell r="A2214" t="str">
            <v>DUL</v>
          </cell>
          <cell r="B2214" t="str">
            <v>DUL FITRI TOKO,SINTANG</v>
          </cell>
          <cell r="C2214">
            <v>12465540.000000002</v>
          </cell>
        </row>
        <row r="2215">
          <cell r="A2215" t="str">
            <v>DUNIA.</v>
          </cell>
          <cell r="B2215" t="str">
            <v>DUNIA FASHION,KETAPANG</v>
          </cell>
          <cell r="C2215">
            <v>48162676.36363636</v>
          </cell>
        </row>
        <row r="2216">
          <cell r="A2216" t="str">
            <v>E001</v>
          </cell>
          <cell r="B2216" t="str">
            <v>EDWIN SOLOK</v>
          </cell>
          <cell r="C2216">
            <v>26726711.636363644</v>
          </cell>
        </row>
        <row r="2217">
          <cell r="A2217" t="str">
            <v>E002</v>
          </cell>
          <cell r="B2217" t="str">
            <v>EDWIN SICINCIN</v>
          </cell>
          <cell r="C2217">
            <v>2559437.2727272729</v>
          </cell>
        </row>
        <row r="2218">
          <cell r="A2218" t="str">
            <v>E003</v>
          </cell>
          <cell r="B2218" t="str">
            <v>EL COSMETIK</v>
          </cell>
          <cell r="C2218">
            <v>1402020</v>
          </cell>
        </row>
        <row r="2219">
          <cell r="A2219" t="str">
            <v>E005</v>
          </cell>
          <cell r="B2219" t="str">
            <v>ENI MART PS.USANG</v>
          </cell>
          <cell r="C2219">
            <v>674718.13636363624</v>
          </cell>
        </row>
        <row r="2220">
          <cell r="A2220" t="str">
            <v>E017</v>
          </cell>
          <cell r="B2220" t="str">
            <v>ELVA COS</v>
          </cell>
          <cell r="C2220">
            <v>3437883.8636363638</v>
          </cell>
        </row>
        <row r="2221">
          <cell r="A2221" t="str">
            <v>E435</v>
          </cell>
          <cell r="B2221" t="str">
            <v>EPIN</v>
          </cell>
          <cell r="C2221">
            <v>42000</v>
          </cell>
        </row>
        <row r="2222">
          <cell r="A2222" t="str">
            <v>ELEG</v>
          </cell>
          <cell r="B2222" t="str">
            <v>ELEGANT TOKO,KETAPANG</v>
          </cell>
          <cell r="C2222">
            <v>61562122.090909086</v>
          </cell>
        </row>
        <row r="2223">
          <cell r="A2223" t="str">
            <v>ERNA1</v>
          </cell>
          <cell r="B2223" t="str">
            <v>ERNA NIRAM TK,DELTA PAWAN</v>
          </cell>
          <cell r="C2223">
            <v>1487299.0909090908</v>
          </cell>
        </row>
        <row r="2224">
          <cell r="A2224" t="str">
            <v>F003</v>
          </cell>
          <cell r="B2224" t="str">
            <v>FAMOSTA</v>
          </cell>
          <cell r="C2224">
            <v>7707876.5454545468</v>
          </cell>
        </row>
        <row r="2225">
          <cell r="A2225" t="str">
            <v>F004</v>
          </cell>
          <cell r="B2225" t="str">
            <v>FAMOSTA SHOP</v>
          </cell>
          <cell r="C2225">
            <v>2987257.7272727275</v>
          </cell>
        </row>
        <row r="2226">
          <cell r="A2226" t="str">
            <v>G002</v>
          </cell>
          <cell r="B2226" t="str">
            <v>GARUDA MART SOLOK</v>
          </cell>
          <cell r="C2226">
            <v>743195.45454545447</v>
          </cell>
        </row>
        <row r="2227">
          <cell r="A2227" t="str">
            <v>G003</v>
          </cell>
          <cell r="B2227" t="str">
            <v>GDR MART</v>
          </cell>
          <cell r="C2227">
            <v>394756.36363636365</v>
          </cell>
        </row>
        <row r="2228">
          <cell r="A2228" t="str">
            <v>G005</v>
          </cell>
          <cell r="B2228" t="str">
            <v>GRAND CITRA PRM</v>
          </cell>
          <cell r="C2228">
            <v>1558593.1818181816</v>
          </cell>
        </row>
        <row r="2229">
          <cell r="A2229" t="str">
            <v>G006</v>
          </cell>
          <cell r="B2229" t="str">
            <v>GRAND CITRA SWL</v>
          </cell>
          <cell r="C2229">
            <v>8327683.2272727294</v>
          </cell>
        </row>
        <row r="2230">
          <cell r="A2230" t="str">
            <v>G008</v>
          </cell>
          <cell r="B2230" t="str">
            <v>GHANNY</v>
          </cell>
          <cell r="C2230">
            <v>11470813.090909094</v>
          </cell>
        </row>
        <row r="2231">
          <cell r="A2231" t="str">
            <v>G010</v>
          </cell>
          <cell r="B2231" t="str">
            <v>GRAND CITRA SUTOMO</v>
          </cell>
          <cell r="C2231">
            <v>1825132.2272727273</v>
          </cell>
        </row>
        <row r="2232">
          <cell r="A2232" t="str">
            <v>G012</v>
          </cell>
          <cell r="B2232" t="str">
            <v>GUCI SWALAYAN</v>
          </cell>
          <cell r="C2232">
            <v>3562755.9545454555</v>
          </cell>
        </row>
        <row r="2233">
          <cell r="A2233" t="str">
            <v>G013</v>
          </cell>
          <cell r="B2233" t="str">
            <v>GUNUNG JAYA / SUSY</v>
          </cell>
          <cell r="C2233">
            <v>81000</v>
          </cell>
        </row>
        <row r="2234">
          <cell r="A2234" t="str">
            <v>G014</v>
          </cell>
          <cell r="B2234" t="str">
            <v>GRAHA FARMA / MERRY</v>
          </cell>
          <cell r="C2234">
            <v>4121149.9999999995</v>
          </cell>
        </row>
        <row r="2235">
          <cell r="A2235" t="str">
            <v>G015</v>
          </cell>
          <cell r="B2235" t="str">
            <v>GAVRA</v>
          </cell>
          <cell r="C2235">
            <v>928360.90909090906</v>
          </cell>
        </row>
        <row r="2236">
          <cell r="A2236" t="str">
            <v>GDSHT</v>
          </cell>
          <cell r="B2236" t="str">
            <v>DARMADI TANO</v>
          </cell>
          <cell r="C2236">
            <v>1271454.5454545454</v>
          </cell>
        </row>
        <row r="2237">
          <cell r="A2237" t="str">
            <v>GLG001</v>
          </cell>
          <cell r="B2237" t="str">
            <v>MONA</v>
          </cell>
          <cell r="C2237">
            <v>449393.86363636365</v>
          </cell>
        </row>
        <row r="2238">
          <cell r="A2238" t="str">
            <v>GLG005</v>
          </cell>
          <cell r="B2238" t="str">
            <v>TOKO TIMUR JAYA</v>
          </cell>
          <cell r="C2238">
            <v>486376.77272727271</v>
          </cell>
        </row>
        <row r="2239">
          <cell r="A2239" t="str">
            <v>GLG007</v>
          </cell>
          <cell r="B2239" t="str">
            <v>MARRIE GLOWUP</v>
          </cell>
          <cell r="C2239">
            <v>2216420.4545454546</v>
          </cell>
        </row>
        <row r="2240">
          <cell r="A2240" t="str">
            <v>GMJ</v>
          </cell>
          <cell r="B2240" t="str">
            <v>GOLDEN MART JAYA,PT-NGABANG</v>
          </cell>
          <cell r="C2240">
            <v>2119328.1818181816</v>
          </cell>
        </row>
        <row r="2241">
          <cell r="A2241" t="str">
            <v>GOLD</v>
          </cell>
          <cell r="B2241" t="str">
            <v>STARVINDO/GOLDIS ,NGABANG</v>
          </cell>
          <cell r="C2241">
            <v>16372558.363636363</v>
          </cell>
        </row>
        <row r="2242">
          <cell r="A2242" t="str">
            <v>GRAC</v>
          </cell>
          <cell r="B2242" t="str">
            <v>GRACE KOSMETIK,SINTANG</v>
          </cell>
          <cell r="C2242">
            <v>1278718.6363636362</v>
          </cell>
        </row>
        <row r="2243">
          <cell r="A2243" t="str">
            <v>GRACE2</v>
          </cell>
          <cell r="B2243" t="str">
            <v>GRACE2 KOSMETIK,SINTANG</v>
          </cell>
          <cell r="C2243">
            <v>1106469.6818181819</v>
          </cell>
        </row>
        <row r="2244">
          <cell r="A2244" t="str">
            <v>GREAT</v>
          </cell>
          <cell r="B2244" t="str">
            <v>GREAT MART</v>
          </cell>
          <cell r="C2244">
            <v>2968182.6818181826</v>
          </cell>
        </row>
        <row r="2245">
          <cell r="A2245" t="str">
            <v>H001</v>
          </cell>
          <cell r="B2245" t="str">
            <v>HASRAT</v>
          </cell>
          <cell r="C2245">
            <v>92258135.63636367</v>
          </cell>
        </row>
        <row r="2246">
          <cell r="A2246" t="str">
            <v>H003</v>
          </cell>
          <cell r="B2246" t="str">
            <v>H2 MM ASIA / JALI</v>
          </cell>
          <cell r="C2246">
            <v>42000</v>
          </cell>
        </row>
        <row r="2247">
          <cell r="A2247" t="str">
            <v>H012</v>
          </cell>
          <cell r="B2247" t="str">
            <v>HDRM</v>
          </cell>
          <cell r="C2247">
            <v>6364320.9090909073</v>
          </cell>
        </row>
        <row r="2248">
          <cell r="A2248" t="str">
            <v>H016</v>
          </cell>
          <cell r="B2248" t="str">
            <v>HJ.EL</v>
          </cell>
          <cell r="C2248">
            <v>768927.27272727271</v>
          </cell>
        </row>
        <row r="2249">
          <cell r="A2249" t="str">
            <v>H017</v>
          </cell>
          <cell r="B2249" t="str">
            <v>HNH LUBEG</v>
          </cell>
          <cell r="C2249">
            <v>621562.5</v>
          </cell>
        </row>
        <row r="2250">
          <cell r="A2250" t="str">
            <v>H018</v>
          </cell>
          <cell r="B2250" t="str">
            <v>HNH M.HATTA</v>
          </cell>
          <cell r="C2250">
            <v>671863.63636363624</v>
          </cell>
        </row>
        <row r="2251">
          <cell r="A2251" t="str">
            <v>H019</v>
          </cell>
          <cell r="B2251" t="str">
            <v>HNH M.YUNUS</v>
          </cell>
          <cell r="C2251">
            <v>18019555.63636364</v>
          </cell>
        </row>
        <row r="2252">
          <cell r="A2252" t="str">
            <v>H020</v>
          </cell>
          <cell r="B2252" t="str">
            <v>HNH PS.BARU</v>
          </cell>
          <cell r="C2252">
            <v>1880931.8181818181</v>
          </cell>
        </row>
        <row r="2253">
          <cell r="A2253" t="str">
            <v>H021</v>
          </cell>
          <cell r="B2253" t="str">
            <v>HOKI STORE</v>
          </cell>
          <cell r="C2253">
            <v>2392618.727272728</v>
          </cell>
        </row>
        <row r="2254">
          <cell r="A2254" t="str">
            <v>H029</v>
          </cell>
          <cell r="B2254" t="str">
            <v>HASKO</v>
          </cell>
          <cell r="C2254">
            <v>190038.63636363635</v>
          </cell>
        </row>
        <row r="2255">
          <cell r="A2255" t="str">
            <v>H035</v>
          </cell>
          <cell r="B2255" t="str">
            <v>HANDAYANI / SURYANINGSIH</v>
          </cell>
          <cell r="C2255">
            <v>1069673.1818181819</v>
          </cell>
        </row>
        <row r="2256">
          <cell r="A2256" t="str">
            <v>H037</v>
          </cell>
          <cell r="B2256" t="str">
            <v>HELMA COST</v>
          </cell>
          <cell r="C2256">
            <v>176049118.81818169</v>
          </cell>
        </row>
        <row r="2257">
          <cell r="A2257" t="str">
            <v>H040</v>
          </cell>
          <cell r="B2257" t="str">
            <v>HALAL MART</v>
          </cell>
          <cell r="C2257">
            <v>851385.45454545447</v>
          </cell>
        </row>
        <row r="2258">
          <cell r="A2258" t="str">
            <v>H084</v>
          </cell>
          <cell r="B2258" t="str">
            <v>HOEI KUANG</v>
          </cell>
          <cell r="C2258">
            <v>614881.77272727282</v>
          </cell>
        </row>
        <row r="2259">
          <cell r="A2259" t="str">
            <v>HAR1.</v>
          </cell>
          <cell r="B2259" t="str">
            <v>HARMONIS SWALAYAN</v>
          </cell>
          <cell r="C2259">
            <v>27855172.363636341</v>
          </cell>
        </row>
        <row r="2260">
          <cell r="A2260" t="str">
            <v>HELL2</v>
          </cell>
          <cell r="B2260" t="str">
            <v>HELLO BEAUTY SHOP,SKW</v>
          </cell>
          <cell r="C2260">
            <v>22820811.545454554</v>
          </cell>
        </row>
        <row r="2261">
          <cell r="A2261" t="str">
            <v>HK-IN</v>
          </cell>
          <cell r="B2261" t="str">
            <v>CV.KITA BEAUTY MART</v>
          </cell>
          <cell r="C2261">
            <v>71798261.727272749</v>
          </cell>
        </row>
        <row r="2262">
          <cell r="A2262" t="str">
            <v>HM.</v>
          </cell>
          <cell r="B2262" t="str">
            <v>HM BEAUTY,BODOK</v>
          </cell>
          <cell r="C2262">
            <v>3543950.4545454551</v>
          </cell>
        </row>
        <row r="2263">
          <cell r="A2263" t="str">
            <v>HM-MART</v>
          </cell>
          <cell r="B2263" t="str">
            <v>H.M MART</v>
          </cell>
          <cell r="C2263">
            <v>3398645.4545454537</v>
          </cell>
        </row>
        <row r="2264">
          <cell r="A2264" t="str">
            <v>HRS</v>
          </cell>
          <cell r="B2264" t="str">
            <v>HRSHOP,KETAPANG</v>
          </cell>
          <cell r="C2264">
            <v>5130689.1818181816</v>
          </cell>
        </row>
        <row r="2265">
          <cell r="A2265" t="str">
            <v>I002</v>
          </cell>
          <cell r="B2265" t="str">
            <v>IKHSAN SP</v>
          </cell>
          <cell r="C2265">
            <v>5340000.0000000009</v>
          </cell>
        </row>
        <row r="2266">
          <cell r="A2266" t="str">
            <v>I003</v>
          </cell>
          <cell r="B2266" t="str">
            <v>ILIRAN SWALAYAN</v>
          </cell>
          <cell r="C2266">
            <v>5842341.954545456</v>
          </cell>
        </row>
        <row r="2267">
          <cell r="A2267" t="str">
            <v>I009</v>
          </cell>
          <cell r="B2267" t="str">
            <v>ITA WEN</v>
          </cell>
          <cell r="C2267">
            <v>317863.63636363635</v>
          </cell>
        </row>
        <row r="2268">
          <cell r="A2268" t="str">
            <v>I062</v>
          </cell>
          <cell r="B2268" t="str">
            <v>IBU ZAHRA QUA / HASTUTIK</v>
          </cell>
          <cell r="C2268">
            <v>239931.81818181818</v>
          </cell>
        </row>
        <row r="2269">
          <cell r="A2269" t="str">
            <v>I102</v>
          </cell>
          <cell r="B2269" t="str">
            <v>IBU YAN / NURUL HUDA GUSTIA</v>
          </cell>
          <cell r="C2269">
            <v>4549303.6363636367</v>
          </cell>
        </row>
        <row r="2270">
          <cell r="A2270" t="str">
            <v>IDOL-MM</v>
          </cell>
          <cell r="B2270" t="str">
            <v>CV.THEO (IDOL,MM)</v>
          </cell>
          <cell r="C2270">
            <v>216600</v>
          </cell>
        </row>
        <row r="2271">
          <cell r="A2271" t="str">
            <v>IDR001</v>
          </cell>
          <cell r="B2271" t="str">
            <v>DECO 100 INDRAPURA</v>
          </cell>
          <cell r="C2271">
            <v>8143493.8636363642</v>
          </cell>
        </row>
        <row r="2272">
          <cell r="A2272" t="str">
            <v>IHSAN</v>
          </cell>
          <cell r="B2272" t="str">
            <v>IHSAN MART</v>
          </cell>
          <cell r="C2272">
            <v>7753147.0909090918</v>
          </cell>
        </row>
        <row r="2273">
          <cell r="A2273" t="str">
            <v>IKA.</v>
          </cell>
          <cell r="B2273" t="str">
            <v>IKA FASHION,SINGKAWANG</v>
          </cell>
          <cell r="C2273">
            <v>14946119.999999996</v>
          </cell>
        </row>
        <row r="2274">
          <cell r="A2274" t="str">
            <v>IN1</v>
          </cell>
          <cell r="B2274" t="str">
            <v>IN MART</v>
          </cell>
          <cell r="C2274">
            <v>266400.00000000006</v>
          </cell>
        </row>
        <row r="2275">
          <cell r="A2275" t="str">
            <v>INDR</v>
          </cell>
          <cell r="B2275" t="str">
            <v>INDRA,TKO</v>
          </cell>
          <cell r="C2275">
            <v>45022777.636363618</v>
          </cell>
        </row>
        <row r="2276">
          <cell r="A2276" t="str">
            <v>IST2</v>
          </cell>
          <cell r="B2276" t="str">
            <v>ISTANA KITA 2</v>
          </cell>
          <cell r="C2276">
            <v>866400</v>
          </cell>
        </row>
        <row r="2277">
          <cell r="A2277" t="str">
            <v>ISTANA</v>
          </cell>
          <cell r="B2277" t="str">
            <v>ISTANA KITA1</v>
          </cell>
          <cell r="C2277">
            <v>343292.72727272729</v>
          </cell>
        </row>
        <row r="2278">
          <cell r="A2278" t="str">
            <v>ISTANAKOS</v>
          </cell>
          <cell r="B2278" t="str">
            <v>MIKA KOSMETIK,SIANTAN</v>
          </cell>
          <cell r="C2278">
            <v>16346905.363636371</v>
          </cell>
        </row>
        <row r="2279">
          <cell r="A2279" t="str">
            <v>IVY2</v>
          </cell>
          <cell r="B2279" t="str">
            <v>IV SKINCARE,KETAPANG</v>
          </cell>
          <cell r="C2279">
            <v>844911.81818181823</v>
          </cell>
        </row>
        <row r="2280">
          <cell r="A2280" t="str">
            <v>IWAN-TK</v>
          </cell>
          <cell r="B2280" t="str">
            <v>IWAN TKO</v>
          </cell>
          <cell r="C2280">
            <v>4580051.7272727285</v>
          </cell>
        </row>
        <row r="2281">
          <cell r="A2281" t="str">
            <v>J001</v>
          </cell>
          <cell r="B2281" t="str">
            <v>JE SAA MART SYARIAH</v>
          </cell>
          <cell r="C2281">
            <v>834474.95454545459</v>
          </cell>
        </row>
        <row r="2282">
          <cell r="A2282" t="str">
            <v>J003</v>
          </cell>
          <cell r="B2282" t="str">
            <v>JKS MART</v>
          </cell>
          <cell r="C2282">
            <v>2177667.8181818188</v>
          </cell>
        </row>
        <row r="2283">
          <cell r="A2283" t="str">
            <v>J005</v>
          </cell>
          <cell r="B2283" t="str">
            <v>JUN SOLOK</v>
          </cell>
          <cell r="C2283">
            <v>36587754.545454554</v>
          </cell>
        </row>
        <row r="2284">
          <cell r="A2284" t="str">
            <v>J006</v>
          </cell>
          <cell r="B2284" t="str">
            <v>JOJO</v>
          </cell>
          <cell r="C2284">
            <v>352500</v>
          </cell>
        </row>
        <row r="2285">
          <cell r="A2285" t="str">
            <v>JAGAT</v>
          </cell>
          <cell r="B2285" t="str">
            <v>JAGAT KOSMETIK ,MELIAU</v>
          </cell>
          <cell r="C2285">
            <v>665263.63636363647</v>
          </cell>
        </row>
        <row r="2286">
          <cell r="A2286" t="str">
            <v>JAYDE</v>
          </cell>
          <cell r="B2286" t="str">
            <v>JAYDEN TOKO,JERUJU</v>
          </cell>
          <cell r="C2286">
            <v>111252.27272727274</v>
          </cell>
        </row>
        <row r="2287">
          <cell r="A2287" t="str">
            <v>JEN1</v>
          </cell>
          <cell r="B2287" t="str">
            <v>JENNI</v>
          </cell>
          <cell r="C2287">
            <v>2028218.1818181816</v>
          </cell>
        </row>
        <row r="2288">
          <cell r="A2288" t="str">
            <v>JMB00012</v>
          </cell>
          <cell r="B2288" t="str">
            <v>APOTIK CAHAYA BAHAR-JAMBI</v>
          </cell>
          <cell r="C2288">
            <v>15551454.545454551</v>
          </cell>
        </row>
        <row r="2289">
          <cell r="A2289" t="str">
            <v>JMB00013</v>
          </cell>
          <cell r="B2289" t="str">
            <v>APOTIK SULIN BAHAR-JAMBI</v>
          </cell>
          <cell r="C2289">
            <v>11525422.500000004</v>
          </cell>
        </row>
        <row r="2290">
          <cell r="A2290" t="str">
            <v>JMB00015</v>
          </cell>
          <cell r="B2290" t="str">
            <v>APT.MARANATA JUNIOR 2 BANGKO - JAMBI</v>
          </cell>
          <cell r="C2290">
            <v>2769352.6363636358</v>
          </cell>
        </row>
        <row r="2291">
          <cell r="A2291" t="str">
            <v>JMB00018</v>
          </cell>
          <cell r="B2291" t="str">
            <v>APT.TIUR FARMA BAYUNG - JAMBI</v>
          </cell>
          <cell r="C2291">
            <v>57215.454545454551</v>
          </cell>
        </row>
        <row r="2292">
          <cell r="A2292" t="str">
            <v>JMB00021</v>
          </cell>
          <cell r="B2292" t="str">
            <v>APOTIK CAHAYA TEMBESI - JAMBI</v>
          </cell>
          <cell r="C2292">
            <v>6665031.3636363633</v>
          </cell>
        </row>
        <row r="2293">
          <cell r="A2293" t="str">
            <v>JMB00022</v>
          </cell>
          <cell r="B2293" t="str">
            <v>APOTIK ANUGRAH RENGAS-JAMBI</v>
          </cell>
          <cell r="C2293">
            <v>10754364.545454549</v>
          </cell>
        </row>
        <row r="2294">
          <cell r="A2294" t="str">
            <v>JMB00024</v>
          </cell>
          <cell r="B2294" t="str">
            <v>DO.KARUNIA MERSAM-JAMBI</v>
          </cell>
          <cell r="C2294">
            <v>2569322.0454545454</v>
          </cell>
        </row>
        <row r="2295">
          <cell r="A2295" t="str">
            <v>JMB00029</v>
          </cell>
          <cell r="B2295" t="str">
            <v>APT.SINAR FARMA RANTAU RASAU - JAMBI</v>
          </cell>
          <cell r="C2295">
            <v>744633.40909090918</v>
          </cell>
        </row>
        <row r="2296">
          <cell r="A2296" t="str">
            <v>JMB00040</v>
          </cell>
          <cell r="B2296" t="str">
            <v>APT.MERLUNG JAYA - JAMBI</v>
          </cell>
          <cell r="C2296">
            <v>-185420.45454545456</v>
          </cell>
        </row>
        <row r="2297">
          <cell r="A2297" t="str">
            <v>JMB00046</v>
          </cell>
          <cell r="B2297" t="str">
            <v>APOTEK JAGA FARMA SENGETI - JAMBI</v>
          </cell>
          <cell r="C2297">
            <v>2224799.9999999995</v>
          </cell>
        </row>
        <row r="2298">
          <cell r="A2298" t="str">
            <v>JMB00049</v>
          </cell>
          <cell r="B2298" t="str">
            <v>TOKO OBAT SENTOSA - JAMBI</v>
          </cell>
          <cell r="C2298">
            <v>915447.27272727282</v>
          </cell>
        </row>
        <row r="2299">
          <cell r="A2299" t="str">
            <v>JMB00083</v>
          </cell>
          <cell r="B2299" t="str">
            <v>APT.KHARISMA TUNGKAL - JAMBI</v>
          </cell>
          <cell r="C2299">
            <v>2250841.4545454546</v>
          </cell>
        </row>
        <row r="2300">
          <cell r="A2300" t="str">
            <v>JMB00093</v>
          </cell>
          <cell r="B2300" t="str">
            <v>TOKO NELFI BEAUTY STORE BANGKO - JAMBI</v>
          </cell>
          <cell r="C2300">
            <v>8350288.9090909101</v>
          </cell>
        </row>
        <row r="2301">
          <cell r="A2301" t="str">
            <v>JMB00098</v>
          </cell>
          <cell r="B2301" t="str">
            <v>TOKO AZKA KOSMETIK - JAMBI</v>
          </cell>
          <cell r="C2301">
            <v>2851001.1363636372</v>
          </cell>
        </row>
        <row r="2302">
          <cell r="A2302" t="str">
            <v>JMB00099</v>
          </cell>
          <cell r="B2302" t="str">
            <v>TOKO LIA GROSIR COSMETIC - JAMBI</v>
          </cell>
          <cell r="C2302">
            <v>1869683.1818181816</v>
          </cell>
        </row>
        <row r="2303">
          <cell r="A2303" t="str">
            <v>JMB00103</v>
          </cell>
          <cell r="B2303" t="str">
            <v>TOKO NIRINI MAKEUP STORE KERINCI - JAMBI</v>
          </cell>
          <cell r="C2303">
            <v>953590.90909090906</v>
          </cell>
        </row>
        <row r="2304">
          <cell r="A2304" t="str">
            <v>JMB00111</v>
          </cell>
          <cell r="B2304" t="str">
            <v>TOKO LADIES STUFF8 STORE - JAMBI</v>
          </cell>
          <cell r="C2304">
            <v>28214273.72727273</v>
          </cell>
        </row>
        <row r="2305">
          <cell r="A2305" t="str">
            <v>JMB00113</v>
          </cell>
          <cell r="B2305" t="str">
            <v>COSMETIC WULAN R.BUJANG - JAMBI</v>
          </cell>
          <cell r="C2305">
            <v>92136519.545454532</v>
          </cell>
        </row>
        <row r="2306">
          <cell r="A2306" t="str">
            <v>JMB00115</v>
          </cell>
          <cell r="B2306" t="str">
            <v>TOKO ADIL COSMETIK R.BUJANG - JAMBI</v>
          </cell>
          <cell r="C2306">
            <v>1312571.1818181816</v>
          </cell>
        </row>
        <row r="2307">
          <cell r="A2307" t="str">
            <v>JMB00117</v>
          </cell>
          <cell r="B2307" t="str">
            <v>TOKO RUMAH CANTIK VIET SAROLANGUN - JAMBI</v>
          </cell>
          <cell r="C2307">
            <v>1531780.9090909089</v>
          </cell>
        </row>
        <row r="2308">
          <cell r="A2308" t="str">
            <v>JMB00120</v>
          </cell>
          <cell r="B2308" t="str">
            <v>SALON PANCA SURYA - JAMBI</v>
          </cell>
          <cell r="C2308">
            <v>226800</v>
          </cell>
        </row>
        <row r="2309">
          <cell r="A2309" t="str">
            <v>JMB00121</v>
          </cell>
          <cell r="B2309" t="str">
            <v>TOKO AILY/ RINI - JAMBI</v>
          </cell>
          <cell r="C2309">
            <v>2322640.2272727271</v>
          </cell>
        </row>
        <row r="2310">
          <cell r="A2310" t="str">
            <v>JMB00122</v>
          </cell>
          <cell r="B2310" t="str">
            <v>TOKO CE NIA - JAMBI</v>
          </cell>
          <cell r="C2310">
            <v>3599124.5454545468</v>
          </cell>
        </row>
        <row r="2311">
          <cell r="A2311" t="str">
            <v>JMB00124</v>
          </cell>
          <cell r="B2311" t="str">
            <v>TOKO ANCHE MAKEUP - JAMBI</v>
          </cell>
          <cell r="C2311">
            <v>635727.27272727259</v>
          </cell>
        </row>
        <row r="2312">
          <cell r="A2312" t="str">
            <v>JMB00129</v>
          </cell>
          <cell r="B2312" t="str">
            <v>TOKO RINO COSMETIC TEBO-JAMBI</v>
          </cell>
          <cell r="C2312">
            <v>4574190.1363636367</v>
          </cell>
        </row>
        <row r="2313">
          <cell r="A2313" t="str">
            <v>JMB00130</v>
          </cell>
          <cell r="B2313" t="str">
            <v>TOKO PUSPA COSMETIC TEBO - JAMBI</v>
          </cell>
          <cell r="C2313">
            <v>1416007.7272727271</v>
          </cell>
        </row>
        <row r="2314">
          <cell r="A2314" t="str">
            <v>JMB00131</v>
          </cell>
          <cell r="B2314" t="str">
            <v>TOKO 6666 ACC - JAMBI</v>
          </cell>
          <cell r="C2314">
            <v>-3710642.0454545459</v>
          </cell>
        </row>
        <row r="2315">
          <cell r="A2315" t="str">
            <v>JMB00136</v>
          </cell>
          <cell r="B2315" t="str">
            <v>TOKO ANTON (TKL)-JAMBI</v>
          </cell>
          <cell r="C2315">
            <v>370840.90909090906</v>
          </cell>
        </row>
        <row r="2316">
          <cell r="A2316" t="str">
            <v>JMB00137</v>
          </cell>
          <cell r="B2316" t="str">
            <v>DIDI BONGSU</v>
          </cell>
          <cell r="C2316">
            <v>2334532.4999999995</v>
          </cell>
        </row>
        <row r="2317">
          <cell r="A2317" t="str">
            <v>JMB00138</v>
          </cell>
          <cell r="B2317" t="str">
            <v>MANDALA MART-JMB</v>
          </cell>
          <cell r="C2317">
            <v>6856528.3636363652</v>
          </cell>
        </row>
        <row r="2318">
          <cell r="A2318" t="str">
            <v>JMB00139</v>
          </cell>
          <cell r="B2318" t="str">
            <v>PT. BONGSU SEJAHTERA</v>
          </cell>
          <cell r="C2318">
            <v>4257394.7727272725</v>
          </cell>
        </row>
        <row r="2319">
          <cell r="A2319" t="str">
            <v>JMB00141</v>
          </cell>
          <cell r="B2319" t="str">
            <v>TOKO RUDI BERSDAUDARA ELECTRONIK - JAMBI</v>
          </cell>
          <cell r="C2319">
            <v>1430388.5454545452</v>
          </cell>
        </row>
        <row r="2320">
          <cell r="A2320" t="str">
            <v>JMB00144</v>
          </cell>
          <cell r="B2320" t="str">
            <v>FRESH KU - JAMBI</v>
          </cell>
          <cell r="C2320">
            <v>9361820.4545454532</v>
          </cell>
        </row>
        <row r="2321">
          <cell r="A2321" t="str">
            <v>JMB00145</v>
          </cell>
          <cell r="B2321" t="str">
            <v>FRESH WELL - JAMBI</v>
          </cell>
          <cell r="C2321">
            <v>1192009.0909090908</v>
          </cell>
        </row>
        <row r="2322">
          <cell r="A2322" t="str">
            <v>JMB00146</v>
          </cell>
          <cell r="B2322" t="str">
            <v>FRESCO - JAMBI</v>
          </cell>
          <cell r="C2322">
            <v>1227779.7272727273</v>
          </cell>
        </row>
        <row r="2323">
          <cell r="A2323" t="str">
            <v>JMB00147</v>
          </cell>
          <cell r="B2323" t="str">
            <v>FRESH HILL - JAMBI</v>
          </cell>
          <cell r="C2323">
            <v>1716552.2727272727</v>
          </cell>
        </row>
        <row r="2324">
          <cell r="A2324" t="str">
            <v>JMB00148</v>
          </cell>
          <cell r="B2324" t="str">
            <v>FRESH MART - JAMBI</v>
          </cell>
          <cell r="C2324">
            <v>2244487.5</v>
          </cell>
        </row>
        <row r="2325">
          <cell r="A2325" t="str">
            <v>JMB00149</v>
          </cell>
          <cell r="B2325" t="str">
            <v>FRESH SUN - JAMBI</v>
          </cell>
          <cell r="C2325">
            <v>5251368.1363636367</v>
          </cell>
        </row>
        <row r="2326">
          <cell r="A2326" t="str">
            <v>JMB00151</v>
          </cell>
          <cell r="B2326" t="str">
            <v>FRESH SENGETI - JAMBI</v>
          </cell>
          <cell r="C2326">
            <v>3342186.2727272725</v>
          </cell>
        </row>
        <row r="2327">
          <cell r="A2327" t="str">
            <v>JMB00152</v>
          </cell>
          <cell r="B2327" t="str">
            <v>FRESH - JAMBI</v>
          </cell>
          <cell r="C2327">
            <v>620532.00000000012</v>
          </cell>
        </row>
        <row r="2328">
          <cell r="A2328" t="str">
            <v>JMB00153</v>
          </cell>
          <cell r="B2328" t="str">
            <v>FRESH FIT - JAMBI</v>
          </cell>
          <cell r="C2328">
            <v>467931.81818181818</v>
          </cell>
        </row>
        <row r="2329">
          <cell r="A2329" t="str">
            <v>JMB00154</v>
          </cell>
          <cell r="B2329" t="str">
            <v>FRESH  MART TUGU JUANG - JAMBI</v>
          </cell>
          <cell r="C2329">
            <v>631363.63636363635</v>
          </cell>
        </row>
        <row r="2330">
          <cell r="A2330" t="str">
            <v>JMB00155</v>
          </cell>
          <cell r="B2330" t="str">
            <v>FRESH ONE - JAMBI</v>
          </cell>
          <cell r="C2330">
            <v>28463501.590909094</v>
          </cell>
        </row>
        <row r="2331">
          <cell r="A2331" t="str">
            <v>JMB00156</v>
          </cell>
          <cell r="B2331" t="str">
            <v>FRESH STAR - JAMBI</v>
          </cell>
          <cell r="C2331">
            <v>1606793.1818181819</v>
          </cell>
        </row>
        <row r="2332">
          <cell r="A2332" t="str">
            <v>JMB00157</v>
          </cell>
          <cell r="B2332" t="str">
            <v>FRESH ZONE - JAMBI</v>
          </cell>
          <cell r="C2332">
            <v>2765024.9999999995</v>
          </cell>
        </row>
        <row r="2333">
          <cell r="A2333" t="str">
            <v>JMB00158</v>
          </cell>
          <cell r="B2333" t="str">
            <v>FRESH MOON - JAMBI</v>
          </cell>
          <cell r="C2333">
            <v>1926252.2727272729</v>
          </cell>
        </row>
        <row r="2334">
          <cell r="A2334" t="str">
            <v>JMB00159</v>
          </cell>
          <cell r="B2334" t="str">
            <v>FRESH TUNGKAL - JAMBI</v>
          </cell>
          <cell r="C2334">
            <v>2172211.3636363638</v>
          </cell>
        </row>
        <row r="2335">
          <cell r="A2335" t="str">
            <v>JMB00176</v>
          </cell>
          <cell r="B2335" t="str">
            <v>TOKO EVA BANGKO - JAMBI</v>
          </cell>
          <cell r="C2335">
            <v>10740238.63636364</v>
          </cell>
        </row>
        <row r="2336">
          <cell r="A2336" t="str">
            <v>JMB00182</v>
          </cell>
          <cell r="B2336" t="str">
            <v>TOKO RATU BAYUNG-JAMBI</v>
          </cell>
          <cell r="C2336">
            <v>1166625</v>
          </cell>
        </row>
        <row r="2337">
          <cell r="A2337" t="str">
            <v>JMB00193</v>
          </cell>
          <cell r="B2337" t="str">
            <v>MITRA TAMA BUNGO - JAMBI</v>
          </cell>
          <cell r="C2337">
            <v>9670232.7272727266</v>
          </cell>
        </row>
        <row r="2338">
          <cell r="A2338" t="str">
            <v>JMB00196</v>
          </cell>
          <cell r="B2338" t="str">
            <v>TOKO KDJ BUNGO-JAMBI</v>
          </cell>
          <cell r="C2338">
            <v>5392309.0909090899</v>
          </cell>
        </row>
        <row r="2339">
          <cell r="A2339" t="str">
            <v>JMB00207</v>
          </cell>
          <cell r="B2339" t="str">
            <v>TOKO TASYA BUNGO - JAMBI</v>
          </cell>
          <cell r="C2339">
            <v>4608621.8181818193</v>
          </cell>
        </row>
        <row r="2340">
          <cell r="A2340" t="str">
            <v>JMB00221</v>
          </cell>
          <cell r="B2340" t="str">
            <v>TOKO SHABIL KERINCI-JAMBI</v>
          </cell>
          <cell r="C2340">
            <v>822661.36363636341</v>
          </cell>
        </row>
        <row r="2341">
          <cell r="A2341" t="str">
            <v>JMB00222</v>
          </cell>
          <cell r="B2341" t="str">
            <v>TOKO ARNIE KERINCI-JAMBI</v>
          </cell>
          <cell r="C2341">
            <v>266400.00000000006</v>
          </cell>
        </row>
        <row r="2342">
          <cell r="A2342" t="str">
            <v>JMB00227</v>
          </cell>
          <cell r="B2342" t="str">
            <v>NAI MART KERINCI-JAMBI</v>
          </cell>
          <cell r="C2342">
            <v>537200</v>
          </cell>
        </row>
        <row r="2343">
          <cell r="A2343" t="str">
            <v>JMB00246</v>
          </cell>
          <cell r="B2343" t="str">
            <v>TOKO CASCA PEMENANG - JAMBI</v>
          </cell>
          <cell r="C2343">
            <v>3353960.4545454546</v>
          </cell>
        </row>
        <row r="2344">
          <cell r="A2344" t="str">
            <v>JMB00256</v>
          </cell>
          <cell r="B2344" t="str">
            <v>TOKO ABIMBI I-JMB</v>
          </cell>
          <cell r="C2344">
            <v>10936909.09090909</v>
          </cell>
        </row>
        <row r="2345">
          <cell r="A2345" t="str">
            <v>JMB00269</v>
          </cell>
          <cell r="B2345" t="str">
            <v>TOKO LONDON - JAMBI</v>
          </cell>
          <cell r="C2345">
            <v>102257417.63636364</v>
          </cell>
        </row>
        <row r="2346">
          <cell r="A2346" t="str">
            <v>JMB00277</v>
          </cell>
          <cell r="B2346" t="str">
            <v>JONDRA - JAMBI</v>
          </cell>
          <cell r="C2346">
            <v>1202915.4545454546</v>
          </cell>
        </row>
        <row r="2347">
          <cell r="A2347" t="str">
            <v>JMB00280</v>
          </cell>
          <cell r="B2347" t="str">
            <v>TOKO KDJ 2 R.BUJANG-JAMBI</v>
          </cell>
          <cell r="C2347">
            <v>18571682.727272734</v>
          </cell>
        </row>
        <row r="2348">
          <cell r="A2348" t="str">
            <v>JMB00288</v>
          </cell>
          <cell r="B2348" t="str">
            <v>TOKO RARAS SABAK-JAMBI</v>
          </cell>
          <cell r="C2348">
            <v>1474261.3636363635</v>
          </cell>
        </row>
        <row r="2349">
          <cell r="A2349" t="str">
            <v>JMB00289</v>
          </cell>
          <cell r="B2349" t="str">
            <v>TOKO FITRIA SABAK-JAMBI</v>
          </cell>
          <cell r="C2349">
            <v>209941.36363636368</v>
          </cell>
        </row>
        <row r="2350">
          <cell r="A2350" t="str">
            <v>JMB00290</v>
          </cell>
          <cell r="B2350" t="str">
            <v>TOKO DUA PUTRI SABAK-JAMBI</v>
          </cell>
          <cell r="C2350">
            <v>3055832.7272727271</v>
          </cell>
        </row>
        <row r="2351">
          <cell r="A2351" t="str">
            <v>JMB00295</v>
          </cell>
          <cell r="B2351" t="str">
            <v>TOKO IHSAN SOSIS SABAK - JAMBI</v>
          </cell>
          <cell r="C2351">
            <v>225900</v>
          </cell>
        </row>
        <row r="2352">
          <cell r="A2352" t="str">
            <v>JMB00301</v>
          </cell>
          <cell r="B2352" t="str">
            <v>TOKO GADING MAS SAROLANGUN-JAMBI</v>
          </cell>
          <cell r="C2352">
            <v>942606.81818181823</v>
          </cell>
        </row>
        <row r="2353">
          <cell r="A2353" t="str">
            <v>JMB00309</v>
          </cell>
          <cell r="B2353" t="str">
            <v>MEISSI SAROLANGUN-JAMBI</v>
          </cell>
          <cell r="C2353">
            <v>1566916.3636363638</v>
          </cell>
        </row>
        <row r="2354">
          <cell r="A2354" t="str">
            <v>JMB00320</v>
          </cell>
          <cell r="B2354" t="str">
            <v>TOKO MUTIARA JAYA SINGKUT-JAMBI</v>
          </cell>
          <cell r="C2354">
            <v>2339014.0909090913</v>
          </cell>
        </row>
        <row r="2355">
          <cell r="A2355" t="str">
            <v>JMB00321</v>
          </cell>
          <cell r="B2355" t="str">
            <v>TOKO TONI SINGKUT-JAMBI</v>
          </cell>
          <cell r="C2355">
            <v>2889904.3636363633</v>
          </cell>
        </row>
        <row r="2356">
          <cell r="A2356" t="str">
            <v>JMB00324</v>
          </cell>
          <cell r="B2356" t="str">
            <v>TOKO DANAU INDAH 2 SINGKUT-JAMBI</v>
          </cell>
          <cell r="C2356">
            <v>2342836.3636363633</v>
          </cell>
        </row>
        <row r="2357">
          <cell r="A2357" t="str">
            <v>JMB00331</v>
          </cell>
          <cell r="B2357" t="str">
            <v>TOKO TREE FASHION SINGKUT - JAMBI</v>
          </cell>
          <cell r="C2357">
            <v>65983040.454545461</v>
          </cell>
        </row>
        <row r="2358">
          <cell r="A2358" t="str">
            <v>JMB00339</v>
          </cell>
          <cell r="B2358" t="str">
            <v>TOKO DASMIR TEBO-JAMBI</v>
          </cell>
          <cell r="C2358">
            <v>1096629.5454545454</v>
          </cell>
        </row>
        <row r="2359">
          <cell r="A2359" t="str">
            <v>JMB00340</v>
          </cell>
          <cell r="B2359" t="str">
            <v>MUSTAFA KAMAL TEBO-JAMBI</v>
          </cell>
          <cell r="C2359">
            <v>1848095.4545454548</v>
          </cell>
        </row>
        <row r="2360">
          <cell r="A2360" t="str">
            <v>JMB00350</v>
          </cell>
          <cell r="B2360" t="str">
            <v>ANEKA TUNGKAL-JAMBI</v>
          </cell>
          <cell r="C2360">
            <v>4590782.0454545459</v>
          </cell>
        </row>
        <row r="2361">
          <cell r="A2361" t="str">
            <v>JMB00351</v>
          </cell>
          <cell r="B2361" t="str">
            <v>CHERRY TUNGKAL-JAMBI</v>
          </cell>
          <cell r="C2361">
            <v>4262400.0000000009</v>
          </cell>
        </row>
        <row r="2362">
          <cell r="A2362" t="str">
            <v>JMB00356</v>
          </cell>
          <cell r="B2362" t="str">
            <v>TOKO JADI BARU TUNGKAL - JAMBI</v>
          </cell>
          <cell r="C2362">
            <v>63000</v>
          </cell>
        </row>
        <row r="2363">
          <cell r="A2363" t="str">
            <v>JMB00357</v>
          </cell>
          <cell r="B2363" t="str">
            <v>TOKO ERNA TUNGKAL - JAMBI</v>
          </cell>
          <cell r="C2363">
            <v>211909.09090909088</v>
          </cell>
        </row>
        <row r="2364">
          <cell r="A2364" t="str">
            <v>JMB00367</v>
          </cell>
          <cell r="B2364" t="str">
            <v>TOKO SINAR BAHAGIA 2 WKS - JAMBI</v>
          </cell>
          <cell r="C2364">
            <v>677829.5454545453</v>
          </cell>
        </row>
        <row r="2365">
          <cell r="A2365" t="str">
            <v>JMB00399</v>
          </cell>
          <cell r="B2365" t="str">
            <v>BAROKAH MART - JAMBI</v>
          </cell>
          <cell r="C2365">
            <v>317863.63636363635</v>
          </cell>
        </row>
        <row r="2366">
          <cell r="A2366" t="str">
            <v>JMB00401</v>
          </cell>
          <cell r="B2366" t="str">
            <v>MM.KEMBANG TURI BANGKO - JAMBI</v>
          </cell>
          <cell r="C2366">
            <v>507694.09090909094</v>
          </cell>
        </row>
        <row r="2367">
          <cell r="A2367" t="str">
            <v>JMB00404</v>
          </cell>
          <cell r="B2367" t="str">
            <v>MM. FAMILY-JMB</v>
          </cell>
          <cell r="C2367">
            <v>691807.5</v>
          </cell>
        </row>
        <row r="2368">
          <cell r="A2368" t="str">
            <v>JMB00405</v>
          </cell>
          <cell r="B2368" t="str">
            <v>MM.ANGKASA-JAMBI</v>
          </cell>
          <cell r="C2368">
            <v>395815.90909090912</v>
          </cell>
        </row>
        <row r="2369">
          <cell r="A2369" t="str">
            <v>JMB00407</v>
          </cell>
          <cell r="B2369" t="str">
            <v>MM.TIFANI (BULIAN)-JAMBI</v>
          </cell>
          <cell r="C2369">
            <v>3018189.5454545454</v>
          </cell>
        </row>
        <row r="2370">
          <cell r="A2370" t="str">
            <v>JMB00408</v>
          </cell>
          <cell r="B2370" t="str">
            <v>MM.EMLY (BULIAN)-JAMBI</v>
          </cell>
          <cell r="C2370">
            <v>20797020.818181816</v>
          </cell>
        </row>
        <row r="2371">
          <cell r="A2371" t="str">
            <v>JMB00416</v>
          </cell>
          <cell r="B2371" t="str">
            <v>JOHAN MART TEMBESI - JAMBI</v>
          </cell>
          <cell r="C2371">
            <v>653400</v>
          </cell>
        </row>
        <row r="2372">
          <cell r="A2372" t="str">
            <v>JMB00417</v>
          </cell>
          <cell r="B2372" t="str">
            <v>PT.MENTARI SUKSES PERKASA</v>
          </cell>
          <cell r="C2372">
            <v>1186200</v>
          </cell>
        </row>
        <row r="2373">
          <cell r="A2373" t="str">
            <v>JMB00419</v>
          </cell>
          <cell r="B2373" t="str">
            <v>ANDES MART TEMBESI-JAMBI</v>
          </cell>
          <cell r="C2373">
            <v>384463.63636363635</v>
          </cell>
        </row>
        <row r="2374">
          <cell r="A2374" t="str">
            <v>JMB00429</v>
          </cell>
          <cell r="B2374" t="str">
            <v>CV. BERKAT ANUGRAH INDAH BERSAMA</v>
          </cell>
          <cell r="C2374">
            <v>168709.09090909094</v>
          </cell>
        </row>
        <row r="2375">
          <cell r="A2375" t="str">
            <v>JMB00430</v>
          </cell>
          <cell r="B2375" t="str">
            <v>PT.PERMATA REZEKI SENTOSA-MM. PERMATA-JMB</v>
          </cell>
          <cell r="C2375">
            <v>404631.81818181818</v>
          </cell>
        </row>
        <row r="2376">
          <cell r="A2376" t="str">
            <v>JMB00433</v>
          </cell>
          <cell r="B2376" t="str">
            <v>RICHARD MANDALA-JAMBI</v>
          </cell>
          <cell r="C2376">
            <v>242301.54545454547</v>
          </cell>
        </row>
        <row r="2377">
          <cell r="A2377" t="str">
            <v>JMB00434</v>
          </cell>
          <cell r="B2377" t="str">
            <v>MM. J_88 - JAMBI</v>
          </cell>
          <cell r="C2377">
            <v>172176.13636363641</v>
          </cell>
        </row>
        <row r="2378">
          <cell r="A2378" t="str">
            <v>JMB00440</v>
          </cell>
          <cell r="B2378" t="str">
            <v>PT.PERMATA REZEKI SENTOSA-MM. REZEKI-JAMBI</v>
          </cell>
          <cell r="C2378">
            <v>881394.54545454541</v>
          </cell>
        </row>
        <row r="2379">
          <cell r="A2379" t="str">
            <v>JMB00446</v>
          </cell>
          <cell r="B2379" t="str">
            <v>MM.ALAM BARAJO - JAMBI</v>
          </cell>
          <cell r="C2379">
            <v>804876.13636363635</v>
          </cell>
        </row>
        <row r="2380">
          <cell r="A2380" t="str">
            <v>JMB00448</v>
          </cell>
          <cell r="B2380" t="str">
            <v>TOKO HOLLA KERINCI-JAMBI</v>
          </cell>
          <cell r="C2380">
            <v>7014329.3181818156</v>
          </cell>
        </row>
        <row r="2381">
          <cell r="A2381" t="str">
            <v>JMB00449</v>
          </cell>
          <cell r="B2381" t="str">
            <v>HERI MART 2 KERINCI-JAMBI</v>
          </cell>
          <cell r="C2381">
            <v>360000</v>
          </cell>
        </row>
        <row r="2382">
          <cell r="A2382" t="str">
            <v>JMB00452</v>
          </cell>
          <cell r="B2382" t="str">
            <v>TOKO SONYA KERINCI-JAMBI</v>
          </cell>
          <cell r="C2382">
            <v>133200.00000000003</v>
          </cell>
        </row>
        <row r="2383">
          <cell r="A2383" t="str">
            <v>JMB00453</v>
          </cell>
          <cell r="B2383" t="str">
            <v>TOKO IKO KERINCI-JAMBI</v>
          </cell>
          <cell r="C2383">
            <v>1527000</v>
          </cell>
        </row>
        <row r="2384">
          <cell r="A2384" t="str">
            <v>JMB00460</v>
          </cell>
          <cell r="B2384" t="str">
            <v>MM.GLORIA KERINCI - JAMBI</v>
          </cell>
          <cell r="C2384">
            <v>7477950.2727272753</v>
          </cell>
        </row>
        <row r="2385">
          <cell r="A2385" t="str">
            <v>JMB00463</v>
          </cell>
          <cell r="B2385" t="str">
            <v>MM.GARUDA-JAMBI</v>
          </cell>
          <cell r="C2385">
            <v>226667.04545454547</v>
          </cell>
        </row>
        <row r="2386">
          <cell r="A2386" t="str">
            <v>JMB00464</v>
          </cell>
          <cell r="B2386" t="str">
            <v>MM.KELUARGA - JAMBI</v>
          </cell>
          <cell r="C2386">
            <v>1179122.7272727271</v>
          </cell>
        </row>
        <row r="2387">
          <cell r="A2387" t="str">
            <v>JMB00465</v>
          </cell>
          <cell r="B2387" t="str">
            <v>CV.THEO ANUGERAH SEJAHTERA</v>
          </cell>
          <cell r="C2387">
            <v>895426.36363636365</v>
          </cell>
        </row>
        <row r="2388">
          <cell r="A2388" t="str">
            <v>JMB00466</v>
          </cell>
          <cell r="B2388" t="str">
            <v>MM. FAMILY 88-JMB</v>
          </cell>
          <cell r="C2388">
            <v>238397.72727272726</v>
          </cell>
        </row>
        <row r="2389">
          <cell r="A2389" t="str">
            <v>JMB00473</v>
          </cell>
          <cell r="B2389" t="str">
            <v>MM.FAVORITE SEBAPO - JAMBI</v>
          </cell>
          <cell r="C2389">
            <v>-47099.318181818184</v>
          </cell>
        </row>
        <row r="2390">
          <cell r="A2390" t="str">
            <v>JMB00476</v>
          </cell>
          <cell r="B2390" t="str">
            <v>MM SJ MART - JAMBI</v>
          </cell>
          <cell r="C2390">
            <v>878790.68181818177</v>
          </cell>
        </row>
        <row r="2391">
          <cell r="A2391" t="str">
            <v>JMB00480</v>
          </cell>
          <cell r="B2391" t="str">
            <v>PT.PERMATA REZEKI SENTOSA-MM.SUKSES-JMB</v>
          </cell>
          <cell r="C2391">
            <v>227400</v>
          </cell>
        </row>
        <row r="2392">
          <cell r="A2392" t="str">
            <v>JMB00484</v>
          </cell>
          <cell r="B2392" t="str">
            <v>PT.PERMATA REZEKI SENTOSA-MM.PERMATA MARENE-JAMBI</v>
          </cell>
          <cell r="C2392">
            <v>360368.18181818182</v>
          </cell>
        </row>
        <row r="2393">
          <cell r="A2393" t="str">
            <v>JMB00487</v>
          </cell>
          <cell r="B2393" t="str">
            <v>PT. PERMATA REZEKI SENTOSA-MM.PERMATA SRIWIJAYA</v>
          </cell>
          <cell r="C2393">
            <v>558620.45454545459</v>
          </cell>
        </row>
        <row r="2394">
          <cell r="A2394" t="str">
            <v>JMB00488</v>
          </cell>
          <cell r="B2394" t="str">
            <v>MM.WIN-WIN-JMB</v>
          </cell>
          <cell r="C2394">
            <v>366981.13636363635</v>
          </cell>
        </row>
        <row r="2395">
          <cell r="A2395" t="str">
            <v>JMB00489</v>
          </cell>
          <cell r="B2395" t="str">
            <v>Q MART R.BUJANG-JAMBI</v>
          </cell>
          <cell r="C2395">
            <v>1112095.2272727273</v>
          </cell>
        </row>
        <row r="2396">
          <cell r="A2396" t="str">
            <v>JMB00490</v>
          </cell>
          <cell r="B2396" t="str">
            <v>MM.RAHMA R.BUJANG-JAMBI</v>
          </cell>
          <cell r="C2396">
            <v>4049836.6363636367</v>
          </cell>
        </row>
        <row r="2397">
          <cell r="A2397" t="str">
            <v>JMB00491</v>
          </cell>
          <cell r="B2397" t="str">
            <v>MM.RAHAYU R.BUJANG-JAMBI</v>
          </cell>
          <cell r="C2397">
            <v>2999518.3636363638</v>
          </cell>
        </row>
        <row r="2398">
          <cell r="A2398" t="str">
            <v>JMB00493</v>
          </cell>
          <cell r="B2398" t="str">
            <v>FINA MART R.BUJANG - JAMBI</v>
          </cell>
          <cell r="C2398">
            <v>1812873.5454545459</v>
          </cell>
        </row>
        <row r="2399">
          <cell r="A2399" t="str">
            <v>JMB00494</v>
          </cell>
          <cell r="B2399" t="str">
            <v>KA MART R.BUJANG - JAMBI</v>
          </cell>
          <cell r="C2399">
            <v>37084.090909090912</v>
          </cell>
        </row>
        <row r="2400">
          <cell r="A2400" t="str">
            <v>JMB00502</v>
          </cell>
          <cell r="B2400" t="str">
            <v>INDO BERKAT SAROLANGUN-JAMBI</v>
          </cell>
          <cell r="C2400">
            <v>891552.27272727271</v>
          </cell>
        </row>
        <row r="2401">
          <cell r="A2401" t="str">
            <v>JMB00506</v>
          </cell>
          <cell r="B2401" t="str">
            <v>MM.KHAIRUL SEBERANG-JAMBI</v>
          </cell>
          <cell r="C2401">
            <v>105954.54545454544</v>
          </cell>
        </row>
        <row r="2402">
          <cell r="A2402" t="str">
            <v>JMB00508</v>
          </cell>
          <cell r="B2402" t="str">
            <v>PT.PERMATA REZEKI SENTOSA-MM.SENTOSA-JMB</v>
          </cell>
          <cell r="C2402">
            <v>511329.54545454541</v>
          </cell>
        </row>
        <row r="2403">
          <cell r="A2403" t="str">
            <v>JMB00510</v>
          </cell>
          <cell r="B2403" t="str">
            <v>DEWI-JMB</v>
          </cell>
          <cell r="C2403">
            <v>2429083.6363636362</v>
          </cell>
        </row>
        <row r="2404">
          <cell r="A2404" t="str">
            <v>JMB00512</v>
          </cell>
          <cell r="B2404" t="str">
            <v>MM.ABC SINGKUT-JAMBI</v>
          </cell>
          <cell r="C2404">
            <v>2203001.5909090908</v>
          </cell>
        </row>
        <row r="2405">
          <cell r="A2405" t="str">
            <v>JMB00515</v>
          </cell>
          <cell r="B2405" t="str">
            <v>MM.GEMILANG-JMB</v>
          </cell>
          <cell r="C2405">
            <v>2284834.0909090908</v>
          </cell>
        </row>
        <row r="2406">
          <cell r="A2406" t="str">
            <v>JMB00521</v>
          </cell>
          <cell r="B2406" t="str">
            <v>PT.PERMATA REZEKI SENTOSA - MM.PERMATA MART-JAMBI</v>
          </cell>
          <cell r="C2406">
            <v>487626.13636363641</v>
          </cell>
        </row>
        <row r="2407">
          <cell r="A2407" t="str">
            <v>JMB00523</v>
          </cell>
          <cell r="B2407" t="str">
            <v>NIKIMI MART TEBO-JAMBI</v>
          </cell>
          <cell r="C2407">
            <v>537353.59090909082</v>
          </cell>
        </row>
        <row r="2408">
          <cell r="A2408" t="str">
            <v>JMB00524</v>
          </cell>
          <cell r="B2408" t="str">
            <v>MM.DEDE TEBO-JAMBI</v>
          </cell>
          <cell r="C2408">
            <v>124875.00000000003</v>
          </cell>
        </row>
        <row r="2409">
          <cell r="A2409" t="str">
            <v>JMB00527</v>
          </cell>
          <cell r="B2409" t="str">
            <v>MM.FAVORITE 28 TEMPINO - JAMBI</v>
          </cell>
          <cell r="C2409">
            <v>177600.00000000006</v>
          </cell>
        </row>
        <row r="2410">
          <cell r="A2410" t="str">
            <v>JMB00530</v>
          </cell>
          <cell r="B2410" t="str">
            <v>S MART 1 TUNGKAL - JAMBI</v>
          </cell>
          <cell r="C2410">
            <v>3126901.3636363628</v>
          </cell>
        </row>
        <row r="2411">
          <cell r="A2411" t="str">
            <v>JMB00531</v>
          </cell>
          <cell r="B2411" t="str">
            <v>S MART 2 TUNGKAL - JAMBI</v>
          </cell>
          <cell r="C2411">
            <v>8864979.0454545487</v>
          </cell>
        </row>
        <row r="2412">
          <cell r="A2412" t="str">
            <v>JMB00614</v>
          </cell>
          <cell r="B2412" t="str">
            <v>UM AUTO PARTS KERINCI - JAMBI</v>
          </cell>
          <cell r="C2412">
            <v>1271454.5454545454</v>
          </cell>
        </row>
        <row r="2413">
          <cell r="A2413" t="str">
            <v>JMB00726</v>
          </cell>
          <cell r="B2413" t="str">
            <v>PT.PERMATA REZEKI SENTOSA-MM.PERMATA MAYANG-JAMBI</v>
          </cell>
          <cell r="C2413">
            <v>1110187.5</v>
          </cell>
        </row>
        <row r="2414">
          <cell r="A2414" t="str">
            <v>JMB00734</v>
          </cell>
          <cell r="B2414" t="str">
            <v>TOKO MURAQABAH - JAMBI</v>
          </cell>
          <cell r="C2414">
            <v>397329.54545454541</v>
          </cell>
        </row>
        <row r="2415">
          <cell r="A2415" t="str">
            <v>JMB00753</v>
          </cell>
          <cell r="B2415" t="str">
            <v>TOKO ANJUL BANGKO-JAMBI</v>
          </cell>
          <cell r="C2415">
            <v>370840.90909090912</v>
          </cell>
        </row>
        <row r="2416">
          <cell r="A2416" t="str">
            <v>JMB00765</v>
          </cell>
          <cell r="B2416" t="str">
            <v>TOKO ARMEL AVON BANGKO - JAMBI</v>
          </cell>
          <cell r="C2416">
            <v>15693477.000000006</v>
          </cell>
        </row>
        <row r="2417">
          <cell r="A2417" t="str">
            <v>JMB00802</v>
          </cell>
          <cell r="B2417" t="str">
            <v>TOKO RIDHO BULIAN - JAMBI</v>
          </cell>
          <cell r="C2417">
            <v>556791.13636363635</v>
          </cell>
        </row>
        <row r="2418">
          <cell r="A2418" t="str">
            <v>JMB00819</v>
          </cell>
          <cell r="B2418" t="str">
            <v>TOKO MELATI DAVA BUNGO-JAMBI</v>
          </cell>
          <cell r="C2418">
            <v>1658700</v>
          </cell>
        </row>
        <row r="2419">
          <cell r="A2419" t="str">
            <v>JMB00828</v>
          </cell>
          <cell r="B2419" t="str">
            <v>TOKO NANDA JAYA BUNGO - JAMBI</v>
          </cell>
          <cell r="C2419">
            <v>30939770.454545457</v>
          </cell>
        </row>
        <row r="2420">
          <cell r="A2420" t="str">
            <v>JMB00838</v>
          </cell>
          <cell r="B2420" t="str">
            <v>TOKO GEA RENGAS - JAMBI</v>
          </cell>
          <cell r="C2420">
            <v>731672.72727272729</v>
          </cell>
        </row>
        <row r="2421">
          <cell r="A2421" t="str">
            <v>JMB00839</v>
          </cell>
          <cell r="B2421" t="str">
            <v>TOKO ELLY BUNGO - JAMBI</v>
          </cell>
          <cell r="C2421">
            <v>10002681.818181816</v>
          </cell>
        </row>
        <row r="2422">
          <cell r="A2422" t="str">
            <v>JMB00845</v>
          </cell>
          <cell r="B2422" t="str">
            <v>EED QIANA COSMETIC KUAMANG KUNING - JAMBI</v>
          </cell>
          <cell r="C2422">
            <v>2455854.5454545449</v>
          </cell>
        </row>
        <row r="2423">
          <cell r="A2423" t="str">
            <v>JMB00846</v>
          </cell>
          <cell r="B2423" t="str">
            <v>APOTEK EXZA BUNGO - JAMBI</v>
          </cell>
          <cell r="C2423">
            <v>1182452.7272727271</v>
          </cell>
        </row>
        <row r="2424">
          <cell r="A2424" t="str">
            <v>JMB00847</v>
          </cell>
          <cell r="B2424" t="str">
            <v>TOKO MAYA STORE BUNGO - JAMBI</v>
          </cell>
          <cell r="C2424">
            <v>3242165.8181818188</v>
          </cell>
        </row>
        <row r="2425">
          <cell r="A2425" t="str">
            <v>JMB00863</v>
          </cell>
          <cell r="B2425" t="str">
            <v>TOKO ZADIR HIJAB - JAMBI</v>
          </cell>
          <cell r="C2425">
            <v>4555346.7272727275</v>
          </cell>
        </row>
        <row r="2426">
          <cell r="A2426" t="str">
            <v>JMB00883</v>
          </cell>
          <cell r="B2426" t="str">
            <v>TOKO QUEEN STORE COSMETIC - JAMBI</v>
          </cell>
          <cell r="C2426">
            <v>45560.454545454544</v>
          </cell>
        </row>
        <row r="2427">
          <cell r="A2427" t="str">
            <v>JMB00911</v>
          </cell>
          <cell r="B2427" t="str">
            <v>HAPPY SHOP 808-JAMBI</v>
          </cell>
          <cell r="C2427">
            <v>73228260.090909079</v>
          </cell>
        </row>
        <row r="2428">
          <cell r="A2428" t="str">
            <v>JMB00947</v>
          </cell>
          <cell r="B2428" t="str">
            <v>GLOBAL SWALAYAN DHARMASRAYA-JAMBI</v>
          </cell>
          <cell r="C2428">
            <v>174295.22727272726</v>
          </cell>
        </row>
        <row r="2429">
          <cell r="A2429" t="str">
            <v>JMB00949</v>
          </cell>
          <cell r="B2429" t="str">
            <v>TOKO ASENG-JMB</v>
          </cell>
          <cell r="C2429">
            <v>397329.54545454541</v>
          </cell>
        </row>
        <row r="2430">
          <cell r="A2430" t="str">
            <v>JMB00954</v>
          </cell>
          <cell r="B2430" t="str">
            <v>TOKO HUSNA GALLERY - JAMBI</v>
          </cell>
          <cell r="C2430">
            <v>1347054.5454545454</v>
          </cell>
        </row>
        <row r="2431">
          <cell r="A2431" t="str">
            <v>JMB00978</v>
          </cell>
          <cell r="B2431" t="str">
            <v>TOKO FEBI CELL - JAMBI</v>
          </cell>
          <cell r="C2431">
            <v>150484.09090909091</v>
          </cell>
        </row>
        <row r="2432">
          <cell r="A2432" t="str">
            <v>JMB00984</v>
          </cell>
          <cell r="B2432" t="str">
            <v>MM. PUTRI-JMB</v>
          </cell>
          <cell r="C2432">
            <v>199800.00000000006</v>
          </cell>
        </row>
        <row r="2433">
          <cell r="A2433" t="str">
            <v>JMB00990</v>
          </cell>
          <cell r="B2433" t="str">
            <v>TOKO ALDO CANVAS-JAMBI</v>
          </cell>
          <cell r="C2433">
            <v>7480592.7272727275</v>
          </cell>
        </row>
        <row r="2434">
          <cell r="A2434" t="str">
            <v>JMB00991</v>
          </cell>
          <cell r="B2434" t="str">
            <v>TOKO Q2 COSMETICS STORE - JAMBI</v>
          </cell>
          <cell r="C2434">
            <v>1191909.9545454546</v>
          </cell>
        </row>
        <row r="2435">
          <cell r="A2435" t="str">
            <v>JMB01014</v>
          </cell>
          <cell r="B2435" t="str">
            <v>TOKO SESUAI-JMB</v>
          </cell>
          <cell r="C2435">
            <v>3178636.3636363633</v>
          </cell>
        </row>
        <row r="2436">
          <cell r="A2436" t="str">
            <v>JMB01051</v>
          </cell>
          <cell r="B2436" t="str">
            <v>TOKO RIRIN HIJAB - JAMBI</v>
          </cell>
          <cell r="C2436">
            <v>485022.72727272729</v>
          </cell>
        </row>
        <row r="2437">
          <cell r="A2437" t="str">
            <v>JMB01078</v>
          </cell>
          <cell r="B2437" t="str">
            <v>TOKO KOSMETIK TWIN SHOP - JAMBI</v>
          </cell>
          <cell r="C2437">
            <v>-1180523.4090909089</v>
          </cell>
        </row>
        <row r="2438">
          <cell r="A2438" t="str">
            <v>JMB01102</v>
          </cell>
          <cell r="B2438" t="str">
            <v>TOKO GANI R.BUJANG - JAMBI</v>
          </cell>
          <cell r="C2438">
            <v>3474927.9545454551</v>
          </cell>
        </row>
        <row r="2439">
          <cell r="A2439" t="str">
            <v>JMB01106</v>
          </cell>
          <cell r="B2439" t="str">
            <v>TOKO SM MART R.BUJANG - JAMBI</v>
          </cell>
          <cell r="C2439">
            <v>603638.18181818188</v>
          </cell>
        </row>
        <row r="2440">
          <cell r="A2440" t="str">
            <v>JMB01107</v>
          </cell>
          <cell r="B2440" t="str">
            <v>TOKO ELENA STORE R.BUJANG - JAMBI</v>
          </cell>
          <cell r="C2440">
            <v>1911383.8636363635</v>
          </cell>
        </row>
        <row r="2441">
          <cell r="A2441" t="str">
            <v>JMB01108</v>
          </cell>
          <cell r="B2441" t="str">
            <v>TOKO MITRA STORE 2 R.BUJANG - JAMBI</v>
          </cell>
          <cell r="C2441">
            <v>62563.636363636368</v>
          </cell>
        </row>
        <row r="2442">
          <cell r="A2442" t="str">
            <v>JMB01114</v>
          </cell>
          <cell r="B2442" t="str">
            <v>TOKO MERY SABAK-JAMBI</v>
          </cell>
          <cell r="C2442">
            <v>199216.36363636365</v>
          </cell>
        </row>
        <row r="2443">
          <cell r="A2443" t="str">
            <v>JMB01118</v>
          </cell>
          <cell r="B2443" t="str">
            <v>MM.ATLANTIC SABAK - JAMBI</v>
          </cell>
          <cell r="C2443">
            <v>3345981.2727272734</v>
          </cell>
        </row>
        <row r="2444">
          <cell r="A2444" t="str">
            <v>JMB01126</v>
          </cell>
          <cell r="B2444" t="str">
            <v>TOKO DUA SERANGKAI SABAK - JAMBI</v>
          </cell>
          <cell r="C2444">
            <v>806465.45454545447</v>
          </cell>
        </row>
        <row r="2445">
          <cell r="A2445" t="str">
            <v>JMB01129</v>
          </cell>
          <cell r="B2445" t="str">
            <v>TOKO H.MAJID SABAK - JAMBI</v>
          </cell>
          <cell r="C2445">
            <v>226800</v>
          </cell>
        </row>
        <row r="2446">
          <cell r="A2446" t="str">
            <v>JMB01147</v>
          </cell>
          <cell r="B2446" t="str">
            <v>BUN SAROLANGUN-JAMBI</v>
          </cell>
          <cell r="C2446">
            <v>2251534.0909090908</v>
          </cell>
        </row>
        <row r="2447">
          <cell r="A2447" t="str">
            <v>JMB01155</v>
          </cell>
          <cell r="B2447" t="str">
            <v>TOKO JP MART LUNCUK -JAMBI</v>
          </cell>
          <cell r="C2447">
            <v>400508.18181818182</v>
          </cell>
        </row>
        <row r="2448">
          <cell r="A2448" t="str">
            <v>JMB01156</v>
          </cell>
          <cell r="B2448" t="str">
            <v>TOKO DR DURIAN LUNCUK SAROLANGUN - JAMBI</v>
          </cell>
          <cell r="C2448">
            <v>536231.59090909094</v>
          </cell>
        </row>
        <row r="2449">
          <cell r="A2449" t="str">
            <v>JMB01165</v>
          </cell>
          <cell r="B2449" t="str">
            <v>QUEEN ACC TOSERBA SAROLANGUN - JAMBI</v>
          </cell>
          <cell r="C2449">
            <v>15640813.636363642</v>
          </cell>
        </row>
        <row r="2450">
          <cell r="A2450" t="str">
            <v>JMB01190</v>
          </cell>
          <cell r="B2450" t="str">
            <v>TOKO GITA KOSMETIK - JAMBI</v>
          </cell>
          <cell r="C2450">
            <v>97627949.772727281</v>
          </cell>
        </row>
        <row r="2451">
          <cell r="A2451" t="str">
            <v>JMB01194</v>
          </cell>
          <cell r="B2451" t="str">
            <v>TOKO REYHAN SINGKUT-JAMBI</v>
          </cell>
          <cell r="C2451">
            <v>818337.27272727282</v>
          </cell>
        </row>
        <row r="2452">
          <cell r="A2452" t="str">
            <v>JMB01207</v>
          </cell>
          <cell r="B2452" t="str">
            <v>MM.KITO - JAMBI</v>
          </cell>
          <cell r="C2452">
            <v>71741.590909090912</v>
          </cell>
        </row>
        <row r="2453">
          <cell r="A2453" t="str">
            <v>JMB01242</v>
          </cell>
          <cell r="B2453" t="str">
            <v>TOK AURA KOSMETIK - JAMBI</v>
          </cell>
          <cell r="C2453">
            <v>1122436.3636363635</v>
          </cell>
        </row>
        <row r="2454">
          <cell r="A2454" t="str">
            <v>JMB01262</v>
          </cell>
          <cell r="B2454" t="str">
            <v>LY KOSMETIK - JAMBI</v>
          </cell>
          <cell r="C2454">
            <v>800799.31818181812</v>
          </cell>
        </row>
        <row r="2455">
          <cell r="A2455" t="str">
            <v>JMB01303</v>
          </cell>
          <cell r="B2455" t="str">
            <v>TOKO RITA TUNGKAL-JAMBI</v>
          </cell>
          <cell r="C2455">
            <v>155710.22727272729</v>
          </cell>
        </row>
        <row r="2456">
          <cell r="A2456" t="str">
            <v>JMB01304</v>
          </cell>
          <cell r="B2456" t="str">
            <v>TOKO YULI TUNGKAL-JAMBI</v>
          </cell>
          <cell r="C2456">
            <v>206038.63636363635</v>
          </cell>
        </row>
        <row r="2457">
          <cell r="A2457" t="str">
            <v>JMB01314</v>
          </cell>
          <cell r="B2457" t="str">
            <v>DEDEK OLSHOP KOSMETIK TUNGKAL-JAMBI</v>
          </cell>
          <cell r="C2457">
            <v>3879390.4827272734</v>
          </cell>
        </row>
        <row r="2458">
          <cell r="A2458" t="str">
            <v>JMB01316</v>
          </cell>
          <cell r="B2458" t="str">
            <v>TOKO VALISHA SHOP TUNGKAL - JAMBI</v>
          </cell>
          <cell r="C2458">
            <v>6130655.4545454551</v>
          </cell>
        </row>
        <row r="2459">
          <cell r="A2459" t="str">
            <v>JMB01322</v>
          </cell>
          <cell r="B2459" t="str">
            <v>DO. CAHAYA WKS - JAMBI</v>
          </cell>
          <cell r="C2459">
            <v>450000</v>
          </cell>
        </row>
        <row r="2460">
          <cell r="A2460" t="str">
            <v>JMB01325</v>
          </cell>
          <cell r="B2460" t="str">
            <v>S MART WKS - JAMBI</v>
          </cell>
          <cell r="C2460">
            <v>1059545.4545454544</v>
          </cell>
        </row>
        <row r="2461">
          <cell r="A2461" t="str">
            <v>JMB01333</v>
          </cell>
          <cell r="B2461" t="str">
            <v>SOPHIE SHOP BEAUTY - JAMBI</v>
          </cell>
          <cell r="C2461">
            <v>6644656.1818181826</v>
          </cell>
        </row>
        <row r="2462">
          <cell r="A2462" t="str">
            <v>JMB01334</v>
          </cell>
          <cell r="B2462" t="str">
            <v>GLAM GLOW SINGKUT - JAMBI</v>
          </cell>
          <cell r="C2462">
            <v>4481822.454545456</v>
          </cell>
        </row>
        <row r="2463">
          <cell r="A2463" t="str">
            <v>JMB01337</v>
          </cell>
          <cell r="B2463" t="str">
            <v>MISS GLAM MA.BUNGO - JAMBI</v>
          </cell>
          <cell r="C2463">
            <v>83008089.409090936</v>
          </cell>
        </row>
        <row r="2464">
          <cell r="A2464" t="str">
            <v>JMB01338</v>
          </cell>
          <cell r="B2464" t="str">
            <v>INAYAH MART RIMBO BUJANG - JAMBI</v>
          </cell>
          <cell r="C2464">
            <v>921436.36363636353</v>
          </cell>
        </row>
        <row r="2465">
          <cell r="A2465" t="str">
            <v>JMB01339</v>
          </cell>
          <cell r="B2465" t="str">
            <v>MISS GLAM - JAMBI</v>
          </cell>
          <cell r="C2465">
            <v>21242268.954545449</v>
          </cell>
        </row>
        <row r="2466">
          <cell r="A2466" t="str">
            <v>JMB01340</v>
          </cell>
          <cell r="B2466" t="str">
            <v>BLUE AND PINK BEAUTY ACC - JAMBI</v>
          </cell>
          <cell r="C2466">
            <v>935024.18181818177</v>
          </cell>
        </row>
        <row r="2467">
          <cell r="A2467" t="str">
            <v>JMB01401</v>
          </cell>
          <cell r="B2467" t="str">
            <v>CV.TEKSINDO LESTARI</v>
          </cell>
          <cell r="C2467">
            <v>7176058.6363636376</v>
          </cell>
        </row>
        <row r="2468">
          <cell r="A2468" t="str">
            <v>JMB01402</v>
          </cell>
          <cell r="B2468" t="str">
            <v>CV.TROPI MART KASANG KUMPEH - JAMBI</v>
          </cell>
          <cell r="C2468">
            <v>2616351.1363636367</v>
          </cell>
        </row>
        <row r="2469">
          <cell r="A2469" t="str">
            <v>JMB01403</v>
          </cell>
          <cell r="B2469" t="str">
            <v>CV.TROPI MART MENDALO - JAMBI</v>
          </cell>
          <cell r="C2469">
            <v>8599364.2272727266</v>
          </cell>
        </row>
        <row r="2470">
          <cell r="A2470" t="str">
            <v>JMB01406</v>
          </cell>
          <cell r="B2470" t="str">
            <v>CV. TROPI MART PASIR PUTIH - JAMBI</v>
          </cell>
          <cell r="C2470">
            <v>1477060.2272727273</v>
          </cell>
        </row>
        <row r="2471">
          <cell r="A2471" t="str">
            <v>JMB01407</v>
          </cell>
          <cell r="B2471" t="str">
            <v>CV.TROPI MART-JMB</v>
          </cell>
          <cell r="C2471">
            <v>3852569.4545454551</v>
          </cell>
        </row>
        <row r="2472">
          <cell r="A2472" t="str">
            <v>JMB01408</v>
          </cell>
          <cell r="B2472" t="str">
            <v>CV.TROPI MART SIJENJANG-JAMBI</v>
          </cell>
          <cell r="C2472">
            <v>10276621.90909091</v>
          </cell>
        </row>
        <row r="2473">
          <cell r="A2473" t="str">
            <v>JMB01409</v>
          </cell>
          <cell r="B2473" t="str">
            <v>CV.TROPI MART UNIT TALANG BAKUNG</v>
          </cell>
          <cell r="C2473">
            <v>2316943.3636363638</v>
          </cell>
        </row>
        <row r="2474">
          <cell r="A2474" t="str">
            <v>JMB01410</v>
          </cell>
          <cell r="B2474" t="str">
            <v>PT.TEMAS ALVINDO-JMB</v>
          </cell>
          <cell r="C2474">
            <v>69849182.227272704</v>
          </cell>
        </row>
        <row r="2475">
          <cell r="A2475" t="str">
            <v>JMB01411</v>
          </cell>
          <cell r="B2475" t="str">
            <v>PT. WIRA VIONA</v>
          </cell>
          <cell r="C2475">
            <v>60060800.045454472</v>
          </cell>
        </row>
        <row r="2476">
          <cell r="A2476" t="str">
            <v>JMB01418</v>
          </cell>
          <cell r="B2476" t="str">
            <v>TOKO YUNI COSMETIK  BUNGO - JAMBI</v>
          </cell>
          <cell r="C2476">
            <v>29127422.727272727</v>
          </cell>
        </row>
        <row r="2477">
          <cell r="A2477" t="str">
            <v>JMB01428</v>
          </cell>
          <cell r="B2477" t="str">
            <v>CASH</v>
          </cell>
          <cell r="C2477">
            <v>3122260</v>
          </cell>
        </row>
        <row r="2478">
          <cell r="A2478" t="str">
            <v>JMB01481</v>
          </cell>
          <cell r="B2478" t="str">
            <v>TOKO ALIESHA MART BUNGO - JAMBI</v>
          </cell>
          <cell r="C2478">
            <v>307104.54545454553</v>
          </cell>
        </row>
        <row r="2479">
          <cell r="A2479" t="str">
            <v>JMB01482</v>
          </cell>
          <cell r="B2479" t="str">
            <v>TOKO MAR AND TEEN BEAUTY STORE-JAMBI</v>
          </cell>
          <cell r="C2479">
            <v>2910388.6363636367</v>
          </cell>
        </row>
        <row r="2480">
          <cell r="A2480" t="str">
            <v>JMB01486</v>
          </cell>
          <cell r="B2480" t="str">
            <v>TOKO FAA SWALAYAN KERINCI - JAMBI</v>
          </cell>
          <cell r="C2480">
            <v>759600</v>
          </cell>
        </row>
        <row r="2481">
          <cell r="A2481" t="str">
            <v>JMB01493</v>
          </cell>
          <cell r="B2481" t="str">
            <v>TOKO AMEL STORE SAROLANGUN - JAMBI</v>
          </cell>
          <cell r="C2481">
            <v>38048532.272727281</v>
          </cell>
        </row>
        <row r="2482">
          <cell r="A2482" t="str">
            <v>JMB01501</v>
          </cell>
          <cell r="B2482" t="str">
            <v>TOKO HATTA RENGAS-JAMBI</v>
          </cell>
          <cell r="C2482">
            <v>6145666.3636363642</v>
          </cell>
        </row>
        <row r="2483">
          <cell r="A2483" t="str">
            <v>JMB01509</v>
          </cell>
          <cell r="B2483" t="str">
            <v>TOKO PUTRIEKA STORE - JAMBI</v>
          </cell>
          <cell r="C2483">
            <v>6773675.4545454541</v>
          </cell>
        </row>
        <row r="2484">
          <cell r="A2484" t="str">
            <v>JMB01511</v>
          </cell>
          <cell r="B2484" t="str">
            <v>APT. SIMPANG PU BUNGO - JAMBI</v>
          </cell>
          <cell r="C2484">
            <v>1754788.6363636365</v>
          </cell>
        </row>
        <row r="2485">
          <cell r="A2485" t="str">
            <v>JMB01521</v>
          </cell>
          <cell r="B2485" t="str">
            <v>TOKO LUCY KOSMETIK</v>
          </cell>
          <cell r="C2485">
            <v>3339776.6363636367</v>
          </cell>
        </row>
        <row r="2486">
          <cell r="A2486" t="str">
            <v>JMB01523</v>
          </cell>
          <cell r="B2486" t="str">
            <v>TOKO TREE BOY SHOP BANGKO - JAMBI</v>
          </cell>
          <cell r="C2486">
            <v>11897918.181818185</v>
          </cell>
        </row>
        <row r="2487">
          <cell r="A2487" t="str">
            <v>JMB01548</v>
          </cell>
          <cell r="B2487" t="str">
            <v>CV.INSPIRATION COSMETICS JAMBI</v>
          </cell>
          <cell r="C2487">
            <v>112426788</v>
          </cell>
        </row>
        <row r="2488">
          <cell r="A2488" t="str">
            <v>JMB01553</v>
          </cell>
          <cell r="B2488" t="str">
            <v>RISKA BEAUTY MERANGIN - JAMBI</v>
          </cell>
          <cell r="C2488">
            <v>1491911.3181818184</v>
          </cell>
        </row>
        <row r="2489">
          <cell r="A2489" t="str">
            <v>JMB01565</v>
          </cell>
          <cell r="B2489" t="str">
            <v>TOKO SUKSES JAYA TUNGKAL - JAMBI</v>
          </cell>
          <cell r="C2489">
            <v>1673545.9090909092</v>
          </cell>
        </row>
        <row r="2490">
          <cell r="A2490" t="str">
            <v>JMB01575</v>
          </cell>
          <cell r="B2490" t="str">
            <v>MM. ZEFA - JAMBI</v>
          </cell>
          <cell r="C2490">
            <v>738754.36363636365</v>
          </cell>
        </row>
        <row r="2491">
          <cell r="A2491" t="str">
            <v>JMB01596</v>
          </cell>
          <cell r="B2491" t="str">
            <v>MM.FAVORITE 89</v>
          </cell>
          <cell r="C2491">
            <v>226800</v>
          </cell>
        </row>
        <row r="2492">
          <cell r="A2492" t="str">
            <v>JMB01597</v>
          </cell>
          <cell r="B2492" t="str">
            <v>MM SJ MART PALL 11</v>
          </cell>
          <cell r="C2492">
            <v>735627.27272727259</v>
          </cell>
        </row>
        <row r="2493">
          <cell r="A2493" t="str">
            <v>JMB01610</v>
          </cell>
          <cell r="B2493" t="str">
            <v>TOKO RISQIA KOSMETIK - JAMBI</v>
          </cell>
          <cell r="C2493">
            <v>3018983.4090909092</v>
          </cell>
        </row>
        <row r="2494">
          <cell r="A2494" t="str">
            <v>JMB01643</v>
          </cell>
          <cell r="B2494" t="str">
            <v>NURHALISA MERLUNG - JAMBI</v>
          </cell>
          <cell r="C2494">
            <v>5722149.8181818193</v>
          </cell>
        </row>
        <row r="2495">
          <cell r="A2495" t="str">
            <v>JMB01648</v>
          </cell>
          <cell r="B2495" t="str">
            <v>TOKO INEL KOSMETIK MERANGIN - JAMBI</v>
          </cell>
          <cell r="C2495">
            <v>5358943.6363636386</v>
          </cell>
        </row>
        <row r="2496">
          <cell r="A2496" t="str">
            <v>JMB01663</v>
          </cell>
          <cell r="B2496" t="str">
            <v>CV.TROPI MART - JAMBI</v>
          </cell>
          <cell r="C2496">
            <v>1931367</v>
          </cell>
        </row>
        <row r="2497">
          <cell r="A2497" t="str">
            <v>JMB01677</v>
          </cell>
          <cell r="B2497" t="str">
            <v>LEGO MART DHARMASRAYA - JAMBI</v>
          </cell>
          <cell r="C2497">
            <v>1941436.3181818181</v>
          </cell>
        </row>
        <row r="2498">
          <cell r="A2498" t="str">
            <v>JMB01681</v>
          </cell>
          <cell r="B2498" t="str">
            <v>NARINA BEAUTY-JAMBI</v>
          </cell>
          <cell r="C2498">
            <v>12039410.681818187</v>
          </cell>
        </row>
        <row r="2499">
          <cell r="A2499" t="str">
            <v>JMB01688</v>
          </cell>
          <cell r="B2499" t="str">
            <v>TOKO SUPRIYANTO KERINCI - JAMBI</v>
          </cell>
          <cell r="C2499">
            <v>23119150.000000004</v>
          </cell>
        </row>
        <row r="2500">
          <cell r="A2500" t="str">
            <v>JMB01690</v>
          </cell>
          <cell r="B2500" t="str">
            <v>MS GLOW KERINCI - JAMBI</v>
          </cell>
          <cell r="C2500">
            <v>953590.90909090894</v>
          </cell>
        </row>
        <row r="2501">
          <cell r="A2501" t="str">
            <v>K.BEU</v>
          </cell>
          <cell r="B2501" t="str">
            <v>KBEAUTY SKINCARE</v>
          </cell>
          <cell r="C2501">
            <v>2771770.9090909087</v>
          </cell>
        </row>
        <row r="2502">
          <cell r="A2502" t="str">
            <v>K00063</v>
          </cell>
          <cell r="B2502" t="str">
            <v>CITY MARKET</v>
          </cell>
          <cell r="C2502">
            <v>402627.27272727271</v>
          </cell>
        </row>
        <row r="2503">
          <cell r="A2503" t="str">
            <v>K00069</v>
          </cell>
          <cell r="B2503" t="str">
            <v>C4 MART</v>
          </cell>
          <cell r="C2503">
            <v>534700</v>
          </cell>
        </row>
        <row r="2504">
          <cell r="A2504" t="str">
            <v>K001</v>
          </cell>
          <cell r="B2504" t="str">
            <v>KANTOR</v>
          </cell>
          <cell r="C2504">
            <v>2817170.4090909092</v>
          </cell>
        </row>
        <row r="2505">
          <cell r="A2505" t="str">
            <v>K027</v>
          </cell>
          <cell r="B2505" t="str">
            <v>KADAI BEAUTY LA</v>
          </cell>
          <cell r="C2505">
            <v>59769975.409090891</v>
          </cell>
        </row>
        <row r="2506">
          <cell r="A2506" t="str">
            <v>k028</v>
          </cell>
          <cell r="B2506" t="str">
            <v>KADAI BEAUTY 2</v>
          </cell>
          <cell r="C2506">
            <v>108495458.72727269</v>
          </cell>
        </row>
        <row r="2507">
          <cell r="A2507" t="str">
            <v>K030</v>
          </cell>
          <cell r="B2507" t="str">
            <v>KIKI K.BATU</v>
          </cell>
          <cell r="C2507">
            <v>459640.90909090906</v>
          </cell>
        </row>
        <row r="2508">
          <cell r="A2508" t="str">
            <v>K037</v>
          </cell>
          <cell r="B2508" t="str">
            <v>KELUARGA ABYAN</v>
          </cell>
          <cell r="C2508">
            <v>671448.63636363647</v>
          </cell>
        </row>
        <row r="2509">
          <cell r="A2509" t="str">
            <v>K039</v>
          </cell>
          <cell r="B2509" t="str">
            <v>KHARVA MART</v>
          </cell>
          <cell r="C2509">
            <v>2311130.6818181821</v>
          </cell>
        </row>
        <row r="2510">
          <cell r="A2510" t="str">
            <v>K040</v>
          </cell>
          <cell r="B2510" t="str">
            <v>KAMARI BEAUTY</v>
          </cell>
          <cell r="C2510">
            <v>991129.09090909094</v>
          </cell>
        </row>
        <row r="2511">
          <cell r="A2511" t="str">
            <v>K041</v>
          </cell>
          <cell r="B2511" t="str">
            <v>KADAI BEAUTY PSM</v>
          </cell>
          <cell r="C2511">
            <v>32811885.727272734</v>
          </cell>
        </row>
        <row r="2512">
          <cell r="A2512" t="str">
            <v>K042</v>
          </cell>
          <cell r="B2512" t="str">
            <v>KYT MART</v>
          </cell>
          <cell r="C2512">
            <v>217284.09090909094</v>
          </cell>
        </row>
        <row r="2513">
          <cell r="A2513" t="str">
            <v>K043</v>
          </cell>
          <cell r="B2513" t="str">
            <v>KADAI MART</v>
          </cell>
          <cell r="C2513">
            <v>1668480.9090909092</v>
          </cell>
        </row>
        <row r="2514">
          <cell r="A2514" t="str">
            <v>K052</v>
          </cell>
          <cell r="B2514" t="str">
            <v>KIM LOY</v>
          </cell>
          <cell r="C2514">
            <v>5581457.7727272753</v>
          </cell>
        </row>
        <row r="2515">
          <cell r="A2515" t="str">
            <v>K058</v>
          </cell>
          <cell r="B2515" t="str">
            <v>Kontan</v>
          </cell>
          <cell r="C2515">
            <v>407226.36363636365</v>
          </cell>
        </row>
        <row r="2516">
          <cell r="A2516" t="str">
            <v>K086</v>
          </cell>
          <cell r="B2516" t="str">
            <v>KODORI / SURYA</v>
          </cell>
          <cell r="C2516">
            <v>236884.09090909097</v>
          </cell>
        </row>
        <row r="2517">
          <cell r="A2517" t="str">
            <v>K101</v>
          </cell>
          <cell r="B2517" t="str">
            <v>KAMCU / BUDI YANTO</v>
          </cell>
          <cell r="C2517">
            <v>168954.54545454544</v>
          </cell>
        </row>
        <row r="2518">
          <cell r="A2518" t="str">
            <v>KAMALA</v>
          </cell>
          <cell r="B2518" t="str">
            <v>KAMALA COSMETIC,TKO</v>
          </cell>
          <cell r="C2518">
            <v>183997859.090909</v>
          </cell>
        </row>
        <row r="2519">
          <cell r="A2519" t="str">
            <v>KBJ004</v>
          </cell>
          <cell r="B2519" t="str">
            <v>MILA PUSPA</v>
          </cell>
          <cell r="C2519">
            <v>503432.72727272729</v>
          </cell>
        </row>
        <row r="2520">
          <cell r="A2520" t="str">
            <v>KBJ007</v>
          </cell>
          <cell r="B2520" t="str">
            <v>SEMPURNA</v>
          </cell>
          <cell r="C2520">
            <v>1128231.8181818181</v>
          </cell>
        </row>
        <row r="2521">
          <cell r="A2521" t="str">
            <v>KBJ016</v>
          </cell>
          <cell r="B2521" t="str">
            <v>KARTA JAYA</v>
          </cell>
          <cell r="C2521">
            <v>1047035.4545454544</v>
          </cell>
        </row>
        <row r="2522">
          <cell r="A2522" t="str">
            <v>KBJ017</v>
          </cell>
          <cell r="B2522" t="str">
            <v>SERBA BARU</v>
          </cell>
          <cell r="C2522">
            <v>22871552.727272734</v>
          </cell>
        </row>
        <row r="2523">
          <cell r="A2523" t="str">
            <v>KBJ021</v>
          </cell>
          <cell r="B2523" t="str">
            <v>TOKO BAHOQU</v>
          </cell>
          <cell r="C2523">
            <v>36235182.363636382</v>
          </cell>
        </row>
        <row r="2524">
          <cell r="A2524" t="str">
            <v>KIMS</v>
          </cell>
          <cell r="B2524" t="str">
            <v>KIM,SHOP</v>
          </cell>
          <cell r="C2524">
            <v>123418116.8181818</v>
          </cell>
        </row>
        <row r="2525">
          <cell r="A2525" t="str">
            <v>KIS002</v>
          </cell>
          <cell r="B2525" t="str">
            <v>ADARA</v>
          </cell>
          <cell r="C2525">
            <v>2446417.2727272729</v>
          </cell>
        </row>
        <row r="2526">
          <cell r="A2526" t="str">
            <v>KIS007</v>
          </cell>
          <cell r="B2526" t="str">
            <v>APOTIK KASIH</v>
          </cell>
          <cell r="C2526">
            <v>1437999.9545454546</v>
          </cell>
        </row>
        <row r="2527">
          <cell r="A2527" t="str">
            <v>KIS015</v>
          </cell>
          <cell r="B2527" t="str">
            <v>ARRAH MART</v>
          </cell>
          <cell r="C2527">
            <v>651313.63636363635</v>
          </cell>
        </row>
        <row r="2528">
          <cell r="A2528" t="str">
            <v>KIS018</v>
          </cell>
          <cell r="B2528" t="str">
            <v>BERKAH JAYA</v>
          </cell>
          <cell r="C2528">
            <v>112236964.90909088</v>
          </cell>
        </row>
        <row r="2529">
          <cell r="A2529" t="str">
            <v>KIS022</v>
          </cell>
          <cell r="B2529" t="str">
            <v>IRIAN KISARAN</v>
          </cell>
          <cell r="C2529">
            <v>19438323.681818187</v>
          </cell>
        </row>
        <row r="2530">
          <cell r="A2530" t="str">
            <v>KIS023</v>
          </cell>
          <cell r="B2530" t="str">
            <v>DAMAI JAYA</v>
          </cell>
          <cell r="C2530">
            <v>2165318.1818181816</v>
          </cell>
        </row>
        <row r="2531">
          <cell r="A2531" t="str">
            <v>KIS026</v>
          </cell>
          <cell r="B2531" t="str">
            <v>HARA FARMA</v>
          </cell>
          <cell r="C2531">
            <v>1599425.8181818184</v>
          </cell>
        </row>
        <row r="2532">
          <cell r="A2532" t="str">
            <v>KIS027</v>
          </cell>
          <cell r="B2532" t="str">
            <v>APOTIK MAKMUR RASUDIN</v>
          </cell>
          <cell r="C2532">
            <v>21995900</v>
          </cell>
        </row>
        <row r="2533">
          <cell r="A2533" t="str">
            <v>KIS046</v>
          </cell>
          <cell r="B2533" t="str">
            <v>TOKO BAHAGIA</v>
          </cell>
          <cell r="C2533">
            <v>26089327.590909097</v>
          </cell>
        </row>
        <row r="2534">
          <cell r="A2534" t="str">
            <v>KIS059</v>
          </cell>
          <cell r="B2534" t="str">
            <v>GIHON FARMA</v>
          </cell>
          <cell r="C2534">
            <v>2232992.0454545459</v>
          </cell>
        </row>
        <row r="2535">
          <cell r="A2535" t="str">
            <v>KIS063</v>
          </cell>
          <cell r="B2535" t="str">
            <v>ATLANTA MARKET</v>
          </cell>
          <cell r="C2535">
            <v>8785675.6363636404</v>
          </cell>
        </row>
        <row r="2536">
          <cell r="A2536" t="str">
            <v>KIS066</v>
          </cell>
          <cell r="B2536" t="str">
            <v>ANEKA BARU</v>
          </cell>
          <cell r="C2536">
            <v>18454745.454545457</v>
          </cell>
        </row>
        <row r="2537">
          <cell r="A2537" t="str">
            <v>KIS070</v>
          </cell>
          <cell r="B2537" t="str">
            <v>TOKO OBAT FAMILY FARMA</v>
          </cell>
          <cell r="C2537">
            <v>1863899.9999999998</v>
          </cell>
        </row>
        <row r="2538">
          <cell r="A2538" t="str">
            <v>KIS074</v>
          </cell>
          <cell r="B2538" t="str">
            <v>APOTIK KARTINI</v>
          </cell>
          <cell r="C2538">
            <v>422629.09090909094</v>
          </cell>
        </row>
        <row r="2539">
          <cell r="A2539" t="str">
            <v>KIS075</v>
          </cell>
          <cell r="B2539" t="str">
            <v>APOTIK FAMILY</v>
          </cell>
          <cell r="C2539">
            <v>-81907.636363636382</v>
          </cell>
        </row>
        <row r="2540">
          <cell r="A2540" t="str">
            <v>KIS077</v>
          </cell>
          <cell r="B2540" t="str">
            <v>APOTIK JAYA FARMA</v>
          </cell>
          <cell r="C2540">
            <v>1540548.1363636365</v>
          </cell>
        </row>
        <row r="2541">
          <cell r="A2541" t="str">
            <v>KIS085</v>
          </cell>
          <cell r="B2541" t="str">
            <v>KISS MART</v>
          </cell>
          <cell r="C2541">
            <v>1061289.8181818181</v>
          </cell>
        </row>
        <row r="2542">
          <cell r="A2542" t="str">
            <v>KIS088</v>
          </cell>
          <cell r="B2542" t="str">
            <v>RINI</v>
          </cell>
          <cell r="C2542">
            <v>1998490.9090909096</v>
          </cell>
        </row>
        <row r="2543">
          <cell r="A2543" t="str">
            <v>KIS090</v>
          </cell>
          <cell r="B2543" t="str">
            <v>UD. PUTRI</v>
          </cell>
          <cell r="C2543">
            <v>-203000</v>
          </cell>
        </row>
        <row r="2544">
          <cell r="A2544" t="str">
            <v>KIS104</v>
          </cell>
          <cell r="B2544" t="str">
            <v>SARI</v>
          </cell>
          <cell r="C2544">
            <v>151500</v>
          </cell>
        </row>
        <row r="2545">
          <cell r="A2545" t="str">
            <v>KIS105</v>
          </cell>
          <cell r="B2545" t="str">
            <v>ANUGRAH</v>
          </cell>
          <cell r="C2545">
            <v>951600.00000000012</v>
          </cell>
        </row>
        <row r="2546">
          <cell r="A2546" t="str">
            <v>KIS112</v>
          </cell>
          <cell r="B2546" t="str">
            <v>GROSIR SAHABAT BARU</v>
          </cell>
          <cell r="C2546">
            <v>449854.54545454547</v>
          </cell>
        </row>
        <row r="2547">
          <cell r="A2547" t="str">
            <v>KIS180</v>
          </cell>
          <cell r="B2547" t="str">
            <v>FOTO COPY RAHMAD ZULPAN</v>
          </cell>
          <cell r="C2547">
            <v>2184156.8181818184</v>
          </cell>
        </row>
        <row r="2548">
          <cell r="A2548" t="str">
            <v>KIS182</v>
          </cell>
          <cell r="B2548" t="str">
            <v>TOKO OBAT IBNU SINA</v>
          </cell>
          <cell r="C2548">
            <v>1669990.9090909092</v>
          </cell>
        </row>
        <row r="2549">
          <cell r="A2549" t="str">
            <v>KIS185</v>
          </cell>
          <cell r="B2549" t="str">
            <v>MARISKHA GRACE</v>
          </cell>
          <cell r="C2549">
            <v>4183954.0909090908</v>
          </cell>
        </row>
        <row r="2550">
          <cell r="A2550" t="str">
            <v>KIS188</v>
          </cell>
          <cell r="B2550" t="str">
            <v>INAGU SHOP</v>
          </cell>
          <cell r="C2550">
            <v>7741302.3181818202</v>
          </cell>
        </row>
        <row r="2551">
          <cell r="A2551" t="str">
            <v>KIS192</v>
          </cell>
          <cell r="B2551" t="str">
            <v>YNS</v>
          </cell>
          <cell r="C2551">
            <v>1771590.9090909089</v>
          </cell>
        </row>
        <row r="2552">
          <cell r="A2552" t="str">
            <v>KIS197</v>
          </cell>
          <cell r="B2552" t="str">
            <v>TOKO OBAT BERKAH JAYA</v>
          </cell>
          <cell r="C2552">
            <v>433663.63636363629</v>
          </cell>
        </row>
        <row r="2553">
          <cell r="A2553" t="str">
            <v>KIS198</v>
          </cell>
          <cell r="B2553" t="str">
            <v>APOTIK SAHABAT KASIH</v>
          </cell>
          <cell r="C2553">
            <v>1775803.0909090908</v>
          </cell>
        </row>
        <row r="2554">
          <cell r="A2554" t="str">
            <v>KIS199</v>
          </cell>
          <cell r="B2554" t="str">
            <v>TO LARISMA</v>
          </cell>
          <cell r="C2554">
            <v>307520.45454545465</v>
          </cell>
        </row>
        <row r="2555">
          <cell r="A2555" t="str">
            <v>KIS201</v>
          </cell>
          <cell r="B2555" t="str">
            <v>TO AEK KUASAN</v>
          </cell>
          <cell r="C2555">
            <v>1224430.9090909089</v>
          </cell>
        </row>
        <row r="2556">
          <cell r="A2556" t="str">
            <v>KIS202</v>
          </cell>
          <cell r="B2556" t="str">
            <v>TO SEMPURNA</v>
          </cell>
          <cell r="C2556">
            <v>635727.27272727271</v>
          </cell>
        </row>
        <row r="2557">
          <cell r="A2557" t="str">
            <v>KIS203</v>
          </cell>
          <cell r="B2557" t="str">
            <v>KAK SANTI ACC</v>
          </cell>
          <cell r="C2557">
            <v>409324.54545454547</v>
          </cell>
        </row>
        <row r="2558">
          <cell r="A2558" t="str">
            <v>KIS204</v>
          </cell>
          <cell r="B2558" t="str">
            <v>AP JAYA FARMA KISARAN</v>
          </cell>
          <cell r="C2558">
            <v>521563.63636363635</v>
          </cell>
        </row>
        <row r="2559">
          <cell r="A2559" t="str">
            <v>KIS205</v>
          </cell>
          <cell r="B2559" t="str">
            <v>AP TIARA FARMA</v>
          </cell>
          <cell r="C2559">
            <v>456663.63636363629</v>
          </cell>
        </row>
        <row r="2560">
          <cell r="A2560" t="str">
            <v>KITA.TANPU</v>
          </cell>
          <cell r="B2560" t="str">
            <v>CV.KITA TANPUR</v>
          </cell>
          <cell r="C2560">
            <v>142755308.72727269</v>
          </cell>
        </row>
        <row r="2561">
          <cell r="A2561" t="str">
            <v>KPN001</v>
          </cell>
          <cell r="B2561" t="str">
            <v>TOKO AWIE</v>
          </cell>
          <cell r="C2561">
            <v>-174623.18181818182</v>
          </cell>
        </row>
        <row r="2562">
          <cell r="A2562" t="str">
            <v>KSP006</v>
          </cell>
          <cell r="B2562" t="str">
            <v>BUTET JONI</v>
          </cell>
          <cell r="C2562">
            <v>17096520.272727273</v>
          </cell>
        </row>
        <row r="2563">
          <cell r="A2563" t="str">
            <v>KSR-PT</v>
          </cell>
          <cell r="B2563" t="str">
            <v>KAISAR SWALAYAN</v>
          </cell>
          <cell r="C2563">
            <v>1561036.9090909089</v>
          </cell>
        </row>
        <row r="2564">
          <cell r="A2564" t="str">
            <v>KTA</v>
          </cell>
          <cell r="B2564" t="str">
            <v>CV.KITA (HANASUI)</v>
          </cell>
          <cell r="C2564">
            <v>288639958.90909088</v>
          </cell>
        </row>
        <row r="2565">
          <cell r="A2565" t="str">
            <v>KTA.JAWI</v>
          </cell>
          <cell r="B2565" t="str">
            <v>CV.KITA COSMETIC  (JAWI)</v>
          </cell>
          <cell r="C2565">
            <v>167533647.81818175</v>
          </cell>
        </row>
        <row r="2566">
          <cell r="A2566" t="str">
            <v>KWN</v>
          </cell>
          <cell r="B2566" t="str">
            <v>KAWAN KITA ,TO SANGGAU</v>
          </cell>
          <cell r="C2566">
            <v>493142.72727272729</v>
          </cell>
        </row>
        <row r="2567">
          <cell r="A2567" t="str">
            <v>L002</v>
          </cell>
          <cell r="B2567" t="str">
            <v>LAPAN DELAPAN MART</v>
          </cell>
          <cell r="C2567">
            <v>619377.27272727271</v>
          </cell>
        </row>
        <row r="2568">
          <cell r="A2568" t="str">
            <v>L003</v>
          </cell>
          <cell r="B2568" t="str">
            <v>LAPAU JAYA</v>
          </cell>
          <cell r="C2568">
            <v>171675</v>
          </cell>
        </row>
        <row r="2569">
          <cell r="A2569" t="str">
            <v>L005</v>
          </cell>
          <cell r="B2569" t="str">
            <v>LEN AIR HAJI</v>
          </cell>
          <cell r="C2569">
            <v>4059974.7272727289</v>
          </cell>
        </row>
        <row r="2570">
          <cell r="A2570" t="str">
            <v>L011</v>
          </cell>
          <cell r="B2570" t="str">
            <v>LUTFI SWALAYAN</v>
          </cell>
          <cell r="C2570">
            <v>1054918.6363636362</v>
          </cell>
        </row>
        <row r="2571">
          <cell r="A2571" t="str">
            <v>L014</v>
          </cell>
          <cell r="B2571" t="str">
            <v>LANINA MAKEUP</v>
          </cell>
          <cell r="C2571">
            <v>3497646.5454545468</v>
          </cell>
        </row>
        <row r="2572">
          <cell r="A2572" t="str">
            <v>L015</v>
          </cell>
          <cell r="B2572" t="str">
            <v>LSB</v>
          </cell>
          <cell r="C2572">
            <v>2825821.1363636367</v>
          </cell>
        </row>
        <row r="2573">
          <cell r="A2573" t="str">
            <v>L024</v>
          </cell>
          <cell r="B2573" t="str">
            <v>LINA PARIAMAN</v>
          </cell>
          <cell r="C2573">
            <v>1846352.7272727273</v>
          </cell>
        </row>
        <row r="2574">
          <cell r="A2574" t="str">
            <v>L066</v>
          </cell>
          <cell r="B2574" t="str">
            <v>LENGKUAS JAYA / ENI</v>
          </cell>
          <cell r="C2574">
            <v>55626.136363636375</v>
          </cell>
        </row>
        <row r="2575">
          <cell r="A2575" t="str">
            <v>LADY</v>
          </cell>
          <cell r="B2575" t="str">
            <v>LADY SHOP,BUKIT KELAM</v>
          </cell>
          <cell r="C2575">
            <v>2169118.0909090908</v>
          </cell>
        </row>
        <row r="2576">
          <cell r="A2576" t="str">
            <v>LENI.</v>
          </cell>
          <cell r="B2576" t="str">
            <v>LENI TOKO,KETAPANG</v>
          </cell>
          <cell r="C2576">
            <v>158931.81818181818</v>
          </cell>
        </row>
        <row r="2577">
          <cell r="A2577" t="str">
            <v>LING</v>
          </cell>
          <cell r="B2577" t="str">
            <v>LING LING ,TO</v>
          </cell>
          <cell r="C2577">
            <v>995518.63636363624</v>
          </cell>
        </row>
        <row r="2578">
          <cell r="A2578" t="str">
            <v>LIS.</v>
          </cell>
          <cell r="B2578" t="str">
            <v>LISBEAUTY,SAMBAS</v>
          </cell>
          <cell r="C2578">
            <v>3005105.4545454555</v>
          </cell>
        </row>
        <row r="2579">
          <cell r="A2579" t="str">
            <v>LPK004</v>
          </cell>
          <cell r="B2579" t="str">
            <v>LEO GROSIR</v>
          </cell>
          <cell r="C2579">
            <v>997200</v>
          </cell>
        </row>
        <row r="2580">
          <cell r="A2580" t="str">
            <v>LPK006</v>
          </cell>
          <cell r="B2580" t="str">
            <v>DELIMAS PAKAM</v>
          </cell>
          <cell r="C2580">
            <v>1966180.2272727275</v>
          </cell>
        </row>
        <row r="2581">
          <cell r="A2581" t="str">
            <v>LPK007</v>
          </cell>
          <cell r="B2581" t="str">
            <v>ALAM BARU SUMI</v>
          </cell>
          <cell r="C2581">
            <v>13698893.636363635</v>
          </cell>
        </row>
        <row r="2582">
          <cell r="A2582" t="str">
            <v>LPK009</v>
          </cell>
          <cell r="B2582" t="str">
            <v>TOKO AYUNG PAKAM</v>
          </cell>
          <cell r="C2582">
            <v>11815215.000000004</v>
          </cell>
        </row>
        <row r="2583">
          <cell r="A2583" t="str">
            <v>LPK012</v>
          </cell>
          <cell r="B2583" t="str">
            <v>PUTRI REZEKI</v>
          </cell>
          <cell r="C2583">
            <v>-123613.63636363637</v>
          </cell>
        </row>
        <row r="2584">
          <cell r="A2584" t="str">
            <v>LSW003</v>
          </cell>
          <cell r="B2584" t="str">
            <v xml:space="preserve">UD.TIARA </v>
          </cell>
          <cell r="C2584">
            <v>140343581.99999997</v>
          </cell>
        </row>
        <row r="2585">
          <cell r="A2585" t="str">
            <v>LSW005</v>
          </cell>
          <cell r="B2585" t="str">
            <v>ROMA LHOKSEUMAWE</v>
          </cell>
          <cell r="C2585">
            <v>4146547.9090909092</v>
          </cell>
        </row>
        <row r="2586">
          <cell r="A2586" t="str">
            <v>LSW007</v>
          </cell>
          <cell r="B2586" t="str">
            <v>HIJRAH STORE</v>
          </cell>
          <cell r="C2586">
            <v>36232290.909090906</v>
          </cell>
        </row>
        <row r="2587">
          <cell r="A2587" t="str">
            <v>M.MODE</v>
          </cell>
          <cell r="B2587" t="str">
            <v>MITRA MODE,SEKADAU</v>
          </cell>
          <cell r="C2587">
            <v>22328179.636363648</v>
          </cell>
        </row>
        <row r="2588">
          <cell r="A2588" t="str">
            <v>M001</v>
          </cell>
          <cell r="B2588" t="str">
            <v>MAJU BERSAMA</v>
          </cell>
          <cell r="C2588">
            <v>4006084.0909090904</v>
          </cell>
        </row>
        <row r="2589">
          <cell r="A2589" t="str">
            <v>M003</v>
          </cell>
          <cell r="B2589" t="str">
            <v>MAKE UP HOLIC</v>
          </cell>
          <cell r="C2589">
            <v>13356076.772727275</v>
          </cell>
        </row>
        <row r="2590">
          <cell r="A2590" t="str">
            <v>M004</v>
          </cell>
          <cell r="B2590" t="str">
            <v>M &amp; N / BONG LIAK</v>
          </cell>
          <cell r="C2590">
            <v>-135218.18181818182</v>
          </cell>
        </row>
        <row r="2591">
          <cell r="A2591" t="str">
            <v>M005</v>
          </cell>
          <cell r="B2591" t="str">
            <v>MALTA MART</v>
          </cell>
          <cell r="C2591">
            <v>347606.59090909094</v>
          </cell>
        </row>
        <row r="2592">
          <cell r="A2592" t="str">
            <v>M008</v>
          </cell>
          <cell r="B2592" t="str">
            <v>CV. MAJU JAYA GROSIR</v>
          </cell>
          <cell r="C2592">
            <v>292131.81818181823</v>
          </cell>
        </row>
        <row r="2593">
          <cell r="A2593" t="str">
            <v>M010</v>
          </cell>
          <cell r="B2593" t="str">
            <v>MASYITAH</v>
          </cell>
          <cell r="C2593">
            <v>3348913.3181818188</v>
          </cell>
        </row>
        <row r="2594">
          <cell r="A2594" t="str">
            <v>M014</v>
          </cell>
          <cell r="B2594" t="str">
            <v>MEGA SARI</v>
          </cell>
          <cell r="C2594">
            <v>4510290.8636363633</v>
          </cell>
        </row>
        <row r="2595">
          <cell r="A2595" t="str">
            <v>M015</v>
          </cell>
          <cell r="B2595" t="str">
            <v>MELLA COSMETIC</v>
          </cell>
          <cell r="C2595">
            <v>78765494.727272719</v>
          </cell>
        </row>
        <row r="2596">
          <cell r="A2596" t="str">
            <v>M017</v>
          </cell>
          <cell r="B2596" t="str">
            <v>MELLY MM</v>
          </cell>
          <cell r="C2596">
            <v>735324.5454545453</v>
          </cell>
        </row>
        <row r="2597">
          <cell r="A2597" t="str">
            <v>M020</v>
          </cell>
          <cell r="B2597" t="str">
            <v>MIA COSMETIK</v>
          </cell>
          <cell r="C2597">
            <v>1059837.7727272727</v>
          </cell>
        </row>
        <row r="2598">
          <cell r="A2598" t="str">
            <v>M021</v>
          </cell>
          <cell r="B2598" t="str">
            <v>MILLIONARE</v>
          </cell>
          <cell r="C2598">
            <v>509652.63636363629</v>
          </cell>
        </row>
        <row r="2599">
          <cell r="A2599" t="str">
            <v>M024</v>
          </cell>
          <cell r="B2599" t="str">
            <v>MISS GLAM</v>
          </cell>
          <cell r="C2599">
            <v>154706026.22727269</v>
          </cell>
        </row>
        <row r="2600">
          <cell r="A2600" t="str">
            <v>M025</v>
          </cell>
          <cell r="B2600" t="str">
            <v>MITRA BASO</v>
          </cell>
          <cell r="C2600">
            <v>4419482.7727272725</v>
          </cell>
        </row>
        <row r="2601">
          <cell r="A2601" t="str">
            <v>M027</v>
          </cell>
          <cell r="B2601" t="str">
            <v>MEGA GLORY</v>
          </cell>
          <cell r="C2601">
            <v>-320877.18181818182</v>
          </cell>
        </row>
        <row r="2602">
          <cell r="A2602" t="str">
            <v>M028</v>
          </cell>
          <cell r="B2602" t="str">
            <v>MM 2000</v>
          </cell>
          <cell r="C2602">
            <v>883362.54545454541</v>
          </cell>
        </row>
        <row r="2603">
          <cell r="A2603" t="str">
            <v>M032</v>
          </cell>
          <cell r="B2603" t="str">
            <v>MM HIKMAH MANGGUNG</v>
          </cell>
          <cell r="C2603">
            <v>687068.18181818177</v>
          </cell>
        </row>
        <row r="2604">
          <cell r="A2604" t="str">
            <v>M033</v>
          </cell>
          <cell r="B2604" t="str">
            <v>MM HIKMAH NAREH</v>
          </cell>
          <cell r="C2604">
            <v>587539.77272727282</v>
          </cell>
        </row>
        <row r="2605">
          <cell r="A2605" t="str">
            <v>M034</v>
          </cell>
          <cell r="B2605" t="str">
            <v>MM MART</v>
          </cell>
          <cell r="C2605">
            <v>1015125</v>
          </cell>
        </row>
        <row r="2606">
          <cell r="A2606" t="str">
            <v>M036</v>
          </cell>
          <cell r="B2606" t="str">
            <v>MM PUTRI</v>
          </cell>
          <cell r="C2606">
            <v>1436176.0000000002</v>
          </cell>
        </row>
        <row r="2607">
          <cell r="A2607" t="str">
            <v>M037</v>
          </cell>
          <cell r="B2607" t="str">
            <v>MM TIGA PUTRA ML</v>
          </cell>
          <cell r="C2607">
            <v>2426737.2727272729</v>
          </cell>
        </row>
        <row r="2608">
          <cell r="A2608" t="str">
            <v>M039</v>
          </cell>
          <cell r="B2608" t="str">
            <v>MONICA COSMETIC</v>
          </cell>
          <cell r="C2608">
            <v>431498.81818181812</v>
          </cell>
        </row>
        <row r="2609">
          <cell r="A2609" t="str">
            <v>M040</v>
          </cell>
          <cell r="B2609" t="str">
            <v>MUTIARA STORE</v>
          </cell>
          <cell r="C2609">
            <v>301104.54545454541</v>
          </cell>
        </row>
        <row r="2610">
          <cell r="A2610" t="str">
            <v>M048</v>
          </cell>
          <cell r="B2610" t="str">
            <v>MITRA SARANA</v>
          </cell>
          <cell r="C2610">
            <v>1624761.1363636362</v>
          </cell>
        </row>
        <row r="2611">
          <cell r="A2611" t="str">
            <v>M057</v>
          </cell>
          <cell r="B2611" t="str">
            <v>MAN BASO</v>
          </cell>
          <cell r="C2611">
            <v>1591408.8181818181</v>
          </cell>
        </row>
        <row r="2612">
          <cell r="A2612" t="str">
            <v>M058</v>
          </cell>
          <cell r="B2612" t="str">
            <v>MISS GLAM BKT</v>
          </cell>
          <cell r="C2612">
            <v>79250383.954545408</v>
          </cell>
        </row>
        <row r="2613">
          <cell r="A2613" t="str">
            <v>M060</v>
          </cell>
          <cell r="B2613" t="str">
            <v>MAHKOTA PASAMAN</v>
          </cell>
          <cell r="C2613">
            <v>1153397.8636363638</v>
          </cell>
        </row>
        <row r="2614">
          <cell r="A2614" t="str">
            <v>M063</v>
          </cell>
          <cell r="B2614" t="str">
            <v>MM. PELANGI / LENA</v>
          </cell>
          <cell r="C2614">
            <v>3776136.727272728</v>
          </cell>
        </row>
        <row r="2615">
          <cell r="A2615" t="str">
            <v>M065</v>
          </cell>
          <cell r="B2615" t="str">
            <v>MAMA COSS 3</v>
          </cell>
          <cell r="C2615">
            <v>3758986.3636363633</v>
          </cell>
        </row>
        <row r="2616">
          <cell r="A2616" t="str">
            <v>M067</v>
          </cell>
          <cell r="B2616" t="str">
            <v>MOOI BEAUTY AND MAKEUP STORE</v>
          </cell>
          <cell r="C2616">
            <v>7191763.6363636376</v>
          </cell>
        </row>
        <row r="2617">
          <cell r="A2617" t="str">
            <v>M070</v>
          </cell>
          <cell r="B2617" t="str">
            <v>MISS GLAM DAMAR</v>
          </cell>
          <cell r="C2617">
            <v>116816917.1818182</v>
          </cell>
        </row>
        <row r="2618">
          <cell r="A2618" t="str">
            <v>M072</v>
          </cell>
          <cell r="B2618" t="str">
            <v>MISS GLAM PAYAKUMBUH</v>
          </cell>
          <cell r="C2618">
            <v>88082346.818181798</v>
          </cell>
        </row>
        <row r="2619">
          <cell r="A2619" t="str">
            <v>M074</v>
          </cell>
          <cell r="B2619" t="str">
            <v>MALTA MART LUBEG</v>
          </cell>
          <cell r="C2619">
            <v>505150.909090909</v>
          </cell>
        </row>
        <row r="2620">
          <cell r="A2620" t="str">
            <v>M076</v>
          </cell>
          <cell r="B2620" t="str">
            <v>MITRA MART / ATJUI</v>
          </cell>
          <cell r="C2620">
            <v>84000</v>
          </cell>
        </row>
        <row r="2621">
          <cell r="A2621" t="str">
            <v>M078</v>
          </cell>
          <cell r="B2621" t="str">
            <v>MM MART 2</v>
          </cell>
          <cell r="C2621">
            <v>1019950.2272727272</v>
          </cell>
        </row>
        <row r="2622">
          <cell r="A2622" t="str">
            <v>M079</v>
          </cell>
          <cell r="B2622" t="str">
            <v>MISS GLAM SOLOK</v>
          </cell>
          <cell r="C2622">
            <v>47280131.727272727</v>
          </cell>
        </row>
        <row r="2623">
          <cell r="A2623" t="str">
            <v>M080</v>
          </cell>
          <cell r="B2623" t="str">
            <v>MARIANA / MARYANTO</v>
          </cell>
          <cell r="C2623">
            <v>60000</v>
          </cell>
        </row>
        <row r="2624">
          <cell r="A2624" t="str">
            <v>M081</v>
          </cell>
          <cell r="B2624" t="str">
            <v>MEGA STORE BKT</v>
          </cell>
          <cell r="C2624">
            <v>151200</v>
          </cell>
        </row>
        <row r="2625">
          <cell r="A2625" t="str">
            <v>M084</v>
          </cell>
          <cell r="B2625" t="str">
            <v>MARIN SHOP</v>
          </cell>
          <cell r="C2625">
            <v>13126566.136363639</v>
          </cell>
        </row>
        <row r="2626">
          <cell r="A2626" t="str">
            <v>M086</v>
          </cell>
          <cell r="B2626" t="str">
            <v>MINDA COSMETIK</v>
          </cell>
          <cell r="C2626">
            <v>3415869.5454545463</v>
          </cell>
        </row>
        <row r="2627">
          <cell r="A2627" t="str">
            <v>M090</v>
          </cell>
          <cell r="B2627" t="str">
            <v>MULIA MART</v>
          </cell>
          <cell r="C2627">
            <v>171000</v>
          </cell>
        </row>
        <row r="2628">
          <cell r="A2628" t="str">
            <v>M092</v>
          </cell>
          <cell r="B2628" t="str">
            <v>MISS GLAM SUTOMO</v>
          </cell>
          <cell r="C2628">
            <v>113994256.54545455</v>
          </cell>
        </row>
        <row r="2629">
          <cell r="A2629" t="str">
            <v>M093</v>
          </cell>
          <cell r="B2629" t="str">
            <v>MULIA BABY SHOP</v>
          </cell>
          <cell r="C2629">
            <v>1809951.8181818181</v>
          </cell>
        </row>
        <row r="2630">
          <cell r="A2630" t="str">
            <v>M094</v>
          </cell>
          <cell r="B2630" t="str">
            <v>MISS GLAM PASAMAN</v>
          </cell>
          <cell r="C2630">
            <v>63153489.636363648</v>
          </cell>
        </row>
        <row r="2631">
          <cell r="A2631" t="str">
            <v>M131</v>
          </cell>
          <cell r="B2631" t="str">
            <v>MELIA</v>
          </cell>
          <cell r="C2631">
            <v>152397409.49999994</v>
          </cell>
        </row>
        <row r="2632">
          <cell r="A2632" t="str">
            <v>M143</v>
          </cell>
          <cell r="B2632" t="str">
            <v>MARLINA / MAULANA AKSHAN</v>
          </cell>
          <cell r="C2632">
            <v>42000</v>
          </cell>
        </row>
        <row r="2633">
          <cell r="A2633" t="str">
            <v>M151</v>
          </cell>
          <cell r="B2633" t="str">
            <v>MUDAH REZEKI / HENG TJIAM TJHU</v>
          </cell>
          <cell r="C2633">
            <v>1388910.0909090908</v>
          </cell>
        </row>
        <row r="2634">
          <cell r="A2634" t="str">
            <v>M152</v>
          </cell>
          <cell r="B2634" t="str">
            <v>MAK LONG / RUZITA</v>
          </cell>
          <cell r="C2634">
            <v>112636.36363636363</v>
          </cell>
        </row>
        <row r="2635">
          <cell r="A2635" t="str">
            <v>M160</v>
          </cell>
          <cell r="B2635" t="str">
            <v>MECC UP / TESA RAHMELIA</v>
          </cell>
          <cell r="C2635">
            <v>2271905.2272727275</v>
          </cell>
        </row>
        <row r="2636">
          <cell r="A2636" t="str">
            <v>M216</v>
          </cell>
          <cell r="B2636" t="str">
            <v>MAMA FRESH / MARTEN AMOS</v>
          </cell>
          <cell r="C2636">
            <v>205022.04545454547</v>
          </cell>
        </row>
        <row r="2637">
          <cell r="A2637" t="str">
            <v>M220</v>
          </cell>
          <cell r="B2637" t="str">
            <v>PT. MONI OSHA INOVASI</v>
          </cell>
          <cell r="C2637">
            <v>84832982.454545468</v>
          </cell>
        </row>
        <row r="2638">
          <cell r="A2638" t="str">
            <v>M224</v>
          </cell>
          <cell r="B2638" t="str">
            <v>MAMA FRESH PASAR MODERN / MARTEN AMOS</v>
          </cell>
          <cell r="C2638">
            <v>919815.68181818188</v>
          </cell>
        </row>
        <row r="2639">
          <cell r="A2639" t="str">
            <v>MA3</v>
          </cell>
          <cell r="B2639" t="str">
            <v>MITRA ABADI,TK</v>
          </cell>
          <cell r="C2639">
            <v>2603886.9545454551</v>
          </cell>
        </row>
        <row r="2640">
          <cell r="A2640" t="str">
            <v>MANS</v>
          </cell>
          <cell r="B2640" t="str">
            <v>MANJUR, APOTEK</v>
          </cell>
          <cell r="C2640">
            <v>538249.09090909082</v>
          </cell>
        </row>
        <row r="2641">
          <cell r="A2641" t="str">
            <v>MART</v>
          </cell>
          <cell r="B2641" t="str">
            <v>GRAND MART,SM</v>
          </cell>
          <cell r="C2641">
            <v>3845205.0000000019</v>
          </cell>
        </row>
        <row r="2642">
          <cell r="A2642" t="str">
            <v>MA-SM</v>
          </cell>
          <cell r="B2642" t="str">
            <v>MITRA ANDA - B024</v>
          </cell>
          <cell r="C2642">
            <v>3655070.727272728</v>
          </cell>
        </row>
        <row r="2643">
          <cell r="A2643" t="str">
            <v>MDG001</v>
          </cell>
          <cell r="B2643" t="str">
            <v>EVA FARMA</v>
          </cell>
          <cell r="C2643">
            <v>3117296.6363636372</v>
          </cell>
        </row>
        <row r="2644">
          <cell r="A2644" t="str">
            <v>MDN015</v>
          </cell>
          <cell r="B2644" t="str">
            <v>ASIONG</v>
          </cell>
          <cell r="C2644">
            <v>145023222</v>
          </cell>
        </row>
        <row r="2645">
          <cell r="A2645" t="str">
            <v>MDN018</v>
          </cell>
          <cell r="B2645" t="str">
            <v>SINU KABAN</v>
          </cell>
          <cell r="C2645">
            <v>451063.63636363629</v>
          </cell>
        </row>
        <row r="2646">
          <cell r="A2646" t="str">
            <v>MDN021</v>
          </cell>
          <cell r="B2646" t="str">
            <v>TOKO UD ABEL SINUHAJI/SEBELAH WARMAT</v>
          </cell>
          <cell r="C2646">
            <v>3615654.5454545449</v>
          </cell>
        </row>
        <row r="2647">
          <cell r="A2647" t="str">
            <v>MDN029</v>
          </cell>
          <cell r="B2647" t="str">
            <v>TATA COSMETICS</v>
          </cell>
          <cell r="C2647">
            <v>740740.90909090894</v>
          </cell>
        </row>
        <row r="2648">
          <cell r="A2648" t="str">
            <v>MDN032</v>
          </cell>
          <cell r="B2648" t="str">
            <v>ZALFA COSMETICS</v>
          </cell>
          <cell r="C2648">
            <v>247673.63636363638</v>
          </cell>
        </row>
        <row r="2649">
          <cell r="A2649" t="str">
            <v>MDN033</v>
          </cell>
          <cell r="B2649" t="str">
            <v>GRACE</v>
          </cell>
          <cell r="C2649">
            <v>198790.90909090909</v>
          </cell>
        </row>
        <row r="2650">
          <cell r="A2650" t="str">
            <v>MDN036</v>
          </cell>
          <cell r="B2650" t="str">
            <v>JAYA BARU</v>
          </cell>
          <cell r="C2650">
            <v>1165962.2727272729</v>
          </cell>
        </row>
        <row r="2651">
          <cell r="A2651" t="str">
            <v>MDN042</v>
          </cell>
          <cell r="B2651" t="str">
            <v>SIMPHONY</v>
          </cell>
          <cell r="C2651">
            <v>266400.00000000006</v>
          </cell>
        </row>
        <row r="2652">
          <cell r="A2652" t="str">
            <v>MDN043</v>
          </cell>
          <cell r="B2652" t="str">
            <v>TOKO OCHA</v>
          </cell>
          <cell r="C2652">
            <v>317863.63636363635</v>
          </cell>
        </row>
        <row r="2653">
          <cell r="A2653" t="str">
            <v>MDN052</v>
          </cell>
          <cell r="B2653" t="str">
            <v>CITRA FANS</v>
          </cell>
          <cell r="C2653">
            <v>1197799.5909090908</v>
          </cell>
        </row>
        <row r="2654">
          <cell r="A2654" t="str">
            <v>MDN054</v>
          </cell>
          <cell r="B2654" t="str">
            <v>SERBU CITRA</v>
          </cell>
          <cell r="C2654">
            <v>3120427.5</v>
          </cell>
        </row>
        <row r="2655">
          <cell r="A2655" t="str">
            <v>MDN055</v>
          </cell>
          <cell r="B2655" t="str">
            <v>SERBU ACEN</v>
          </cell>
          <cell r="C2655">
            <v>2248098.75</v>
          </cell>
        </row>
        <row r="2656">
          <cell r="A2656" t="str">
            <v>MDN067</v>
          </cell>
          <cell r="B2656" t="str">
            <v>TOKO BLESS</v>
          </cell>
          <cell r="C2656">
            <v>642874.09090909082</v>
          </cell>
        </row>
        <row r="2657">
          <cell r="A2657" t="str">
            <v>MDN069</v>
          </cell>
          <cell r="B2657" t="str">
            <v>AUDREY COS</v>
          </cell>
          <cell r="C2657">
            <v>6345117.2727272734</v>
          </cell>
        </row>
        <row r="2658">
          <cell r="A2658" t="str">
            <v>MDN071</v>
          </cell>
          <cell r="B2658" t="str">
            <v>PINK COSMETICS</v>
          </cell>
          <cell r="C2658">
            <v>19239794.545454543</v>
          </cell>
        </row>
        <row r="2659">
          <cell r="A2659" t="str">
            <v>MDN073</v>
          </cell>
          <cell r="B2659" t="str">
            <v>TOKO SINAR BARU</v>
          </cell>
          <cell r="C2659">
            <v>1776910.9090909089</v>
          </cell>
        </row>
        <row r="2660">
          <cell r="A2660" t="str">
            <v>MDN076</v>
          </cell>
          <cell r="B2660" t="str">
            <v>CASH</v>
          </cell>
          <cell r="C2660">
            <v>25000</v>
          </cell>
        </row>
        <row r="2661">
          <cell r="A2661" t="str">
            <v>MDN093</v>
          </cell>
          <cell r="B2661" t="str">
            <v>RAMLI COSMETIC</v>
          </cell>
          <cell r="C2661">
            <v>1638773.1818181819</v>
          </cell>
        </row>
        <row r="2662">
          <cell r="A2662" t="str">
            <v>MDN100</v>
          </cell>
          <cell r="B2662" t="str">
            <v>TOKO BERKAT ABADI</v>
          </cell>
          <cell r="C2662">
            <v>2834654.3181818188</v>
          </cell>
        </row>
        <row r="2663">
          <cell r="A2663" t="str">
            <v>MDN101</v>
          </cell>
          <cell r="B2663" t="str">
            <v>AMAR COS</v>
          </cell>
          <cell r="C2663">
            <v>520690.909090909</v>
          </cell>
        </row>
        <row r="2664">
          <cell r="A2664" t="str">
            <v>MDN109</v>
          </cell>
          <cell r="B2664" t="str">
            <v>TOKO NANDO COSMETIC</v>
          </cell>
          <cell r="C2664">
            <v>620196.59090909082</v>
          </cell>
        </row>
        <row r="2665">
          <cell r="A2665" t="str">
            <v>MDN112</v>
          </cell>
          <cell r="B2665" t="str">
            <v>HANS COSMETIC</v>
          </cell>
          <cell r="C2665">
            <v>2231512.7272727285</v>
          </cell>
        </row>
        <row r="2666">
          <cell r="A2666" t="str">
            <v>MDN113</v>
          </cell>
          <cell r="B2666" t="str">
            <v>RAYMOND COSMETIC</v>
          </cell>
          <cell r="C2666">
            <v>540035.90909090906</v>
          </cell>
        </row>
        <row r="2667">
          <cell r="A2667" t="str">
            <v>MDN114</v>
          </cell>
          <cell r="B2667" t="str">
            <v>TOKO ENDANG KUALA</v>
          </cell>
          <cell r="C2667">
            <v>1929010.9090909089</v>
          </cell>
        </row>
        <row r="2668">
          <cell r="A2668" t="str">
            <v>MDN117</v>
          </cell>
          <cell r="B2668" t="str">
            <v>TOKO GEISHA</v>
          </cell>
          <cell r="C2668">
            <v>1254041.8181818179</v>
          </cell>
        </row>
        <row r="2669">
          <cell r="A2669" t="str">
            <v>MDN120</v>
          </cell>
          <cell r="B2669" t="str">
            <v>TOKO WILCHEL</v>
          </cell>
          <cell r="C2669">
            <v>620575812.81818199</v>
          </cell>
        </row>
        <row r="2670">
          <cell r="A2670" t="str">
            <v>MDN121</v>
          </cell>
          <cell r="B2670" t="str">
            <v>ACHIN COSMETIC / NATALIE</v>
          </cell>
          <cell r="C2670">
            <v>503723498.18181825</v>
          </cell>
        </row>
        <row r="2671">
          <cell r="A2671" t="str">
            <v>MDN123</v>
          </cell>
          <cell r="B2671" t="str">
            <v>BEAUTY COSMETIC</v>
          </cell>
          <cell r="C2671">
            <v>1448922845.9999995</v>
          </cell>
        </row>
        <row r="2672">
          <cell r="A2672" t="str">
            <v>MDN135</v>
          </cell>
          <cell r="B2672" t="str">
            <v>EVA COSMETICS</v>
          </cell>
          <cell r="C2672">
            <v>532800.00000000012</v>
          </cell>
        </row>
        <row r="2673">
          <cell r="A2673" t="str">
            <v>MDN141</v>
          </cell>
          <cell r="B2673" t="str">
            <v>LILY</v>
          </cell>
          <cell r="C2673">
            <v>266400.00000000006</v>
          </cell>
        </row>
        <row r="2674">
          <cell r="A2674" t="str">
            <v>MDN148</v>
          </cell>
          <cell r="B2674" t="str">
            <v>BEAUTY CENTRE (II)</v>
          </cell>
          <cell r="C2674">
            <v>317863.63636363635</v>
          </cell>
        </row>
        <row r="2675">
          <cell r="A2675" t="str">
            <v>MDN149</v>
          </cell>
          <cell r="B2675" t="str">
            <v>CLAUDIA</v>
          </cell>
          <cell r="C2675">
            <v>147954.54545454544</v>
          </cell>
        </row>
        <row r="2676">
          <cell r="A2676" t="str">
            <v>MDN160</v>
          </cell>
          <cell r="B2676" t="str">
            <v>SANGRILA</v>
          </cell>
          <cell r="C2676">
            <v>317863.63636363629</v>
          </cell>
        </row>
        <row r="2677">
          <cell r="A2677" t="str">
            <v>MDN164</v>
          </cell>
          <cell r="B2677" t="str">
            <v>RAPTAMA COSMETIC</v>
          </cell>
          <cell r="C2677">
            <v>63000</v>
          </cell>
        </row>
        <row r="2678">
          <cell r="A2678" t="str">
            <v>MDN181</v>
          </cell>
          <cell r="B2678" t="str">
            <v>YULI SIMP.LIMUN</v>
          </cell>
          <cell r="C2678">
            <v>819199.09090909082</v>
          </cell>
        </row>
        <row r="2679">
          <cell r="A2679" t="str">
            <v>MDN182</v>
          </cell>
          <cell r="B2679" t="str">
            <v>TOKO DAUS</v>
          </cell>
          <cell r="C2679">
            <v>2488731.1363636367</v>
          </cell>
        </row>
        <row r="2680">
          <cell r="A2680" t="str">
            <v>MDN185</v>
          </cell>
          <cell r="B2680" t="str">
            <v>LUKMAN II PSR SUKARAME</v>
          </cell>
          <cell r="C2680">
            <v>472114.09090909088</v>
          </cell>
        </row>
        <row r="2681">
          <cell r="A2681" t="str">
            <v>MDN200</v>
          </cell>
          <cell r="B2681" t="str">
            <v>IDA COSMETIC PUSAT PASAR</v>
          </cell>
          <cell r="C2681">
            <v>-70000</v>
          </cell>
        </row>
        <row r="2682">
          <cell r="A2682" t="str">
            <v>MDN205</v>
          </cell>
          <cell r="B2682" t="str">
            <v>SIANTURI I</v>
          </cell>
          <cell r="C2682">
            <v>94679023.63636364</v>
          </cell>
        </row>
        <row r="2683">
          <cell r="A2683" t="str">
            <v>MDN218</v>
          </cell>
          <cell r="B2683" t="str">
            <v>IIS PONSEL</v>
          </cell>
          <cell r="C2683">
            <v>591909.09090909082</v>
          </cell>
        </row>
        <row r="2684">
          <cell r="A2684" t="str">
            <v>MDN221</v>
          </cell>
          <cell r="B2684" t="str">
            <v>UD. KURNIA</v>
          </cell>
          <cell r="C2684">
            <v>1324129.0909090906</v>
          </cell>
        </row>
        <row r="2685">
          <cell r="A2685" t="str">
            <v>MDN227</v>
          </cell>
          <cell r="B2685" t="str">
            <v>TOKO RIFAI</v>
          </cell>
          <cell r="C2685">
            <v>853951.81818181823</v>
          </cell>
        </row>
        <row r="2686">
          <cell r="A2686" t="str">
            <v>MDN231</v>
          </cell>
          <cell r="B2686" t="str">
            <v>SHALIHA COSMETIC</v>
          </cell>
          <cell r="C2686">
            <v>3231310.9090909082</v>
          </cell>
        </row>
        <row r="2687">
          <cell r="A2687" t="str">
            <v>MDN238</v>
          </cell>
          <cell r="B2687" t="str">
            <v>BEAUTIFULL</v>
          </cell>
          <cell r="C2687">
            <v>664032.27272727271</v>
          </cell>
        </row>
        <row r="2688">
          <cell r="A2688" t="str">
            <v>MDN240</v>
          </cell>
          <cell r="B2688" t="str">
            <v>TOKO TIARA PELANGI</v>
          </cell>
          <cell r="C2688">
            <v>1817445.4090909096</v>
          </cell>
        </row>
        <row r="2689">
          <cell r="A2689" t="str">
            <v>MDN255</v>
          </cell>
          <cell r="B2689" t="str">
            <v>PLANGKARAYA PASAR BUAH</v>
          </cell>
          <cell r="C2689">
            <v>746010.00000000012</v>
          </cell>
        </row>
        <row r="2690">
          <cell r="A2690" t="str">
            <v>MDN256</v>
          </cell>
          <cell r="B2690" t="str">
            <v>PONDOK INDAH PASAR BUAH</v>
          </cell>
          <cell r="C2690">
            <v>729194.31818181835</v>
          </cell>
        </row>
        <row r="2691">
          <cell r="A2691" t="str">
            <v>MDN257</v>
          </cell>
          <cell r="B2691" t="str">
            <v>CEMARA ASRI PASAR BUAH</v>
          </cell>
          <cell r="C2691">
            <v>859637.86363636376</v>
          </cell>
        </row>
        <row r="2692">
          <cell r="A2692" t="str">
            <v>MDN258</v>
          </cell>
          <cell r="B2692" t="str">
            <v>BAHAGIA SWALAYAN 1</v>
          </cell>
          <cell r="C2692">
            <v>466452.27272727282</v>
          </cell>
        </row>
        <row r="2693">
          <cell r="A2693" t="str">
            <v>MDN259</v>
          </cell>
          <cell r="B2693" t="str">
            <v>BAHAGIA SWALAYAN 2</v>
          </cell>
          <cell r="C2693">
            <v>4179166.3636363638</v>
          </cell>
        </row>
        <row r="2694">
          <cell r="A2694" t="str">
            <v>MDN260</v>
          </cell>
          <cell r="B2694" t="str">
            <v>LUCKY MART</v>
          </cell>
          <cell r="C2694">
            <v>701295.27272727271</v>
          </cell>
        </row>
        <row r="2695">
          <cell r="A2695" t="str">
            <v>MDN264</v>
          </cell>
          <cell r="B2695" t="str">
            <v>OKE GAPERTA</v>
          </cell>
          <cell r="C2695">
            <v>4653574.9090909101</v>
          </cell>
        </row>
        <row r="2696">
          <cell r="A2696" t="str">
            <v>MDN265</v>
          </cell>
          <cell r="B2696" t="str">
            <v>DIAMOND KARYA</v>
          </cell>
          <cell r="C2696">
            <v>3887229.5454545468</v>
          </cell>
        </row>
        <row r="2697">
          <cell r="A2697" t="str">
            <v>MDN268</v>
          </cell>
          <cell r="B2697" t="str">
            <v>BINA JOHOR SWALAYAN</v>
          </cell>
          <cell r="C2697">
            <v>337115.45454545459</v>
          </cell>
        </row>
        <row r="2698">
          <cell r="A2698" t="str">
            <v>MDN269</v>
          </cell>
          <cell r="B2698" t="str">
            <v>BINA MARINDAL SWALAYAN</v>
          </cell>
          <cell r="C2698">
            <v>226800</v>
          </cell>
        </row>
        <row r="2699">
          <cell r="A2699" t="str">
            <v>MDN277</v>
          </cell>
          <cell r="B2699" t="str">
            <v>AMPLAS SWALAYAN</v>
          </cell>
          <cell r="C2699">
            <v>113400</v>
          </cell>
        </row>
        <row r="2700">
          <cell r="A2700" t="str">
            <v>MDN278</v>
          </cell>
          <cell r="B2700" t="str">
            <v>HALL MART</v>
          </cell>
          <cell r="C2700">
            <v>257993.18181818182</v>
          </cell>
        </row>
        <row r="2701">
          <cell r="A2701" t="str">
            <v>MDN280</v>
          </cell>
          <cell r="B2701" t="str">
            <v>TOKO REPA</v>
          </cell>
          <cell r="C2701">
            <v>8847096.2727272771</v>
          </cell>
        </row>
        <row r="2702">
          <cell r="A2702" t="str">
            <v>MDN284</v>
          </cell>
          <cell r="B2702" t="str">
            <v>TOKO DELI BARU</v>
          </cell>
          <cell r="C2702">
            <v>2048698.6363636365</v>
          </cell>
        </row>
        <row r="2703">
          <cell r="A2703" t="str">
            <v>MDN286</v>
          </cell>
          <cell r="B2703" t="str">
            <v>UD. TERPIMPIN</v>
          </cell>
          <cell r="C2703">
            <v>2340507.2727272734</v>
          </cell>
        </row>
        <row r="2704">
          <cell r="A2704" t="str">
            <v>MDN287</v>
          </cell>
          <cell r="B2704" t="str">
            <v>GLORIA SWALAYAN</v>
          </cell>
          <cell r="C2704">
            <v>1340652.2727272727</v>
          </cell>
        </row>
        <row r="2705">
          <cell r="A2705" t="str">
            <v>MDN289</v>
          </cell>
          <cell r="B2705" t="str">
            <v>JULI MART</v>
          </cell>
          <cell r="C2705">
            <v>497792.04545454559</v>
          </cell>
        </row>
        <row r="2706">
          <cell r="A2706" t="str">
            <v>MDN294</v>
          </cell>
          <cell r="B2706" t="str">
            <v>CHYKES MM</v>
          </cell>
          <cell r="C2706">
            <v>229950</v>
          </cell>
        </row>
        <row r="2707">
          <cell r="A2707" t="str">
            <v>MDN297</v>
          </cell>
          <cell r="B2707" t="str">
            <v>SUN SWALAYAN</v>
          </cell>
          <cell r="C2707">
            <v>3039017.7272727275</v>
          </cell>
        </row>
        <row r="2708">
          <cell r="A2708" t="str">
            <v>MDN304</v>
          </cell>
          <cell r="B2708" t="str">
            <v>UCI MARKET</v>
          </cell>
          <cell r="C2708">
            <v>834450.95454545447</v>
          </cell>
        </row>
        <row r="2709">
          <cell r="A2709" t="str">
            <v>MDN307</v>
          </cell>
          <cell r="B2709" t="str">
            <v>ANUGRAH MARELAN</v>
          </cell>
          <cell r="C2709">
            <v>848393.18181818165</v>
          </cell>
        </row>
        <row r="2710">
          <cell r="A2710" t="str">
            <v>MDN308</v>
          </cell>
          <cell r="B2710" t="str">
            <v>SMART SHOP</v>
          </cell>
          <cell r="C2710">
            <v>1298624.3181818184</v>
          </cell>
        </row>
        <row r="2711">
          <cell r="A2711" t="str">
            <v>MDN311</v>
          </cell>
          <cell r="B2711" t="str">
            <v>METRO MEDAN</v>
          </cell>
          <cell r="C2711">
            <v>3291744.5454545454</v>
          </cell>
        </row>
        <row r="2712">
          <cell r="A2712" t="str">
            <v>MDN314</v>
          </cell>
          <cell r="B2712" t="str">
            <v>IDO 1</v>
          </cell>
          <cell r="C2712">
            <v>3412440.6818181826</v>
          </cell>
        </row>
        <row r="2713">
          <cell r="A2713" t="str">
            <v>MDN326</v>
          </cell>
          <cell r="B2713" t="str">
            <v>SMARCO</v>
          </cell>
          <cell r="C2713">
            <v>30429671.454545446</v>
          </cell>
        </row>
        <row r="2714">
          <cell r="A2714" t="str">
            <v>MDN328</v>
          </cell>
          <cell r="B2714" t="str">
            <v>TOKO HAPPY</v>
          </cell>
          <cell r="C2714">
            <v>953897.72727272729</v>
          </cell>
        </row>
        <row r="2715">
          <cell r="A2715" t="str">
            <v>MDN330</v>
          </cell>
          <cell r="B2715" t="str">
            <v>PT. SUPER SETIA SAGITA</v>
          </cell>
          <cell r="C2715">
            <v>211152.27272727276</v>
          </cell>
        </row>
        <row r="2716">
          <cell r="A2716" t="str">
            <v>MDN334</v>
          </cell>
          <cell r="B2716" t="str">
            <v>SWALAYAN 88</v>
          </cell>
          <cell r="C2716">
            <v>1155084.5454545454</v>
          </cell>
        </row>
        <row r="2717">
          <cell r="A2717" t="str">
            <v>MDN335</v>
          </cell>
          <cell r="B2717" t="str">
            <v>TOSERBA SUPERMARKET</v>
          </cell>
          <cell r="C2717">
            <v>1103195.4545454546</v>
          </cell>
        </row>
        <row r="2718">
          <cell r="A2718" t="str">
            <v>MDN336</v>
          </cell>
          <cell r="B2718" t="str">
            <v>OKE TAMORA</v>
          </cell>
          <cell r="C2718">
            <v>5887369.9090909092</v>
          </cell>
        </row>
        <row r="2719">
          <cell r="A2719" t="str">
            <v>MDN337</v>
          </cell>
          <cell r="B2719" t="str">
            <v>MANDIRI EXPRESS</v>
          </cell>
          <cell r="C2719">
            <v>3522362.0454545459</v>
          </cell>
        </row>
        <row r="2720">
          <cell r="A2720" t="str">
            <v>MDN339</v>
          </cell>
          <cell r="B2720" t="str">
            <v>ASIA BEST MART</v>
          </cell>
          <cell r="C2720">
            <v>123966.81818181816</v>
          </cell>
        </row>
        <row r="2721">
          <cell r="A2721" t="str">
            <v>MDN344</v>
          </cell>
          <cell r="B2721" t="str">
            <v>IRIAN AKSARA</v>
          </cell>
          <cell r="C2721">
            <v>11512699.227272727</v>
          </cell>
        </row>
        <row r="2722">
          <cell r="A2722" t="str">
            <v>MDN345</v>
          </cell>
          <cell r="B2722" t="str">
            <v>IRIAN MARELAN</v>
          </cell>
          <cell r="C2722">
            <v>6265169.3181818184</v>
          </cell>
        </row>
        <row r="2723">
          <cell r="A2723" t="str">
            <v>MDN346</v>
          </cell>
          <cell r="B2723" t="str">
            <v>IRIAN BAHAGIA</v>
          </cell>
          <cell r="C2723">
            <v>14270607.818181815</v>
          </cell>
        </row>
        <row r="2724">
          <cell r="A2724" t="str">
            <v>MDN347</v>
          </cell>
          <cell r="B2724" t="str">
            <v>IRIAN TEMBUNG</v>
          </cell>
          <cell r="C2724">
            <v>24232043.72727273</v>
          </cell>
        </row>
        <row r="2725">
          <cell r="A2725" t="str">
            <v>MDN348</v>
          </cell>
          <cell r="B2725" t="str">
            <v>SUZUYA BINJAI</v>
          </cell>
          <cell r="C2725">
            <v>2290371.8181818184</v>
          </cell>
        </row>
        <row r="2726">
          <cell r="A2726" t="str">
            <v>MDN349</v>
          </cell>
          <cell r="B2726" t="str">
            <v>SUZUYA TAMORA</v>
          </cell>
          <cell r="C2726">
            <v>2024918.1818181816</v>
          </cell>
        </row>
        <row r="2727">
          <cell r="A2727" t="str">
            <v>MDN350</v>
          </cell>
          <cell r="B2727" t="str">
            <v>SUZUYA BIREUN</v>
          </cell>
          <cell r="C2727">
            <v>905154.54545454553</v>
          </cell>
        </row>
        <row r="2728">
          <cell r="A2728" t="str">
            <v>MDN351</v>
          </cell>
          <cell r="B2728" t="str">
            <v>SUZUYA KP BARU</v>
          </cell>
          <cell r="C2728">
            <v>5873846.5909090918</v>
          </cell>
        </row>
        <row r="2729">
          <cell r="A2729" t="str">
            <v>MDN352</v>
          </cell>
          <cell r="B2729" t="str">
            <v>SUZUYA LANGSA</v>
          </cell>
          <cell r="C2729">
            <v>2961463.6363636367</v>
          </cell>
        </row>
        <row r="2730">
          <cell r="A2730" t="str">
            <v>MDN353</v>
          </cell>
          <cell r="B2730" t="str">
            <v>SUZUYA LHOKSEUMAWE</v>
          </cell>
          <cell r="C2730">
            <v>2431783.6363636367</v>
          </cell>
        </row>
        <row r="2731">
          <cell r="A2731" t="str">
            <v>MDN354</v>
          </cell>
          <cell r="B2731" t="str">
            <v>SUZUYA MARELAN</v>
          </cell>
          <cell r="C2731">
            <v>2638300.9090909092</v>
          </cell>
        </row>
        <row r="2732">
          <cell r="A2732" t="str">
            <v>MDN356</v>
          </cell>
          <cell r="B2732" t="str">
            <v>SUZUYA R PRAPAT II</v>
          </cell>
          <cell r="C2732">
            <v>2874400.9090909092</v>
          </cell>
        </row>
        <row r="2733">
          <cell r="A2733" t="str">
            <v>MDN357</v>
          </cell>
          <cell r="B2733" t="str">
            <v>SUZUYA SIANTAR</v>
          </cell>
          <cell r="C2733">
            <v>7276286.5909090918</v>
          </cell>
        </row>
        <row r="2734">
          <cell r="A2734" t="str">
            <v>MDN358</v>
          </cell>
          <cell r="B2734" t="str">
            <v>SUZUYA BAGAN BATU</v>
          </cell>
          <cell r="C2734">
            <v>4300510.9090909092</v>
          </cell>
        </row>
        <row r="2735">
          <cell r="A2735" t="str">
            <v>MDN359</v>
          </cell>
          <cell r="B2735" t="str">
            <v>SUZUYA MEULABOH</v>
          </cell>
          <cell r="C2735">
            <v>3576084.5454545459</v>
          </cell>
        </row>
        <row r="2736">
          <cell r="A2736" t="str">
            <v>MDN360</v>
          </cell>
          <cell r="B2736" t="str">
            <v>SUZUYA SS MALL BANDA ACEH</v>
          </cell>
          <cell r="C2736">
            <v>5306825</v>
          </cell>
        </row>
        <row r="2737">
          <cell r="A2737" t="str">
            <v>MDN361</v>
          </cell>
          <cell r="B2737" t="str">
            <v>BRASTAGI TIARA</v>
          </cell>
          <cell r="C2737">
            <v>963544.09090909094</v>
          </cell>
        </row>
        <row r="2738">
          <cell r="A2738" t="str">
            <v>MDN362</v>
          </cell>
          <cell r="B2738" t="str">
            <v>BRASTAGI GATSU</v>
          </cell>
          <cell r="C2738">
            <v>2139239.4545454546</v>
          </cell>
        </row>
        <row r="2739">
          <cell r="A2739" t="str">
            <v>MDN363</v>
          </cell>
          <cell r="B2739" t="str">
            <v>BRASTAGI CAMBRIDGE</v>
          </cell>
          <cell r="C2739">
            <v>1642446.8181818181</v>
          </cell>
        </row>
        <row r="2740">
          <cell r="A2740" t="str">
            <v>MDN364</v>
          </cell>
          <cell r="B2740" t="str">
            <v>BRASTAGI MANHATTAN</v>
          </cell>
          <cell r="C2740">
            <v>1616544.4090909094</v>
          </cell>
        </row>
        <row r="2741">
          <cell r="A2741" t="str">
            <v>MDN365</v>
          </cell>
          <cell r="B2741" t="str">
            <v>MB MANGKUBUMI</v>
          </cell>
          <cell r="C2741">
            <v>440109.95454545459</v>
          </cell>
        </row>
        <row r="2742">
          <cell r="A2742" t="str">
            <v>MDN366</v>
          </cell>
          <cell r="B2742" t="str">
            <v>MB DENAI</v>
          </cell>
          <cell r="C2742">
            <v>3484264.0909090918</v>
          </cell>
        </row>
        <row r="2743">
          <cell r="A2743" t="str">
            <v>MDN367</v>
          </cell>
          <cell r="B2743" t="str">
            <v>MB KAPTEN MUSLIM</v>
          </cell>
          <cell r="C2743">
            <v>1521168.5454545454</v>
          </cell>
        </row>
        <row r="2744">
          <cell r="A2744" t="str">
            <v>MDN368</v>
          </cell>
          <cell r="B2744" t="str">
            <v>MB GLUGUR</v>
          </cell>
          <cell r="C2744">
            <v>2678718.5454545454</v>
          </cell>
        </row>
        <row r="2745">
          <cell r="A2745" t="str">
            <v>MDN369</v>
          </cell>
          <cell r="B2745" t="str">
            <v>MB MMTC</v>
          </cell>
          <cell r="C2745">
            <v>3154697.0454545454</v>
          </cell>
        </row>
        <row r="2746">
          <cell r="A2746" t="str">
            <v>MDN370</v>
          </cell>
          <cell r="B2746" t="str">
            <v>MAXIMART THAMRIN</v>
          </cell>
          <cell r="C2746">
            <v>2886333.7727272729</v>
          </cell>
        </row>
        <row r="2747">
          <cell r="A2747" t="str">
            <v>MDN371</v>
          </cell>
          <cell r="B2747" t="str">
            <v>MAXIMART YANG LIM</v>
          </cell>
          <cell r="C2747">
            <v>331002</v>
          </cell>
        </row>
        <row r="2748">
          <cell r="A2748" t="str">
            <v>MDN372</v>
          </cell>
          <cell r="B2748" t="str">
            <v>MB KRAKATAU</v>
          </cell>
          <cell r="C2748">
            <v>1677193.3636363638</v>
          </cell>
        </row>
        <row r="2749">
          <cell r="A2749" t="str">
            <v>MDN373</v>
          </cell>
          <cell r="B2749" t="str">
            <v>MB LETDA SUJONO</v>
          </cell>
          <cell r="C2749">
            <v>1107343.6363636365</v>
          </cell>
        </row>
        <row r="2750">
          <cell r="A2750" t="str">
            <v>MDN374</v>
          </cell>
          <cell r="B2750" t="str">
            <v>MB MEDAN MALL</v>
          </cell>
          <cell r="C2750">
            <v>2245409.4545454546</v>
          </cell>
        </row>
        <row r="2751">
          <cell r="A2751" t="str">
            <v>MDN375</v>
          </cell>
          <cell r="B2751" t="str">
            <v>MB MARTUBUNG</v>
          </cell>
          <cell r="C2751">
            <v>443509.77272727276</v>
          </cell>
        </row>
        <row r="2752">
          <cell r="A2752" t="str">
            <v>MDN376</v>
          </cell>
          <cell r="B2752" t="str">
            <v>MB MARIENDAL</v>
          </cell>
          <cell r="C2752">
            <v>989748.40909090929</v>
          </cell>
        </row>
        <row r="2753">
          <cell r="A2753" t="str">
            <v>MDN377</v>
          </cell>
          <cell r="B2753" t="str">
            <v>MB MERAK JINGGA</v>
          </cell>
          <cell r="C2753">
            <v>180122.72727272729</v>
          </cell>
        </row>
        <row r="2754">
          <cell r="A2754" t="str">
            <v>MDN378</v>
          </cell>
          <cell r="B2754" t="str">
            <v>MB KATAMSO</v>
          </cell>
          <cell r="C2754">
            <v>1218542.0454545454</v>
          </cell>
        </row>
        <row r="2755">
          <cell r="A2755" t="str">
            <v>MDN396</v>
          </cell>
          <cell r="B2755" t="str">
            <v>ISTANA SWALAYAN</v>
          </cell>
          <cell r="C2755">
            <v>5899377.2727272753</v>
          </cell>
        </row>
        <row r="2756">
          <cell r="A2756" t="str">
            <v>MDN425</v>
          </cell>
          <cell r="B2756" t="str">
            <v>BEAUTY GIRLS COSMETIC</v>
          </cell>
          <cell r="C2756">
            <v>12274221.818181818</v>
          </cell>
        </row>
        <row r="2757">
          <cell r="A2757" t="str">
            <v>MDN429</v>
          </cell>
          <cell r="B2757" t="str">
            <v>MENCIRIM SWALAYAN</v>
          </cell>
          <cell r="C2757">
            <v>567000</v>
          </cell>
        </row>
        <row r="2758">
          <cell r="A2758" t="str">
            <v>MDN442</v>
          </cell>
          <cell r="B2758" t="str">
            <v>IDA COSMETIC KARANG SARI</v>
          </cell>
          <cell r="C2758">
            <v>31660.45454545453</v>
          </cell>
        </row>
        <row r="2759">
          <cell r="A2759" t="str">
            <v>MDN473</v>
          </cell>
          <cell r="B2759" t="str">
            <v>OKE JAMIN GINTING</v>
          </cell>
          <cell r="C2759">
            <v>857100</v>
          </cell>
        </row>
        <row r="2760">
          <cell r="A2760" t="str">
            <v>MDN474</v>
          </cell>
          <cell r="B2760" t="str">
            <v>IRIAN KARYA</v>
          </cell>
          <cell r="C2760">
            <v>5585416.6363636376</v>
          </cell>
        </row>
        <row r="2761">
          <cell r="A2761" t="str">
            <v>MDN479</v>
          </cell>
          <cell r="B2761" t="str">
            <v>TOKO SAHATA</v>
          </cell>
          <cell r="C2761">
            <v>1470060</v>
          </cell>
        </row>
        <row r="2762">
          <cell r="A2762" t="str">
            <v>MDN480</v>
          </cell>
          <cell r="B2762" t="str">
            <v>ONE SHOP</v>
          </cell>
          <cell r="C2762">
            <v>1786547.1818181821</v>
          </cell>
        </row>
        <row r="2763">
          <cell r="A2763" t="str">
            <v>MDN488</v>
          </cell>
          <cell r="B2763" t="str">
            <v>LUCKY VETERAN</v>
          </cell>
          <cell r="C2763">
            <v>421926.13636363653</v>
          </cell>
        </row>
        <row r="2764">
          <cell r="A2764" t="str">
            <v>MDN506</v>
          </cell>
          <cell r="B2764" t="str">
            <v>SHESHE COSMETIC</v>
          </cell>
          <cell r="C2764">
            <v>451366.36363636365</v>
          </cell>
        </row>
        <row r="2765">
          <cell r="A2765" t="str">
            <v>MDN518</v>
          </cell>
          <cell r="B2765" t="str">
            <v>UMART MM</v>
          </cell>
          <cell r="C2765">
            <v>644706.13636363635</v>
          </cell>
        </row>
        <row r="2766">
          <cell r="A2766" t="str">
            <v>MDN521</v>
          </cell>
          <cell r="B2766" t="str">
            <v>ALFONSO COSMETIC</v>
          </cell>
          <cell r="C2766">
            <v>2834917.9090909096</v>
          </cell>
        </row>
        <row r="2767">
          <cell r="A2767" t="str">
            <v>MDN524</v>
          </cell>
          <cell r="B2767" t="str">
            <v>IDO 2</v>
          </cell>
          <cell r="C2767">
            <v>3694995.0000000009</v>
          </cell>
        </row>
        <row r="2768">
          <cell r="A2768" t="str">
            <v>MDN529</v>
          </cell>
          <cell r="B2768" t="str">
            <v>TOKO IVORY</v>
          </cell>
          <cell r="C2768">
            <v>12969535.500000002</v>
          </cell>
        </row>
        <row r="2769">
          <cell r="A2769" t="str">
            <v>MDN532</v>
          </cell>
          <cell r="B2769" t="str">
            <v>STARS SWALAYAN</v>
          </cell>
          <cell r="C2769">
            <v>481084.09090909106</v>
          </cell>
        </row>
        <row r="2770">
          <cell r="A2770" t="str">
            <v>MDN533</v>
          </cell>
          <cell r="B2770" t="str">
            <v>J MART MMTC</v>
          </cell>
          <cell r="C2770">
            <v>2437069.0909090908</v>
          </cell>
        </row>
        <row r="2771">
          <cell r="A2771" t="str">
            <v>MDN534</v>
          </cell>
          <cell r="B2771" t="str">
            <v>RITA COSMETIC</v>
          </cell>
          <cell r="C2771">
            <v>146789672.72727272</v>
          </cell>
        </row>
        <row r="2772">
          <cell r="A2772" t="str">
            <v>MDN535</v>
          </cell>
          <cell r="B2772" t="str">
            <v>BINA SWALAYAN SETIA BUDI</v>
          </cell>
          <cell r="C2772">
            <v>4383293.1818181826</v>
          </cell>
        </row>
        <row r="2773">
          <cell r="A2773" t="str">
            <v>MDN538</v>
          </cell>
          <cell r="B2773" t="str">
            <v>CATERINA COSMETICS</v>
          </cell>
          <cell r="C2773">
            <v>460310</v>
          </cell>
        </row>
        <row r="2774">
          <cell r="A2774" t="str">
            <v>MDN539</v>
          </cell>
          <cell r="B2774" t="str">
            <v>SALSA COSMETICS</v>
          </cell>
          <cell r="C2774">
            <v>635727.27272727259</v>
          </cell>
        </row>
        <row r="2775">
          <cell r="A2775" t="str">
            <v>MDN550</v>
          </cell>
          <cell r="B2775" t="str">
            <v>TOKO ISANI</v>
          </cell>
          <cell r="C2775">
            <v>13031361.818181816</v>
          </cell>
        </row>
        <row r="2776">
          <cell r="A2776" t="str">
            <v>MDN554</v>
          </cell>
          <cell r="B2776" t="str">
            <v>DHIFA COSMETICS</v>
          </cell>
          <cell r="C2776">
            <v>1722336.3636363635</v>
          </cell>
        </row>
        <row r="2777">
          <cell r="A2777" t="str">
            <v>MDN556</v>
          </cell>
          <cell r="B2777" t="str">
            <v>JMS COSMETICS</v>
          </cell>
          <cell r="C2777">
            <v>3594542.7272727266</v>
          </cell>
        </row>
        <row r="2778">
          <cell r="A2778" t="str">
            <v>MDN557</v>
          </cell>
          <cell r="B2778" t="str">
            <v>SONY MART</v>
          </cell>
          <cell r="C2778">
            <v>420942.27272727271</v>
          </cell>
        </row>
        <row r="2779">
          <cell r="A2779" t="str">
            <v>MDN563</v>
          </cell>
          <cell r="B2779" t="str">
            <v>PURWO JAYA</v>
          </cell>
          <cell r="C2779">
            <v>1195107.2727272727</v>
          </cell>
        </row>
        <row r="2780">
          <cell r="A2780" t="str">
            <v>MDN567</v>
          </cell>
          <cell r="B2780" t="str">
            <v>IVANA COSMETIC</v>
          </cell>
          <cell r="C2780">
            <v>10699337.636363639</v>
          </cell>
        </row>
        <row r="2781">
          <cell r="A2781" t="str">
            <v>MDN571</v>
          </cell>
          <cell r="B2781" t="str">
            <v>ALUNG GROSIR</v>
          </cell>
          <cell r="C2781">
            <v>83996154.545454547</v>
          </cell>
        </row>
        <row r="2782">
          <cell r="A2782" t="str">
            <v>MDN576</v>
          </cell>
          <cell r="B2782" t="str">
            <v>LADIES</v>
          </cell>
          <cell r="C2782">
            <v>6039409.0909090918</v>
          </cell>
        </row>
        <row r="2783">
          <cell r="A2783" t="str">
            <v>MDN580</v>
          </cell>
          <cell r="B2783" t="str">
            <v>SRIYATI</v>
          </cell>
          <cell r="C2783">
            <v>525000</v>
          </cell>
        </row>
        <row r="2784">
          <cell r="A2784" t="str">
            <v>MDN582</v>
          </cell>
          <cell r="B2784" t="str">
            <v>MEL SHOP</v>
          </cell>
          <cell r="C2784">
            <v>1038900.0000000001</v>
          </cell>
        </row>
        <row r="2785">
          <cell r="A2785" t="str">
            <v>MDN598</v>
          </cell>
          <cell r="B2785" t="str">
            <v>KENZO SALON</v>
          </cell>
          <cell r="C2785">
            <v>4044632.7272727275</v>
          </cell>
        </row>
        <row r="2786">
          <cell r="A2786" t="str">
            <v>MDN605</v>
          </cell>
          <cell r="B2786" t="str">
            <v>KHANZA COSMETICS</v>
          </cell>
          <cell r="C2786">
            <v>1672119.9999999998</v>
          </cell>
        </row>
        <row r="2787">
          <cell r="A2787" t="str">
            <v>MDN606</v>
          </cell>
          <cell r="B2787" t="str">
            <v>SINURAYA</v>
          </cell>
          <cell r="C2787">
            <v>799449.54545454553</v>
          </cell>
        </row>
        <row r="2788">
          <cell r="A2788" t="str">
            <v>MDN613</v>
          </cell>
          <cell r="B2788" t="str">
            <v>YANI S</v>
          </cell>
          <cell r="C2788">
            <v>444784.09090909094</v>
          </cell>
        </row>
        <row r="2789">
          <cell r="A2789" t="str">
            <v>MDN618</v>
          </cell>
          <cell r="B2789" t="str">
            <v>TOKO CAHAYA</v>
          </cell>
          <cell r="C2789">
            <v>211349.54545454547</v>
          </cell>
        </row>
        <row r="2790">
          <cell r="A2790" t="str">
            <v>MDN619</v>
          </cell>
          <cell r="B2790" t="str">
            <v>GYA COSMETICS</v>
          </cell>
          <cell r="C2790">
            <v>-33300.000000000007</v>
          </cell>
        </row>
        <row r="2791">
          <cell r="A2791" t="str">
            <v>MDN623</v>
          </cell>
          <cell r="B2791" t="str">
            <v>INMOL</v>
          </cell>
          <cell r="C2791">
            <v>1269086.3181818184</v>
          </cell>
        </row>
        <row r="2792">
          <cell r="A2792" t="str">
            <v>MDN624</v>
          </cell>
          <cell r="B2792" t="str">
            <v>TOKO DIAMOND MERCI</v>
          </cell>
          <cell r="C2792">
            <v>4566574.3636363642</v>
          </cell>
        </row>
        <row r="2793">
          <cell r="A2793" t="str">
            <v>MDN629</v>
          </cell>
          <cell r="B2793" t="str">
            <v>DIAN COSMETICS</v>
          </cell>
          <cell r="C2793">
            <v>-19071.818181818184</v>
          </cell>
        </row>
        <row r="2794">
          <cell r="A2794" t="str">
            <v>MDN631</v>
          </cell>
          <cell r="B2794" t="str">
            <v xml:space="preserve">WIWIN </v>
          </cell>
          <cell r="C2794">
            <v>777706.36363636341</v>
          </cell>
        </row>
        <row r="2795">
          <cell r="A2795" t="str">
            <v>MDN636</v>
          </cell>
          <cell r="B2795" t="str">
            <v>D BEAUTY SHOP</v>
          </cell>
          <cell r="C2795">
            <v>788000</v>
          </cell>
        </row>
        <row r="2796">
          <cell r="A2796" t="str">
            <v>MDN642</v>
          </cell>
          <cell r="B2796" t="str">
            <v>APOTIK KASIH FARMA</v>
          </cell>
          <cell r="C2796">
            <v>380084.09090909094</v>
          </cell>
        </row>
        <row r="2797">
          <cell r="A2797" t="str">
            <v>MDN647</v>
          </cell>
          <cell r="B2797" t="str">
            <v>TOKO ANDRE</v>
          </cell>
          <cell r="C2797">
            <v>508581.81818181806</v>
          </cell>
        </row>
        <row r="2798">
          <cell r="A2798" t="str">
            <v>MDN652</v>
          </cell>
          <cell r="B2798" t="str">
            <v>FATHYA COSMETICS</v>
          </cell>
          <cell r="C2798">
            <v>120400</v>
          </cell>
        </row>
        <row r="2799">
          <cell r="A2799" t="str">
            <v>MDN654</v>
          </cell>
          <cell r="B2799" t="str">
            <v>FENDY COSMETICS</v>
          </cell>
          <cell r="C2799">
            <v>19553989.09090909</v>
          </cell>
        </row>
        <row r="2800">
          <cell r="A2800" t="str">
            <v>MDN656</v>
          </cell>
          <cell r="B2800" t="str">
            <v>RADISA COSMETICS</v>
          </cell>
          <cell r="C2800">
            <v>148953614.18181819</v>
          </cell>
        </row>
        <row r="2801">
          <cell r="A2801" t="str">
            <v>MDN658</v>
          </cell>
          <cell r="B2801" t="str">
            <v>TOKO OBAT KAYLA</v>
          </cell>
          <cell r="C2801">
            <v>819028.63636363624</v>
          </cell>
        </row>
        <row r="2802">
          <cell r="A2802" t="str">
            <v>MDN660</v>
          </cell>
          <cell r="B2802" t="str">
            <v>TOKO OBAT MEKRO</v>
          </cell>
          <cell r="C2802">
            <v>187199.32863636359</v>
          </cell>
        </row>
        <row r="2803">
          <cell r="A2803" t="str">
            <v>MDN663</v>
          </cell>
          <cell r="B2803" t="str">
            <v>CELLO MART</v>
          </cell>
          <cell r="C2803">
            <v>230995.22727272726</v>
          </cell>
        </row>
        <row r="2804">
          <cell r="A2804" t="str">
            <v>MDN665</v>
          </cell>
          <cell r="B2804" t="str">
            <v>HARMONI</v>
          </cell>
          <cell r="C2804">
            <v>114027.27272727274</v>
          </cell>
        </row>
        <row r="2805">
          <cell r="A2805" t="str">
            <v>MDN668</v>
          </cell>
          <cell r="B2805" t="str">
            <v>OLIVE BEAUTY</v>
          </cell>
          <cell r="C2805">
            <v>93515949.272727311</v>
          </cell>
        </row>
        <row r="2806">
          <cell r="A2806" t="str">
            <v>MDN671</v>
          </cell>
          <cell r="B2806" t="str">
            <v>INTAN COSMETICS II</v>
          </cell>
          <cell r="C2806">
            <v>6609389.0909090918</v>
          </cell>
        </row>
        <row r="2807">
          <cell r="A2807" t="str">
            <v>MDN685</v>
          </cell>
          <cell r="B2807" t="str">
            <v>UNDER PRICE SKINCARE</v>
          </cell>
          <cell r="C2807">
            <v>81028289.090909123</v>
          </cell>
        </row>
        <row r="2808">
          <cell r="A2808" t="str">
            <v>MDN686</v>
          </cell>
          <cell r="B2808" t="str">
            <v>SUZUYA SIMPANG LIMA BANDA ACEH</v>
          </cell>
          <cell r="C2808">
            <v>3306572.7272727275</v>
          </cell>
        </row>
        <row r="2809">
          <cell r="A2809" t="str">
            <v>MDN696</v>
          </cell>
          <cell r="B2809" t="str">
            <v>TOKO YOHANA</v>
          </cell>
          <cell r="C2809">
            <v>822492.27272727282</v>
          </cell>
        </row>
        <row r="2810">
          <cell r="A2810" t="str">
            <v>MDN699</v>
          </cell>
          <cell r="B2810" t="str">
            <v>ANA SUI COS</v>
          </cell>
          <cell r="C2810">
            <v>3098765.9090909087</v>
          </cell>
        </row>
        <row r="2811">
          <cell r="A2811" t="str">
            <v>MDN704</v>
          </cell>
          <cell r="B2811" t="str">
            <v>BINTANG COS</v>
          </cell>
          <cell r="C2811">
            <v>840300</v>
          </cell>
        </row>
        <row r="2812">
          <cell r="A2812" t="str">
            <v>MDN705</v>
          </cell>
          <cell r="B2812" t="str">
            <v>TOKO SAIFUL</v>
          </cell>
          <cell r="C2812">
            <v>543899.99999999988</v>
          </cell>
        </row>
        <row r="2813">
          <cell r="A2813" t="str">
            <v>MDN721</v>
          </cell>
          <cell r="B2813" t="str">
            <v>NAZWA BEAUTY</v>
          </cell>
          <cell r="C2813">
            <v>170071286.45454547</v>
          </cell>
        </row>
        <row r="2814">
          <cell r="A2814" t="str">
            <v>MDN723</v>
          </cell>
          <cell r="B2814" t="str">
            <v>JULIANA</v>
          </cell>
          <cell r="C2814">
            <v>25323747.818181824</v>
          </cell>
        </row>
        <row r="2815">
          <cell r="A2815" t="str">
            <v>MDN729</v>
          </cell>
          <cell r="B2815" t="str">
            <v>STAR JAYA/ASIONG</v>
          </cell>
          <cell r="C2815">
            <v>173330491.77272719</v>
          </cell>
        </row>
        <row r="2816">
          <cell r="A2816" t="str">
            <v>MDN735</v>
          </cell>
          <cell r="B2816" t="str">
            <v>APOTIK KHARISMA</v>
          </cell>
          <cell r="C2816">
            <v>81312.045454545441</v>
          </cell>
        </row>
        <row r="2817">
          <cell r="A2817" t="str">
            <v>MDN737</v>
          </cell>
          <cell r="B2817" t="str">
            <v>BE LUV</v>
          </cell>
          <cell r="C2817">
            <v>176665109.45454541</v>
          </cell>
        </row>
        <row r="2818">
          <cell r="A2818" t="str">
            <v>MDN762</v>
          </cell>
          <cell r="B2818" t="str">
            <v>APOTIK MORIA</v>
          </cell>
          <cell r="C2818">
            <v>988800.00000000012</v>
          </cell>
        </row>
        <row r="2819">
          <cell r="A2819" t="str">
            <v>MDN763</v>
          </cell>
          <cell r="B2819" t="str">
            <v>MISS GLAM MEDAN</v>
          </cell>
          <cell r="C2819">
            <v>1059600</v>
          </cell>
        </row>
        <row r="2820">
          <cell r="A2820" t="str">
            <v>MDN769</v>
          </cell>
          <cell r="B2820" t="str">
            <v>ZIE ZIE COSMETIC</v>
          </cell>
          <cell r="C2820">
            <v>354375</v>
          </cell>
        </row>
        <row r="2821">
          <cell r="A2821" t="str">
            <v>MDN772</v>
          </cell>
          <cell r="B2821" t="str">
            <v>TOKO VERA</v>
          </cell>
          <cell r="C2821">
            <v>3948420.8181818188</v>
          </cell>
        </row>
        <row r="2822">
          <cell r="A2822" t="str">
            <v>MDN773</v>
          </cell>
          <cell r="B2822" t="str">
            <v>ARFA COSMETIC</v>
          </cell>
          <cell r="C2822">
            <v>512400</v>
          </cell>
        </row>
        <row r="2823">
          <cell r="A2823" t="str">
            <v>MDN793</v>
          </cell>
          <cell r="B2823" t="str">
            <v>MB RINGROAD</v>
          </cell>
          <cell r="C2823">
            <v>2648119.2272727275</v>
          </cell>
        </row>
        <row r="2824">
          <cell r="A2824" t="str">
            <v>MDN805</v>
          </cell>
          <cell r="B2824" t="str">
            <v>KEMANG INDAH PASAR BUAH</v>
          </cell>
          <cell r="C2824">
            <v>1290886.3636363638</v>
          </cell>
        </row>
        <row r="2825">
          <cell r="A2825" t="str">
            <v>MDN814</v>
          </cell>
          <cell r="B2825" t="str">
            <v>PINMOOD</v>
          </cell>
          <cell r="C2825">
            <v>348898962.54545456</v>
          </cell>
        </row>
        <row r="2826">
          <cell r="A2826" t="str">
            <v>MDN815</v>
          </cell>
          <cell r="B2826" t="str">
            <v>ABADI SWALAYAN</v>
          </cell>
          <cell r="C2826">
            <v>487852.50000000006</v>
          </cell>
        </row>
        <row r="2827">
          <cell r="A2827" t="str">
            <v>MDN816</v>
          </cell>
          <cell r="B2827" t="str">
            <v>APOTIK SURYA FARMA JAYA</v>
          </cell>
          <cell r="C2827">
            <v>679777.09090909082</v>
          </cell>
        </row>
        <row r="2828">
          <cell r="A2828" t="str">
            <v>MDN824</v>
          </cell>
          <cell r="B2828" t="str">
            <v>APOTIK ELSA JAYA</v>
          </cell>
          <cell r="C2828">
            <v>1729178.1818181814</v>
          </cell>
        </row>
        <row r="2829">
          <cell r="A2829" t="str">
            <v>MDN827</v>
          </cell>
          <cell r="B2829" t="str">
            <v>PERFECT 10 BEAUTY SHOP</v>
          </cell>
          <cell r="C2829">
            <v>14978517.363636367</v>
          </cell>
        </row>
        <row r="2830">
          <cell r="A2830" t="str">
            <v>MDN829</v>
          </cell>
          <cell r="B2830" t="str">
            <v>SOLEK KUY</v>
          </cell>
          <cell r="C2830">
            <v>785649.09090909094</v>
          </cell>
        </row>
        <row r="2831">
          <cell r="A2831" t="str">
            <v>MDN835</v>
          </cell>
          <cell r="B2831" t="str">
            <v>TOKO PELANGI</v>
          </cell>
          <cell r="C2831">
            <v>4367825.4545454551</v>
          </cell>
        </row>
        <row r="2832">
          <cell r="A2832" t="str">
            <v>MDN841</v>
          </cell>
          <cell r="B2832" t="str">
            <v>ARA COSMETICS</v>
          </cell>
          <cell r="C2832">
            <v>2382235.2272727271</v>
          </cell>
        </row>
        <row r="2833">
          <cell r="A2833" t="str">
            <v>MDN843</v>
          </cell>
          <cell r="B2833" t="str">
            <v>TOKO NAWRA</v>
          </cell>
          <cell r="C2833">
            <v>-269542.5</v>
          </cell>
        </row>
        <row r="2834">
          <cell r="A2834" t="str">
            <v>MDN847</v>
          </cell>
          <cell r="B2834" t="str">
            <v>APOTIK EVA FARMA</v>
          </cell>
          <cell r="C2834">
            <v>601860</v>
          </cell>
        </row>
        <row r="2835">
          <cell r="A2835" t="str">
            <v>MDN849</v>
          </cell>
          <cell r="B2835" t="str">
            <v>SUZUYA MERDEKA MALL SIANTAR</v>
          </cell>
          <cell r="C2835">
            <v>7731807.2727272734</v>
          </cell>
        </row>
        <row r="2836">
          <cell r="A2836" t="str">
            <v>MDN853</v>
          </cell>
          <cell r="B2836" t="str">
            <v>BRASTAGI CEMARA</v>
          </cell>
          <cell r="C2836">
            <v>2269178.1818181821</v>
          </cell>
        </row>
        <row r="2837">
          <cell r="A2837" t="str">
            <v>MDN856</v>
          </cell>
          <cell r="B2837" t="str">
            <v>IRIAN SETIABUDI</v>
          </cell>
          <cell r="C2837">
            <v>27697734.818181813</v>
          </cell>
        </row>
        <row r="2838">
          <cell r="A2838" t="str">
            <v>MDN857</v>
          </cell>
          <cell r="B2838" t="str">
            <v>IRIAN SIANTAR</v>
          </cell>
          <cell r="C2838">
            <v>48747476.181818187</v>
          </cell>
        </row>
        <row r="2839">
          <cell r="A2839" t="str">
            <v>MDN862</v>
          </cell>
          <cell r="B2839" t="str">
            <v>CANTIGI COSMETIC</v>
          </cell>
          <cell r="C2839">
            <v>3600000</v>
          </cell>
        </row>
        <row r="2840">
          <cell r="A2840" t="str">
            <v>MDN863</v>
          </cell>
          <cell r="B2840" t="str">
            <v>EIGHTY COSMETIC</v>
          </cell>
          <cell r="C2840">
            <v>1771998.6363636362</v>
          </cell>
        </row>
        <row r="2841">
          <cell r="A2841" t="str">
            <v>MDN865</v>
          </cell>
          <cell r="B2841" t="str">
            <v>CALL GIRLS</v>
          </cell>
          <cell r="C2841">
            <v>3984272.7272727275</v>
          </cell>
        </row>
        <row r="2842">
          <cell r="A2842" t="str">
            <v>MDN867</v>
          </cell>
          <cell r="B2842" t="str">
            <v>MISS GLAM MEDAN</v>
          </cell>
          <cell r="C2842">
            <v>52723049.772727288</v>
          </cell>
        </row>
        <row r="2843">
          <cell r="A2843" t="str">
            <v>MDN868</v>
          </cell>
          <cell r="B2843" t="str">
            <v>MISS GLAM HALAT</v>
          </cell>
          <cell r="C2843">
            <v>65821037.272727281</v>
          </cell>
        </row>
        <row r="2844">
          <cell r="A2844" t="str">
            <v>MDN870</v>
          </cell>
          <cell r="B2844" t="str">
            <v>CK KOSMETIK</v>
          </cell>
          <cell r="C2844">
            <v>4223354.0909090908</v>
          </cell>
        </row>
        <row r="2845">
          <cell r="A2845" t="str">
            <v>MDN872</v>
          </cell>
          <cell r="B2845" t="str">
            <v>NO LIMIT COSMETIC</v>
          </cell>
          <cell r="C2845">
            <v>1118981.5909090908</v>
          </cell>
        </row>
        <row r="2846">
          <cell r="A2846" t="str">
            <v>MISS</v>
          </cell>
          <cell r="B2846" t="str">
            <v>MISSHOP COSMETIC,CV</v>
          </cell>
          <cell r="C2846">
            <v>11266996.363636363</v>
          </cell>
        </row>
        <row r="2847">
          <cell r="A2847" t="str">
            <v>MITRA-KOB</v>
          </cell>
          <cell r="B2847" t="str">
            <v>MITRA MART ,KOBAR</v>
          </cell>
          <cell r="C2847">
            <v>2091194.4545454541</v>
          </cell>
        </row>
        <row r="2848">
          <cell r="A2848" t="str">
            <v>MJ.JY</v>
          </cell>
          <cell r="B2848" t="str">
            <v>MAJU JAYA/LIU RUDY,TK</v>
          </cell>
          <cell r="C2848">
            <v>24908912.727272727</v>
          </cell>
        </row>
        <row r="2849">
          <cell r="A2849" t="str">
            <v>MJ88</v>
          </cell>
          <cell r="B2849" t="str">
            <v>MITRA JAYA 88 MINIMARKET</v>
          </cell>
          <cell r="C2849">
            <v>1634273.1818181823</v>
          </cell>
        </row>
        <row r="2850">
          <cell r="A2850" t="str">
            <v>ML-TANR</v>
          </cell>
          <cell r="B2850" t="str">
            <v>MITRA LESTARI</v>
          </cell>
          <cell r="C2850">
            <v>2074806.8181818188</v>
          </cell>
        </row>
        <row r="2851">
          <cell r="A2851" t="str">
            <v>MNI</v>
          </cell>
          <cell r="B2851" t="str">
            <v>MINI SHOP,TAYAN</v>
          </cell>
          <cell r="C2851">
            <v>26121597.27272727</v>
          </cell>
        </row>
        <row r="2852">
          <cell r="A2852" t="str">
            <v>MNS</v>
          </cell>
          <cell r="B2852" t="str">
            <v>MANIS MANIS ,TKO</v>
          </cell>
          <cell r="C2852">
            <v>623249.99999999988</v>
          </cell>
        </row>
        <row r="2853">
          <cell r="A2853" t="str">
            <v>MORR</v>
          </cell>
          <cell r="B2853" t="str">
            <v>MORRIE,SINTANG</v>
          </cell>
          <cell r="C2853">
            <v>7818971.1818181816</v>
          </cell>
        </row>
        <row r="2854">
          <cell r="A2854" t="str">
            <v>MS</v>
          </cell>
          <cell r="B2854" t="str">
            <v>PESONA MS,BALAI KARANGAN</v>
          </cell>
          <cell r="C2854">
            <v>2853109.0454545459</v>
          </cell>
        </row>
        <row r="2855">
          <cell r="A2855" t="str">
            <v>MSC</v>
          </cell>
          <cell r="B2855" t="str">
            <v>MITRA SUKSES AGUNG,CV</v>
          </cell>
          <cell r="C2855">
            <v>18247350.000000007</v>
          </cell>
        </row>
        <row r="2856">
          <cell r="A2856" t="str">
            <v>MUST</v>
          </cell>
          <cell r="B2856" t="str">
            <v>MUSTAQIM STORE,TEBAS</v>
          </cell>
          <cell r="C2856">
            <v>1128158.1818181819</v>
          </cell>
        </row>
        <row r="2857">
          <cell r="A2857" t="str">
            <v>MYSA</v>
          </cell>
          <cell r="B2857" t="str">
            <v>MYSAS SKINCARE</v>
          </cell>
          <cell r="C2857">
            <v>1277811.8181818179</v>
          </cell>
        </row>
        <row r="2858">
          <cell r="A2858" t="str">
            <v>N001</v>
          </cell>
          <cell r="B2858" t="str">
            <v>NADIA MART</v>
          </cell>
          <cell r="C2858">
            <v>304802.27272727271</v>
          </cell>
        </row>
        <row r="2859">
          <cell r="A2859" t="str">
            <v>N002</v>
          </cell>
          <cell r="B2859" t="str">
            <v>NAIFALYA TOSERBA</v>
          </cell>
          <cell r="C2859">
            <v>959109.72727272706</v>
          </cell>
        </row>
        <row r="2860">
          <cell r="A2860" t="str">
            <v>N007</v>
          </cell>
          <cell r="B2860" t="str">
            <v>NAUZAN</v>
          </cell>
          <cell r="C2860">
            <v>7228576.3636363652</v>
          </cell>
        </row>
        <row r="2861">
          <cell r="A2861" t="str">
            <v>N009</v>
          </cell>
          <cell r="B2861" t="str">
            <v>NAZAKE</v>
          </cell>
          <cell r="C2861">
            <v>743336.36363636353</v>
          </cell>
        </row>
        <row r="2862">
          <cell r="A2862" t="str">
            <v>N014</v>
          </cell>
          <cell r="B2862" t="str">
            <v>NIAGARA BANGKAWEH</v>
          </cell>
          <cell r="C2862">
            <v>1603251.136363636</v>
          </cell>
        </row>
        <row r="2863">
          <cell r="A2863" t="str">
            <v>N020</v>
          </cell>
          <cell r="B2863" t="str">
            <v>NOLA BTS</v>
          </cell>
          <cell r="C2863">
            <v>1199656.3636363635</v>
          </cell>
        </row>
        <row r="2864">
          <cell r="A2864" t="str">
            <v>N022</v>
          </cell>
          <cell r="B2864" t="str">
            <v>NOVA MART BTS</v>
          </cell>
          <cell r="C2864">
            <v>208442.04545454547</v>
          </cell>
        </row>
        <row r="2865">
          <cell r="A2865" t="str">
            <v>N027</v>
          </cell>
          <cell r="B2865" t="str">
            <v>NIAGA MM</v>
          </cell>
          <cell r="C2865">
            <v>846659.09090909071</v>
          </cell>
        </row>
        <row r="2866">
          <cell r="A2866" t="str">
            <v>N030</v>
          </cell>
          <cell r="B2866" t="str">
            <v>NANDO B.KAPEH</v>
          </cell>
          <cell r="C2866">
            <v>2169797.0454545454</v>
          </cell>
        </row>
        <row r="2867">
          <cell r="A2867" t="str">
            <v>N031</v>
          </cell>
          <cell r="B2867" t="str">
            <v>NABESA</v>
          </cell>
          <cell r="C2867">
            <v>228861.81818181821</v>
          </cell>
        </row>
        <row r="2868">
          <cell r="A2868" t="str">
            <v>N033</v>
          </cell>
          <cell r="B2868" t="str">
            <v>NOVA MART SOLOK</v>
          </cell>
          <cell r="C2868">
            <v>980079.54545454553</v>
          </cell>
        </row>
        <row r="2869">
          <cell r="A2869" t="str">
            <v>N035</v>
          </cell>
          <cell r="B2869" t="str">
            <v>NINA</v>
          </cell>
          <cell r="C2869">
            <v>4091747.7272727271</v>
          </cell>
        </row>
        <row r="2870">
          <cell r="A2870" t="str">
            <v>N037</v>
          </cell>
          <cell r="B2870" t="str">
            <v>NASEL</v>
          </cell>
          <cell r="C2870">
            <v>807608.18181818177</v>
          </cell>
        </row>
        <row r="2871">
          <cell r="A2871" t="str">
            <v>N039</v>
          </cell>
          <cell r="B2871" t="str">
            <v>NZ MM II</v>
          </cell>
          <cell r="C2871">
            <v>716825.45454545459</v>
          </cell>
        </row>
        <row r="2872">
          <cell r="A2872" t="str">
            <v>N043</v>
          </cell>
          <cell r="B2872" t="str">
            <v>NORY NANDA</v>
          </cell>
          <cell r="C2872">
            <v>1233037.0909090908</v>
          </cell>
        </row>
        <row r="2873">
          <cell r="A2873" t="str">
            <v>N045</v>
          </cell>
          <cell r="B2873" t="str">
            <v>NAY STORE</v>
          </cell>
          <cell r="C2873">
            <v>1479871.3636363635</v>
          </cell>
        </row>
        <row r="2874">
          <cell r="A2874" t="str">
            <v>N047</v>
          </cell>
          <cell r="B2874" t="str">
            <v>N MART PSM</v>
          </cell>
          <cell r="C2874">
            <v>2213665.9090909096</v>
          </cell>
        </row>
        <row r="2875">
          <cell r="A2875" t="str">
            <v>NA5880</v>
          </cell>
          <cell r="B2875" t="str">
            <v>DUPAN MINI MARKET</v>
          </cell>
          <cell r="C2875">
            <v>927102.27272727259</v>
          </cell>
        </row>
        <row r="2876">
          <cell r="A2876" t="str">
            <v>NA600</v>
          </cell>
          <cell r="B2876" t="str">
            <v>LANCAR ABADI</v>
          </cell>
          <cell r="C2876">
            <v>768170.45454545447</v>
          </cell>
        </row>
        <row r="2877">
          <cell r="A2877" t="str">
            <v>NAIDA</v>
          </cell>
          <cell r="B2877" t="str">
            <v>NAIDA COSMETIK</v>
          </cell>
          <cell r="C2877">
            <v>10423755.000000002</v>
          </cell>
        </row>
        <row r="2878">
          <cell r="A2878" t="str">
            <v>NIA003</v>
          </cell>
          <cell r="B2878" t="str">
            <v>MIN BEAUTY</v>
          </cell>
          <cell r="C2878">
            <v>2945262.7272727275</v>
          </cell>
        </row>
        <row r="2879">
          <cell r="A2879" t="str">
            <v>NIT1</v>
          </cell>
          <cell r="B2879" t="str">
            <v>NITA FASHION ,SINTANG</v>
          </cell>
          <cell r="C2879">
            <v>43699522.909090921</v>
          </cell>
        </row>
        <row r="2880">
          <cell r="A2880" t="str">
            <v>NON</v>
          </cell>
          <cell r="B2880" t="str">
            <v>NONA APRILIA</v>
          </cell>
          <cell r="C2880">
            <v>2679290.7272727275</v>
          </cell>
        </row>
        <row r="2881">
          <cell r="A2881" t="str">
            <v>NSS</v>
          </cell>
          <cell r="B2881" t="str">
            <v>EKARIC BERSAUDARA,PT</v>
          </cell>
          <cell r="C2881">
            <v>4066363.6363636381</v>
          </cell>
        </row>
        <row r="2882">
          <cell r="A2882" t="str">
            <v>O001</v>
          </cell>
          <cell r="B2882" t="str">
            <v>O MART</v>
          </cell>
          <cell r="C2882">
            <v>1090595.4545454544</v>
          </cell>
        </row>
        <row r="2883">
          <cell r="A2883" t="str">
            <v>O002</v>
          </cell>
          <cell r="B2883" t="str">
            <v>OING SHOP</v>
          </cell>
          <cell r="C2883">
            <v>6121727.9999999991</v>
          </cell>
        </row>
        <row r="2884">
          <cell r="A2884" t="str">
            <v>O004</v>
          </cell>
          <cell r="B2884" t="str">
            <v>ORANGE MART</v>
          </cell>
          <cell r="C2884">
            <v>609963.81818181823</v>
          </cell>
        </row>
        <row r="2885">
          <cell r="A2885" t="str">
            <v>O008</v>
          </cell>
          <cell r="B2885" t="str">
            <v>OVI</v>
          </cell>
          <cell r="C2885">
            <v>366747.27272727271</v>
          </cell>
        </row>
        <row r="2886">
          <cell r="A2886" t="str">
            <v>O017</v>
          </cell>
          <cell r="B2886" t="str">
            <v>ORCHARD MM 2</v>
          </cell>
          <cell r="C2886">
            <v>170772.95454545459</v>
          </cell>
        </row>
        <row r="2887">
          <cell r="A2887" t="str">
            <v>O018</v>
          </cell>
          <cell r="B2887" t="str">
            <v>ONE KINA COSMETIK</v>
          </cell>
          <cell r="C2887">
            <v>433200</v>
          </cell>
        </row>
        <row r="2888">
          <cell r="A2888" t="str">
            <v>OMNI1</v>
          </cell>
          <cell r="B2888" t="str">
            <v>OMNI BEAUTY</v>
          </cell>
          <cell r="C2888">
            <v>500331.81818181823</v>
          </cell>
        </row>
        <row r="2889">
          <cell r="A2889" t="str">
            <v>OPSHE</v>
          </cell>
          <cell r="B2889" t="str">
            <v>OPSHE TOKO, SANGGAU</v>
          </cell>
          <cell r="C2889">
            <v>6803966.7272727294</v>
          </cell>
        </row>
        <row r="2890">
          <cell r="A2890" t="str">
            <v>P002</v>
          </cell>
          <cell r="B2890" t="str">
            <v>PARIS COS</v>
          </cell>
          <cell r="C2890">
            <v>1857478.8181818184</v>
          </cell>
        </row>
        <row r="2891">
          <cell r="A2891" t="str">
            <v>P007</v>
          </cell>
          <cell r="B2891" t="str">
            <v>PT.SAHABAT JAYA SENTOSA</v>
          </cell>
          <cell r="C2891">
            <v>413100.00000000012</v>
          </cell>
        </row>
        <row r="2892">
          <cell r="A2892" t="str">
            <v>P009</v>
          </cell>
          <cell r="B2892" t="str">
            <v>PT.SAHABAT JAYA SENTOSA JATI</v>
          </cell>
          <cell r="C2892">
            <v>199683.40909090909</v>
          </cell>
        </row>
        <row r="2893">
          <cell r="A2893" t="str">
            <v>P010</v>
          </cell>
          <cell r="B2893" t="str">
            <v>PT.SURIATAMA MINANG LESTARI Tbk</v>
          </cell>
          <cell r="C2893">
            <v>667742.04545454553</v>
          </cell>
        </row>
        <row r="2894">
          <cell r="A2894" t="str">
            <v>P011</v>
          </cell>
          <cell r="B2894" t="str">
            <v>PURI MART BKT</v>
          </cell>
          <cell r="C2894">
            <v>617213.86363636353</v>
          </cell>
        </row>
        <row r="2895">
          <cell r="A2895" t="str">
            <v>P018</v>
          </cell>
          <cell r="B2895" t="str">
            <v>PT.HAIKAL SEJAHTERA</v>
          </cell>
          <cell r="C2895">
            <v>4841250.2727272743</v>
          </cell>
        </row>
        <row r="2896">
          <cell r="A2896" t="str">
            <v>P020</v>
          </cell>
          <cell r="B2896" t="str">
            <v>PT.SAGA SURYA KENCANA</v>
          </cell>
          <cell r="C2896">
            <v>7721241.8181818193</v>
          </cell>
        </row>
        <row r="2897">
          <cell r="A2897" t="str">
            <v>P023</v>
          </cell>
          <cell r="B2897" t="str">
            <v>PT.SAHABAT JAYA SENTOSA  SEI BONG</v>
          </cell>
          <cell r="C2897">
            <v>526195.90909090906</v>
          </cell>
        </row>
        <row r="2898">
          <cell r="A2898" t="str">
            <v>P025</v>
          </cell>
          <cell r="B2898" t="str">
            <v>PELANGI SWALAYAN</v>
          </cell>
          <cell r="C2898">
            <v>33418091.318181809</v>
          </cell>
        </row>
        <row r="2899">
          <cell r="A2899" t="str">
            <v>P027</v>
          </cell>
          <cell r="B2899" t="str">
            <v>PT.SURIATAMA MINANG LESTARI Tbk JATI</v>
          </cell>
          <cell r="C2899">
            <v>4536116.5909090908</v>
          </cell>
        </row>
        <row r="2900">
          <cell r="A2900" t="str">
            <v>P028</v>
          </cell>
          <cell r="B2900" t="str">
            <v>PT.SAGA SURYA KENCANA AIR TAWAR</v>
          </cell>
          <cell r="C2900">
            <v>863500.90909090894</v>
          </cell>
        </row>
        <row r="2901">
          <cell r="A2901" t="str">
            <v>P042</v>
          </cell>
          <cell r="B2901" t="str">
            <v>PRIMA GLORI / PING SING</v>
          </cell>
          <cell r="C2901">
            <v>2707249.0909090913</v>
          </cell>
        </row>
        <row r="2902">
          <cell r="A2902" t="str">
            <v>P050</v>
          </cell>
          <cell r="B2902" t="str">
            <v>PASAR RAYA MAHLIGAI</v>
          </cell>
          <cell r="C2902">
            <v>12678342.272727275</v>
          </cell>
        </row>
        <row r="2903">
          <cell r="A2903" t="str">
            <v>P051</v>
          </cell>
          <cell r="B2903" t="str">
            <v>PINANG LESTARI</v>
          </cell>
          <cell r="C2903">
            <v>9401541.9090909064</v>
          </cell>
        </row>
        <row r="2904">
          <cell r="A2904" t="str">
            <v>P053</v>
          </cell>
          <cell r="B2904" t="str">
            <v>SURYA BINTAN MANDIRI</v>
          </cell>
          <cell r="C2904">
            <v>369000</v>
          </cell>
        </row>
        <row r="2905">
          <cell r="A2905" t="str">
            <v>P054</v>
          </cell>
          <cell r="B2905" t="str">
            <v>UTAMA PERMAI</v>
          </cell>
          <cell r="C2905">
            <v>1478995.9090909092</v>
          </cell>
        </row>
        <row r="2906">
          <cell r="A2906" t="str">
            <v>P074</v>
          </cell>
          <cell r="B2906" t="str">
            <v>PINANG KENCANA</v>
          </cell>
          <cell r="C2906">
            <v>631690.90909090918</v>
          </cell>
        </row>
        <row r="2907">
          <cell r="A2907" t="str">
            <v>P092</v>
          </cell>
          <cell r="B2907" t="str">
            <v>VIVA BINTAN MANDIRI</v>
          </cell>
          <cell r="C2907">
            <v>914952.27272727271</v>
          </cell>
        </row>
        <row r="2908">
          <cell r="A2908" t="str">
            <v>P104</v>
          </cell>
          <cell r="B2908" t="str">
            <v>PT. MITRA LANCAR JAYA</v>
          </cell>
          <cell r="C2908">
            <v>438723.40909090906</v>
          </cell>
        </row>
        <row r="2909">
          <cell r="A2909" t="str">
            <v>P117</v>
          </cell>
          <cell r="B2909" t="str">
            <v>UTAMA PERMAI.</v>
          </cell>
          <cell r="C2909">
            <v>709565.45454545459</v>
          </cell>
        </row>
        <row r="2910">
          <cell r="A2910" t="str">
            <v>P119</v>
          </cell>
          <cell r="B2910" t="str">
            <v>PT. BINTAN CITRA PERMATA</v>
          </cell>
          <cell r="C2910">
            <v>2391035.2727272729</v>
          </cell>
        </row>
        <row r="2911">
          <cell r="A2911" t="str">
            <v>P133</v>
          </cell>
          <cell r="B2911" t="str">
            <v>ISANA RETAIL INDONESIA</v>
          </cell>
          <cell r="C2911">
            <v>282368.18181818188</v>
          </cell>
        </row>
        <row r="2912">
          <cell r="A2912" t="str">
            <v>P134</v>
          </cell>
          <cell r="B2912" t="str">
            <v>REZEKI MAKMUR ANUGRAH</v>
          </cell>
          <cell r="C2912">
            <v>1446300</v>
          </cell>
        </row>
        <row r="2913">
          <cell r="A2913" t="str">
            <v>P216</v>
          </cell>
          <cell r="B2913" t="str">
            <v>INDOCEMERLANG KARYA LTIGA</v>
          </cell>
          <cell r="C2913">
            <v>1224832.3636363635</v>
          </cell>
        </row>
        <row r="2914">
          <cell r="A2914" t="str">
            <v>P218</v>
          </cell>
          <cell r="B2914" t="str">
            <v>PT. ANEKA ANUGERAH AMANAH</v>
          </cell>
          <cell r="C2914">
            <v>794659.09090909082</v>
          </cell>
        </row>
        <row r="2915">
          <cell r="A2915" t="str">
            <v>P220</v>
          </cell>
          <cell r="B2915" t="str">
            <v>PT. ANUGERAH TRIJAYA MANDIRI</v>
          </cell>
          <cell r="C2915">
            <v>273244.09090909088</v>
          </cell>
        </row>
        <row r="2916">
          <cell r="A2916" t="str">
            <v>PANDA</v>
          </cell>
          <cell r="B2916" t="str">
            <v>PANDA KOSMETIK,PINOH</v>
          </cell>
          <cell r="C2916">
            <v>271167.27272727276</v>
          </cell>
        </row>
        <row r="2917">
          <cell r="A2917" t="str">
            <v>PBD005</v>
          </cell>
          <cell r="B2917" t="str">
            <v>VICTORY</v>
          </cell>
          <cell r="C2917">
            <v>17512078.363636363</v>
          </cell>
        </row>
        <row r="2918">
          <cell r="A2918" t="str">
            <v>PBG001</v>
          </cell>
          <cell r="B2918" t="str">
            <v>DELI SAUDARA MM</v>
          </cell>
          <cell r="C2918">
            <v>1953815.1818181819</v>
          </cell>
        </row>
        <row r="2919">
          <cell r="A2919" t="str">
            <v>PERMA2</v>
          </cell>
          <cell r="B2919" t="str">
            <v>PERMATA2 MART,NGABANG</v>
          </cell>
          <cell r="C2919">
            <v>1041305.4545454544</v>
          </cell>
        </row>
        <row r="2920">
          <cell r="A2920" t="str">
            <v>PIKA.</v>
          </cell>
          <cell r="B2920" t="str">
            <v>PIKACHU TOKO,TUMBANG TITI</v>
          </cell>
          <cell r="C2920">
            <v>9566482.6363636367</v>
          </cell>
        </row>
        <row r="2921">
          <cell r="A2921" t="str">
            <v>PIKAC</v>
          </cell>
          <cell r="B2921" t="str">
            <v>PIKACHU TOKO,SUKADANA</v>
          </cell>
          <cell r="C2921">
            <v>20897964</v>
          </cell>
        </row>
        <row r="2922">
          <cell r="A2922" t="str">
            <v>POND</v>
          </cell>
          <cell r="B2922" t="str">
            <v>PONDOK JAYA,TKO</v>
          </cell>
          <cell r="C2922">
            <v>451701.81818181818</v>
          </cell>
        </row>
        <row r="2923">
          <cell r="A2923" t="str">
            <v>PRD003</v>
          </cell>
          <cell r="B2923" t="str">
            <v>DECO 100 PERDAGANGAN</v>
          </cell>
          <cell r="C2923">
            <v>4872773.0454545468</v>
          </cell>
        </row>
        <row r="2924">
          <cell r="A2924" t="str">
            <v>PRD006</v>
          </cell>
          <cell r="B2924" t="str">
            <v>TOKO OBAT SONDANG</v>
          </cell>
          <cell r="C2924">
            <v>768498.13636363647</v>
          </cell>
        </row>
        <row r="2925">
          <cell r="A2925" t="str">
            <v>PRD007</v>
          </cell>
          <cell r="B2925" t="str">
            <v>TASYA MART</v>
          </cell>
          <cell r="C2925">
            <v>330729.54545454553</v>
          </cell>
        </row>
        <row r="2926">
          <cell r="A2926" t="str">
            <v>PRD008</v>
          </cell>
          <cell r="B2926" t="str">
            <v>APOTIK RESTAR</v>
          </cell>
          <cell r="C2926">
            <v>1104940.9090909092</v>
          </cell>
        </row>
        <row r="2927">
          <cell r="A2927" t="str">
            <v>PRJ002</v>
          </cell>
          <cell r="B2927" t="str">
            <v>APOTIK SEMPURNA</v>
          </cell>
          <cell r="C2927">
            <v>14134224.545454543</v>
          </cell>
        </row>
        <row r="2928">
          <cell r="A2928" t="str">
            <v>PSP006</v>
          </cell>
          <cell r="B2928" t="str">
            <v>TOKO BINTANG COS</v>
          </cell>
          <cell r="C2928">
            <v>794659.09090909082</v>
          </cell>
        </row>
        <row r="2929">
          <cell r="A2929" t="str">
            <v>PST002</v>
          </cell>
          <cell r="B2929" t="str">
            <v>AKIAT</v>
          </cell>
          <cell r="C2929">
            <v>49566365.454545438</v>
          </cell>
        </row>
        <row r="2930">
          <cell r="A2930" t="str">
            <v>PST004</v>
          </cell>
          <cell r="B2930" t="str">
            <v>ANGO</v>
          </cell>
          <cell r="C2930">
            <v>635727.27272727271</v>
          </cell>
        </row>
        <row r="2931">
          <cell r="A2931" t="str">
            <v>PST006</v>
          </cell>
          <cell r="B2931" t="str">
            <v>APOTIK HORISAN</v>
          </cell>
          <cell r="C2931">
            <v>239154.54545454547</v>
          </cell>
        </row>
        <row r="2932">
          <cell r="A2932" t="str">
            <v>PST008</v>
          </cell>
          <cell r="B2932" t="str">
            <v>APOTIK NIAGA JAYA SIANTAR</v>
          </cell>
          <cell r="C2932">
            <v>415933.63636363641</v>
          </cell>
        </row>
        <row r="2933">
          <cell r="A2933" t="str">
            <v>PST012</v>
          </cell>
          <cell r="B2933" t="str">
            <v>ASUN PJK HORAS</v>
          </cell>
          <cell r="C2933">
            <v>3628489.0909090918</v>
          </cell>
        </row>
        <row r="2934">
          <cell r="A2934" t="str">
            <v>PST013</v>
          </cell>
          <cell r="B2934" t="str">
            <v>BORU LINGGA</v>
          </cell>
          <cell r="C2934">
            <v>167086.36363636365</v>
          </cell>
        </row>
        <row r="2935">
          <cell r="A2935" t="str">
            <v>PST025</v>
          </cell>
          <cell r="B2935" t="str">
            <v>TOKO JHONSON</v>
          </cell>
          <cell r="C2935">
            <v>6257081.5454545468</v>
          </cell>
        </row>
        <row r="2936">
          <cell r="A2936" t="str">
            <v>PST026</v>
          </cell>
          <cell r="B2936" t="str">
            <v>TOKO JOJO</v>
          </cell>
          <cell r="C2936">
            <v>1827766.363636364</v>
          </cell>
        </row>
        <row r="2937">
          <cell r="A2937" t="str">
            <v>PST033</v>
          </cell>
          <cell r="B2937" t="str">
            <v>TOKO OBAT SEHAT</v>
          </cell>
          <cell r="C2937">
            <v>706309.09090909094</v>
          </cell>
        </row>
        <row r="2938">
          <cell r="A2938" t="str">
            <v>PST034</v>
          </cell>
          <cell r="B2938" t="str">
            <v>TOKO OBAT VITA HUSADA</v>
          </cell>
          <cell r="C2938">
            <v>1630136.5909090906</v>
          </cell>
        </row>
        <row r="2939">
          <cell r="A2939" t="str">
            <v>PST036</v>
          </cell>
          <cell r="B2939" t="str">
            <v>TOKO AYEK</v>
          </cell>
          <cell r="C2939">
            <v>16635058.909090916</v>
          </cell>
        </row>
        <row r="2940">
          <cell r="A2940" t="str">
            <v>PST039</v>
          </cell>
          <cell r="B2940" t="str">
            <v>TOKO DIANA</v>
          </cell>
          <cell r="C2940">
            <v>2000341.6363636362</v>
          </cell>
        </row>
        <row r="2941">
          <cell r="A2941" t="str">
            <v>PST041</v>
          </cell>
          <cell r="B2941" t="str">
            <v>TOKO OBAT SAMPING RAMBE</v>
          </cell>
          <cell r="C2941">
            <v>639233.86363636353</v>
          </cell>
        </row>
        <row r="2942">
          <cell r="A2942" t="str">
            <v>PST046</v>
          </cell>
          <cell r="B2942" t="str">
            <v>TOKO FAIRMAN</v>
          </cell>
          <cell r="C2942">
            <v>1655363.4545454544</v>
          </cell>
        </row>
        <row r="2943">
          <cell r="A2943" t="str">
            <v>PST047</v>
          </cell>
          <cell r="B2943" t="str">
            <v>APOTIK NASIONAL FARMA</v>
          </cell>
          <cell r="C2943">
            <v>973569.5454545453</v>
          </cell>
        </row>
        <row r="2944">
          <cell r="A2944" t="str">
            <v>PST049</v>
          </cell>
          <cell r="B2944" t="str">
            <v>IMELDA MARKET</v>
          </cell>
          <cell r="C2944">
            <v>1692815.6818181816</v>
          </cell>
        </row>
        <row r="2945">
          <cell r="A2945" t="str">
            <v>PST050</v>
          </cell>
          <cell r="B2945" t="str">
            <v>APOTIK BUDI FARMA</v>
          </cell>
          <cell r="C2945">
            <v>-24975.000000000007</v>
          </cell>
        </row>
        <row r="2946">
          <cell r="A2946" t="str">
            <v>PST053</v>
          </cell>
          <cell r="B2946" t="str">
            <v>TOKO KASI PUTRI</v>
          </cell>
          <cell r="C2946">
            <v>1463394.5454545452</v>
          </cell>
        </row>
        <row r="2947">
          <cell r="A2947" t="str">
            <v>PST060</v>
          </cell>
          <cell r="B2947" t="str">
            <v>APOTIK BERKAT FARMA</v>
          </cell>
          <cell r="C2947">
            <v>1911205.9090909089</v>
          </cell>
        </row>
        <row r="2948">
          <cell r="A2948" t="str">
            <v>PST065</v>
          </cell>
          <cell r="B2948" t="str">
            <v>METRO SIANTAR</v>
          </cell>
          <cell r="C2948">
            <v>3156017.7272727275</v>
          </cell>
        </row>
        <row r="2949">
          <cell r="A2949" t="str">
            <v>PST066</v>
          </cell>
          <cell r="B2949" t="str">
            <v>TOKO OBAT BOY MANDIRI</v>
          </cell>
          <cell r="C2949">
            <v>1975693.1818181821</v>
          </cell>
        </row>
        <row r="2950">
          <cell r="A2950" t="str">
            <v>PST070</v>
          </cell>
          <cell r="B2950" t="str">
            <v>FELISIA</v>
          </cell>
          <cell r="C2950">
            <v>438079.09090909088</v>
          </cell>
        </row>
        <row r="2951">
          <cell r="A2951" t="str">
            <v>PST079</v>
          </cell>
          <cell r="B2951" t="str">
            <v>TOKO OBAT OZIL</v>
          </cell>
          <cell r="C2951">
            <v>661457.18181818188</v>
          </cell>
        </row>
        <row r="2952">
          <cell r="A2952" t="str">
            <v>PST080</v>
          </cell>
          <cell r="B2952" t="str">
            <v>APOTIK ROULINA</v>
          </cell>
          <cell r="C2952">
            <v>-77127.272727272735</v>
          </cell>
        </row>
        <row r="2953">
          <cell r="A2953" t="str">
            <v>PST082</v>
          </cell>
          <cell r="B2953" t="str">
            <v>TOKO OBAT ROGATE</v>
          </cell>
          <cell r="C2953">
            <v>1248976.3636363635</v>
          </cell>
        </row>
        <row r="2954">
          <cell r="A2954" t="str">
            <v>PST088</v>
          </cell>
          <cell r="B2954" t="str">
            <v>APOTIK MARTUNAS</v>
          </cell>
          <cell r="C2954">
            <v>884934.54545454541</v>
          </cell>
        </row>
        <row r="2955">
          <cell r="A2955" t="str">
            <v>PST095</v>
          </cell>
          <cell r="B2955" t="str">
            <v>RATU JAYA</v>
          </cell>
          <cell r="C2955">
            <v>7839315.363636367</v>
          </cell>
        </row>
        <row r="2956">
          <cell r="A2956" t="str">
            <v>PST097</v>
          </cell>
          <cell r="B2956" t="str">
            <v>IVAN</v>
          </cell>
          <cell r="C2956">
            <v>850415.72727272718</v>
          </cell>
        </row>
        <row r="2957">
          <cell r="A2957" t="str">
            <v>PST099</v>
          </cell>
          <cell r="B2957" t="str">
            <v>TOKO OBAT ANUGRAH FARMA</v>
          </cell>
          <cell r="C2957">
            <v>900927.27272727259</v>
          </cell>
        </row>
        <row r="2958">
          <cell r="A2958" t="str">
            <v>PST101</v>
          </cell>
          <cell r="B2958" t="str">
            <v>MEGA MAS</v>
          </cell>
          <cell r="C2958">
            <v>6557334.0000000028</v>
          </cell>
        </row>
        <row r="2959">
          <cell r="A2959" t="str">
            <v>PST104</v>
          </cell>
          <cell r="B2959" t="str">
            <v>RINA JAYA</v>
          </cell>
          <cell r="C2959">
            <v>-68340.681818181823</v>
          </cell>
        </row>
        <row r="2960">
          <cell r="A2960" t="str">
            <v>PST107</v>
          </cell>
          <cell r="B2960" t="str">
            <v>TOKO JACKSON</v>
          </cell>
          <cell r="C2960">
            <v>381406.36363636365</v>
          </cell>
        </row>
        <row r="2961">
          <cell r="A2961" t="str">
            <v>PST108</v>
          </cell>
          <cell r="B2961" t="str">
            <v>TOKO OBAT ORACION FARMA</v>
          </cell>
          <cell r="C2961">
            <v>1538204.5454545454</v>
          </cell>
        </row>
        <row r="2962">
          <cell r="A2962" t="str">
            <v>PST122</v>
          </cell>
          <cell r="B2962" t="str">
            <v>APOTIK NINANTA</v>
          </cell>
          <cell r="C2962">
            <v>274220.45454545459</v>
          </cell>
        </row>
        <row r="2963">
          <cell r="A2963" t="str">
            <v>PST126</v>
          </cell>
          <cell r="B2963" t="str">
            <v>CANG COSMETIC</v>
          </cell>
          <cell r="C2963">
            <v>1875527.2727272729</v>
          </cell>
        </row>
        <row r="2964">
          <cell r="A2964" t="str">
            <v>PST128</v>
          </cell>
          <cell r="B2964" t="str">
            <v>APOTIK ROULINA 2</v>
          </cell>
          <cell r="C2964">
            <v>687799.09090909094</v>
          </cell>
        </row>
        <row r="2965">
          <cell r="A2965" t="str">
            <v>PST132</v>
          </cell>
          <cell r="B2965" t="str">
            <v>ZIYAH COSMETIC</v>
          </cell>
          <cell r="C2965">
            <v>1158127.2727272725</v>
          </cell>
        </row>
        <row r="2966">
          <cell r="A2966" t="str">
            <v>PST134</v>
          </cell>
          <cell r="B2966" t="str">
            <v>TOKO CA&amp;RA PONSEL</v>
          </cell>
          <cell r="C2966">
            <v>670929.54545454541</v>
          </cell>
        </row>
        <row r="2967">
          <cell r="A2967" t="str">
            <v>PST137</v>
          </cell>
          <cell r="B2967" t="str">
            <v>NAULI MARKET</v>
          </cell>
          <cell r="C2967">
            <v>2779847</v>
          </cell>
        </row>
        <row r="2968">
          <cell r="A2968" t="str">
            <v>PST139</v>
          </cell>
          <cell r="B2968" t="str">
            <v>TOKO USAHA JOE</v>
          </cell>
          <cell r="C2968">
            <v>1167730.9090909089</v>
          </cell>
        </row>
        <row r="2969">
          <cell r="A2969" t="str">
            <v>PST140</v>
          </cell>
          <cell r="B2969" t="str">
            <v>APOTIK BERSAMA PORSEA</v>
          </cell>
          <cell r="C2969">
            <v>1162839.5454545454</v>
          </cell>
        </row>
        <row r="2970">
          <cell r="A2970" t="str">
            <v>PST141</v>
          </cell>
          <cell r="B2970" t="str">
            <v>TOKO OBAT FAMILI</v>
          </cell>
          <cell r="C2970">
            <v>1573600</v>
          </cell>
        </row>
        <row r="2971">
          <cell r="A2971" t="str">
            <v>PST146</v>
          </cell>
          <cell r="B2971" t="str">
            <v>BAWANA COSMETIC</v>
          </cell>
          <cell r="C2971">
            <v>300000</v>
          </cell>
        </row>
        <row r="2972">
          <cell r="A2972" t="str">
            <v>PST148</v>
          </cell>
          <cell r="B2972" t="str">
            <v xml:space="preserve">INDAH </v>
          </cell>
          <cell r="C2972">
            <v>580659.54545454541</v>
          </cell>
        </row>
        <row r="2973">
          <cell r="A2973" t="str">
            <v>PST152</v>
          </cell>
          <cell r="B2973" t="str">
            <v>TOKO PUTRA</v>
          </cell>
          <cell r="C2973">
            <v>2728765.9090909087</v>
          </cell>
        </row>
        <row r="2974">
          <cell r="A2974" t="str">
            <v>PST153</v>
          </cell>
          <cell r="B2974" t="str">
            <v>FUJA COS</v>
          </cell>
          <cell r="C2974">
            <v>539378.18181818188</v>
          </cell>
        </row>
        <row r="2975">
          <cell r="A2975" t="str">
            <v>PSU001</v>
          </cell>
          <cell r="B2975" t="str">
            <v>VIRZA</v>
          </cell>
          <cell r="C2975">
            <v>317863.63636363635</v>
          </cell>
        </row>
        <row r="2976">
          <cell r="A2976" t="str">
            <v>PUS2</v>
          </cell>
          <cell r="B2976" t="str">
            <v>PUSAT CANTIK 2</v>
          </cell>
          <cell r="C2976">
            <v>7445962.0909090908</v>
          </cell>
        </row>
        <row r="2977">
          <cell r="A2977" t="str">
            <v>PYB005</v>
          </cell>
          <cell r="B2977" t="str">
            <v>ALFATIH COSMETIC</v>
          </cell>
          <cell r="C2977">
            <v>2185300.9090909087</v>
          </cell>
        </row>
        <row r="2978">
          <cell r="A2978" t="str">
            <v>PYB008</v>
          </cell>
          <cell r="B2978" t="str">
            <v>BUNGA COSMETIC</v>
          </cell>
          <cell r="C2978">
            <v>1335589.7727272727</v>
          </cell>
        </row>
        <row r="2979">
          <cell r="A2979" t="str">
            <v>Q002</v>
          </cell>
          <cell r="B2979" t="str">
            <v>QUEEN GALERY SHOP</v>
          </cell>
          <cell r="C2979">
            <v>4567881.2727272725</v>
          </cell>
        </row>
        <row r="2980">
          <cell r="A2980" t="str">
            <v>R005</v>
          </cell>
          <cell r="B2980" t="str">
            <v>RAHMAT DMS</v>
          </cell>
          <cell r="C2980">
            <v>25124950.909090918</v>
          </cell>
        </row>
        <row r="2981">
          <cell r="A2981" t="str">
            <v>R007</v>
          </cell>
          <cell r="B2981" t="str">
            <v>RAIFAN</v>
          </cell>
          <cell r="C2981">
            <v>1121005.6363636362</v>
          </cell>
        </row>
        <row r="2982">
          <cell r="A2982" t="str">
            <v>R015</v>
          </cell>
          <cell r="B2982" t="str">
            <v>RENO PP</v>
          </cell>
          <cell r="C2982">
            <v>2123879.9999999995</v>
          </cell>
        </row>
        <row r="2983">
          <cell r="A2983" t="str">
            <v>R016</v>
          </cell>
          <cell r="B2983" t="str">
            <v>REREN</v>
          </cell>
          <cell r="C2983">
            <v>1526805.0000000005</v>
          </cell>
        </row>
        <row r="2984">
          <cell r="A2984" t="str">
            <v>R021</v>
          </cell>
          <cell r="B2984" t="str">
            <v>RIFA MART</v>
          </cell>
          <cell r="C2984">
            <v>1329311.3181818181</v>
          </cell>
        </row>
        <row r="2985">
          <cell r="A2985" t="str">
            <v>R022</v>
          </cell>
          <cell r="B2985" t="str">
            <v>RIFA MART 2</v>
          </cell>
          <cell r="C2985">
            <v>596127.04545454541</v>
          </cell>
        </row>
        <row r="2986">
          <cell r="A2986" t="str">
            <v>R024</v>
          </cell>
          <cell r="B2986" t="str">
            <v>RINI COSMETIC</v>
          </cell>
          <cell r="C2986">
            <v>2533405.5454545459</v>
          </cell>
        </row>
        <row r="2987">
          <cell r="A2987" t="str">
            <v>R025</v>
          </cell>
          <cell r="B2987" t="str">
            <v>RIO LB.SIKAPING</v>
          </cell>
          <cell r="C2987">
            <v>5709733.6363636358</v>
          </cell>
        </row>
        <row r="2988">
          <cell r="A2988" t="str">
            <v>R026</v>
          </cell>
          <cell r="B2988" t="str">
            <v>RISALAH MART</v>
          </cell>
          <cell r="C2988">
            <v>1302925.2272727271</v>
          </cell>
        </row>
        <row r="2989">
          <cell r="A2989" t="str">
            <v>R027</v>
          </cell>
          <cell r="B2989" t="str">
            <v>RISDA</v>
          </cell>
          <cell r="C2989">
            <v>8262713.0000000019</v>
          </cell>
        </row>
        <row r="2990">
          <cell r="A2990" t="str">
            <v>R029</v>
          </cell>
          <cell r="B2990" t="str">
            <v>RIZKI MART KP.KALAWI</v>
          </cell>
          <cell r="C2990">
            <v>637909.09090909082</v>
          </cell>
        </row>
        <row r="2991">
          <cell r="A2991" t="str">
            <v>R031</v>
          </cell>
          <cell r="B2991" t="str">
            <v>RUMAH BAYI</v>
          </cell>
          <cell r="C2991">
            <v>1187109.0909090911</v>
          </cell>
        </row>
        <row r="2992">
          <cell r="A2992" t="str">
            <v>R036</v>
          </cell>
          <cell r="B2992" t="str">
            <v>RAHMA SHOP</v>
          </cell>
          <cell r="C2992">
            <v>1131291.8181818179</v>
          </cell>
        </row>
        <row r="2993">
          <cell r="A2993" t="str">
            <v>R038</v>
          </cell>
          <cell r="B2993" t="str">
            <v>RIO PAINAN</v>
          </cell>
          <cell r="C2993">
            <v>5333111.5909090908</v>
          </cell>
        </row>
        <row r="2994">
          <cell r="A2994" t="str">
            <v>R039</v>
          </cell>
          <cell r="B2994" t="str">
            <v>RAFI BKT</v>
          </cell>
          <cell r="C2994">
            <v>7994421.8181818174</v>
          </cell>
        </row>
        <row r="2995">
          <cell r="A2995" t="str">
            <v>R041</v>
          </cell>
          <cell r="B2995" t="str">
            <v>RYANDRA</v>
          </cell>
          <cell r="C2995">
            <v>1294516.3636363635</v>
          </cell>
        </row>
        <row r="2996">
          <cell r="A2996" t="str">
            <v>R044</v>
          </cell>
          <cell r="B2996" t="str">
            <v>RAUDAH MART GADUT</v>
          </cell>
          <cell r="C2996">
            <v>2962297.2727272739</v>
          </cell>
        </row>
        <row r="2997">
          <cell r="A2997" t="str">
            <v>R045</v>
          </cell>
          <cell r="B2997" t="str">
            <v>RAHMAD BERSAUDARA</v>
          </cell>
          <cell r="C2997">
            <v>1069570.3636363635</v>
          </cell>
        </row>
        <row r="2998">
          <cell r="A2998" t="str">
            <v>R046</v>
          </cell>
          <cell r="B2998" t="str">
            <v>RUSLI S.PENUH</v>
          </cell>
          <cell r="C2998">
            <v>1317952.7727272729</v>
          </cell>
        </row>
        <row r="2999">
          <cell r="A2999" t="str">
            <v>R048</v>
          </cell>
          <cell r="B2999" t="str">
            <v>RAZIQ MART</v>
          </cell>
          <cell r="C2999">
            <v>556640.90909090894</v>
          </cell>
        </row>
        <row r="3000">
          <cell r="A3000" t="str">
            <v>R051</v>
          </cell>
          <cell r="B3000" t="str">
            <v>RATU KOSMETIK</v>
          </cell>
          <cell r="C3000">
            <v>1016946.1363636364</v>
          </cell>
        </row>
        <row r="3001">
          <cell r="A3001" t="str">
            <v>R055</v>
          </cell>
          <cell r="B3001" t="str">
            <v>RIDO COS</v>
          </cell>
          <cell r="C3001">
            <v>4087794.5454545454</v>
          </cell>
        </row>
        <row r="3002">
          <cell r="A3002" t="str">
            <v>R056</v>
          </cell>
          <cell r="B3002" t="str">
            <v>RINO</v>
          </cell>
          <cell r="C3002">
            <v>55626.136363636375</v>
          </cell>
        </row>
        <row r="3003">
          <cell r="A3003" t="str">
            <v>R057</v>
          </cell>
          <cell r="B3003" t="str">
            <v>RIZKI M.LABUH</v>
          </cell>
          <cell r="C3003">
            <v>285353.18181818182</v>
          </cell>
        </row>
        <row r="3004">
          <cell r="A3004" t="str">
            <v>R058</v>
          </cell>
          <cell r="B3004" t="str">
            <v>RIZKY KAMBANG</v>
          </cell>
          <cell r="C3004">
            <v>450306.81818181812</v>
          </cell>
        </row>
        <row r="3005">
          <cell r="A3005" t="str">
            <v>R062</v>
          </cell>
          <cell r="B3005" t="str">
            <v>RIZKY MART 2</v>
          </cell>
          <cell r="C3005">
            <v>2582412.2727272729</v>
          </cell>
        </row>
        <row r="3006">
          <cell r="A3006" t="str">
            <v>R062</v>
          </cell>
          <cell r="B3006" t="str">
            <v>RUDI ( SEI KECIL ) / ALONG</v>
          </cell>
          <cell r="C3006">
            <v>-9271.0227272727279</v>
          </cell>
        </row>
        <row r="3007">
          <cell r="A3007" t="str">
            <v>R219</v>
          </cell>
          <cell r="B3007" t="str">
            <v>ROXY DAIK / ROBIN</v>
          </cell>
          <cell r="C3007">
            <v>911428.5</v>
          </cell>
        </row>
        <row r="3008">
          <cell r="A3008" t="str">
            <v>R222</v>
          </cell>
          <cell r="B3008" t="str">
            <v>PT. BERSAMA GLAMINDO INDONESIA</v>
          </cell>
          <cell r="C3008">
            <v>53468807.363636345</v>
          </cell>
        </row>
        <row r="3009">
          <cell r="A3009" t="str">
            <v>RAHASIA</v>
          </cell>
          <cell r="B3009" t="str">
            <v>RAHASIA CANTIK ,TK (SALWA)</v>
          </cell>
          <cell r="C3009">
            <v>26261949.272727281</v>
          </cell>
        </row>
        <row r="3010">
          <cell r="A3010" t="str">
            <v>RAHS2</v>
          </cell>
          <cell r="B3010" t="str">
            <v>RAHASIA CANTIK2,TK</v>
          </cell>
          <cell r="C3010">
            <v>20762183.454545457</v>
          </cell>
        </row>
        <row r="3011">
          <cell r="A3011" t="str">
            <v>RBN</v>
          </cell>
          <cell r="B3011" t="str">
            <v>ROBINSON MM,MEMPAWAH</v>
          </cell>
          <cell r="C3011">
            <v>4395786.2727272725</v>
          </cell>
        </row>
        <row r="3012">
          <cell r="A3012" t="str">
            <v>RPT003</v>
          </cell>
          <cell r="B3012" t="str">
            <v>BRASTAGI R PRAPAT</v>
          </cell>
          <cell r="C3012">
            <v>3896689.0909090913</v>
          </cell>
        </row>
        <row r="3013">
          <cell r="A3013" t="str">
            <v>RPT006</v>
          </cell>
          <cell r="B3013" t="str">
            <v>TOKO JAYA BARU</v>
          </cell>
          <cell r="C3013">
            <v>119995774.87409087</v>
          </cell>
        </row>
        <row r="3014">
          <cell r="A3014" t="str">
            <v>RPT015</v>
          </cell>
          <cell r="B3014" t="str">
            <v>MOLY</v>
          </cell>
          <cell r="C3014">
            <v>2014418.1818181816</v>
          </cell>
        </row>
        <row r="3015">
          <cell r="A3015" t="str">
            <v>RPT017</v>
          </cell>
          <cell r="B3015" t="str">
            <v>TOKO EMELLY</v>
          </cell>
          <cell r="C3015">
            <v>2273329.0909090904</v>
          </cell>
        </row>
        <row r="3016">
          <cell r="A3016" t="str">
            <v>RPT021</v>
          </cell>
          <cell r="B3016" t="str">
            <v>EVI DARLIANA HASIBUAN</v>
          </cell>
          <cell r="C3016">
            <v>8298954.5454545459</v>
          </cell>
        </row>
        <row r="3017">
          <cell r="A3017" t="str">
            <v>RPT022</v>
          </cell>
          <cell r="B3017" t="str">
            <v>DEV COSMETICS</v>
          </cell>
          <cell r="C3017">
            <v>-238397.72727272726</v>
          </cell>
        </row>
        <row r="3018">
          <cell r="A3018" t="str">
            <v>RPT026</v>
          </cell>
          <cell r="B3018" t="str">
            <v>MISS GLAM RANTAU PRAPAT</v>
          </cell>
          <cell r="C3018">
            <v>16617808.454545459</v>
          </cell>
        </row>
        <row r="3019">
          <cell r="A3019" t="str">
            <v>RTU</v>
          </cell>
          <cell r="B3019" t="str">
            <v>RATU TOKO,SGU</v>
          </cell>
          <cell r="C3019">
            <v>6970808.454545456</v>
          </cell>
        </row>
        <row r="3020">
          <cell r="A3020" t="str">
            <v>RVON</v>
          </cell>
          <cell r="B3020" t="str">
            <v>RISHA SUKSES SEJAHTERA,CV</v>
          </cell>
          <cell r="C3020">
            <v>16321228.636363637</v>
          </cell>
        </row>
        <row r="3021">
          <cell r="A3021" t="str">
            <v>RYL-M</v>
          </cell>
          <cell r="B3021" t="str">
            <v>ROYAL MART</v>
          </cell>
          <cell r="C3021">
            <v>5194867.5000000019</v>
          </cell>
        </row>
        <row r="3022">
          <cell r="A3022" t="str">
            <v>S004</v>
          </cell>
          <cell r="B3022" t="str">
            <v>SALATA MART</v>
          </cell>
          <cell r="C3022">
            <v>253684.09090909091</v>
          </cell>
        </row>
        <row r="3023">
          <cell r="A3023" t="str">
            <v>S015</v>
          </cell>
          <cell r="B3023" t="str">
            <v>SEJATI SWALAYAN</v>
          </cell>
          <cell r="C3023">
            <v>5808278.8636363652</v>
          </cell>
        </row>
        <row r="3024">
          <cell r="A3024" t="str">
            <v>S017</v>
          </cell>
          <cell r="B3024" t="str">
            <v>SINAR JAYA TOBOH</v>
          </cell>
          <cell r="C3024">
            <v>2242022.4090909096</v>
          </cell>
        </row>
        <row r="3025">
          <cell r="A3025" t="str">
            <v>S020</v>
          </cell>
          <cell r="B3025" t="str">
            <v>SINGGALANG SUTOMO</v>
          </cell>
          <cell r="C3025">
            <v>1007830.2272727271</v>
          </cell>
        </row>
        <row r="3026">
          <cell r="A3026" t="str">
            <v>S025</v>
          </cell>
          <cell r="B3026" t="str">
            <v>SUCI COSMETIC</v>
          </cell>
          <cell r="C3026">
            <v>377263.63636363635</v>
          </cell>
        </row>
        <row r="3027">
          <cell r="A3027" t="str">
            <v>S028</v>
          </cell>
          <cell r="B3027" t="str">
            <v>SINGGALANG GADUT</v>
          </cell>
          <cell r="C3027">
            <v>990670.90909090906</v>
          </cell>
        </row>
        <row r="3028">
          <cell r="A3028" t="str">
            <v>S029</v>
          </cell>
          <cell r="B3028" t="str">
            <v>SUMBER RM</v>
          </cell>
          <cell r="C3028">
            <v>2009098.9090909092</v>
          </cell>
        </row>
        <row r="3029">
          <cell r="A3029" t="str">
            <v>S033</v>
          </cell>
          <cell r="B3029" t="str">
            <v>SABANG MERAUKE MART</v>
          </cell>
          <cell r="C3029">
            <v>491157.27272727276</v>
          </cell>
        </row>
        <row r="3030">
          <cell r="A3030" t="str">
            <v>S034</v>
          </cell>
          <cell r="B3030" t="str">
            <v>SCRAFTA</v>
          </cell>
          <cell r="C3030">
            <v>3949380.9090909096</v>
          </cell>
        </row>
        <row r="3031">
          <cell r="A3031" t="str">
            <v>S042</v>
          </cell>
          <cell r="B3031" t="str">
            <v>SAFITRI</v>
          </cell>
          <cell r="C3031">
            <v>1105339.5</v>
          </cell>
        </row>
        <row r="3032">
          <cell r="A3032" t="str">
            <v>S050</v>
          </cell>
          <cell r="B3032" t="str">
            <v>SWALAYAN 90</v>
          </cell>
          <cell r="C3032">
            <v>1558383.4090909089</v>
          </cell>
        </row>
        <row r="3033">
          <cell r="A3033" t="str">
            <v>S051</v>
          </cell>
          <cell r="B3033" t="str">
            <v>SS MART P.ARO</v>
          </cell>
          <cell r="C3033">
            <v>1516291.7727272725</v>
          </cell>
        </row>
        <row r="3034">
          <cell r="A3034" t="str">
            <v>S058</v>
          </cell>
          <cell r="B3034" t="str">
            <v>SUKA JAYA COSMETIK</v>
          </cell>
          <cell r="C3034">
            <v>1518248.1818181816</v>
          </cell>
        </row>
        <row r="3035">
          <cell r="A3035" t="str">
            <v>S071</v>
          </cell>
          <cell r="B3035" t="str">
            <v>SUSIYANTI</v>
          </cell>
          <cell r="C3035">
            <v>1043800.9090909092</v>
          </cell>
        </row>
        <row r="3036">
          <cell r="A3036" t="str">
            <v>S075</v>
          </cell>
          <cell r="B3036" t="str">
            <v>SINAR JAYA BARU / HASYIM</v>
          </cell>
          <cell r="C3036">
            <v>746232.45454545459</v>
          </cell>
        </row>
        <row r="3037">
          <cell r="A3037" t="str">
            <v>S099</v>
          </cell>
          <cell r="B3037" t="str">
            <v>SEDERHANA / LO SJU BOI</v>
          </cell>
          <cell r="C3037">
            <v>165000</v>
          </cell>
        </row>
        <row r="3038">
          <cell r="A3038" t="str">
            <v>S123</v>
          </cell>
          <cell r="B3038" t="str">
            <v>SUSILOWATI</v>
          </cell>
          <cell r="C3038">
            <v>917449.77272727271</v>
          </cell>
        </row>
        <row r="3039">
          <cell r="A3039" t="str">
            <v>S125</v>
          </cell>
          <cell r="B3039" t="str">
            <v>SOTO CEKER / MARZANI</v>
          </cell>
          <cell r="C3039">
            <v>63000</v>
          </cell>
        </row>
        <row r="3040">
          <cell r="A3040" t="str">
            <v>S243</v>
          </cell>
          <cell r="B3040" t="str">
            <v>SRIJAYA MART / SRI SULASTRI</v>
          </cell>
          <cell r="C3040">
            <v>189000</v>
          </cell>
        </row>
        <row r="3041">
          <cell r="A3041" t="str">
            <v>S249</v>
          </cell>
          <cell r="B3041" t="str">
            <v>SITI MARDIYAH</v>
          </cell>
          <cell r="C3041">
            <v>133950</v>
          </cell>
        </row>
        <row r="3042">
          <cell r="A3042" t="str">
            <v>S250</v>
          </cell>
          <cell r="B3042" t="str">
            <v>SIMPANG 3 MART / REZKI NUR FADILA</v>
          </cell>
          <cell r="C3042">
            <v>1093344.8181818184</v>
          </cell>
        </row>
        <row r="3043">
          <cell r="A3043" t="str">
            <v>S251</v>
          </cell>
          <cell r="B3043" t="str">
            <v>SINAR REZEKI / PHILIP TAN</v>
          </cell>
          <cell r="C3043">
            <v>3620739.1818181826</v>
          </cell>
        </row>
        <row r="3044">
          <cell r="A3044" t="str">
            <v>SABAR</v>
          </cell>
          <cell r="B3044" t="str">
            <v>SS KOSMETIK,PTK</v>
          </cell>
          <cell r="C3044">
            <v>789361.36363636376</v>
          </cell>
        </row>
        <row r="3045">
          <cell r="A3045" t="str">
            <v>SBG005</v>
          </cell>
          <cell r="B3045" t="str">
            <v>BETA MART</v>
          </cell>
          <cell r="C3045">
            <v>-284845.90909090912</v>
          </cell>
        </row>
        <row r="3046">
          <cell r="A3046" t="str">
            <v>SBG014</v>
          </cell>
          <cell r="B3046" t="str">
            <v>TOKO MELODY</v>
          </cell>
          <cell r="C3046">
            <v>1532732.7272727275</v>
          </cell>
        </row>
        <row r="3047">
          <cell r="A3047" t="str">
            <v>SBG015</v>
          </cell>
          <cell r="B3047" t="str">
            <v>AIDO PANDAN</v>
          </cell>
          <cell r="C3047">
            <v>2019305.4545454544</v>
          </cell>
        </row>
        <row r="3048">
          <cell r="A3048" t="str">
            <v>SBG017</v>
          </cell>
          <cell r="B3048" t="str">
            <v>ANGELIA MELY</v>
          </cell>
          <cell r="C3048">
            <v>20490080.454545453</v>
          </cell>
        </row>
        <row r="3049">
          <cell r="A3049" t="str">
            <v>SBJY</v>
          </cell>
          <cell r="B3049" t="str">
            <v>SERBA JAYA ,TK</v>
          </cell>
          <cell r="C3049">
            <v>266400.00000000006</v>
          </cell>
        </row>
        <row r="3050">
          <cell r="A3050" t="str">
            <v>SBR</v>
          </cell>
          <cell r="B3050" t="str">
            <v>SAHABAT BARU, TO</v>
          </cell>
          <cell r="C3050">
            <v>1213200</v>
          </cell>
        </row>
        <row r="3051">
          <cell r="A3051" t="str">
            <v>SBR003</v>
          </cell>
          <cell r="B3051" t="str">
            <v>TOKO SEDERHANA</v>
          </cell>
          <cell r="C3051">
            <v>2146066.3636363633</v>
          </cell>
        </row>
        <row r="3052">
          <cell r="A3052" t="str">
            <v>SBR004</v>
          </cell>
          <cell r="B3052" t="str">
            <v>TOKO MARLINA COS</v>
          </cell>
          <cell r="C3052">
            <v>2567602.8181818188</v>
          </cell>
        </row>
        <row r="3053">
          <cell r="A3053" t="str">
            <v>SDK003</v>
          </cell>
          <cell r="B3053" t="str">
            <v>CRISTAL</v>
          </cell>
          <cell r="C3053">
            <v>4783214.8181818193</v>
          </cell>
        </row>
        <row r="3054">
          <cell r="A3054" t="str">
            <v>SDK005</v>
          </cell>
          <cell r="B3054" t="str">
            <v>GEMILANG</v>
          </cell>
          <cell r="C3054">
            <v>8260973.1818181816</v>
          </cell>
        </row>
        <row r="3055">
          <cell r="A3055" t="str">
            <v>SDK011</v>
          </cell>
          <cell r="B3055" t="str">
            <v>APOTIK NALAMBOK</v>
          </cell>
          <cell r="C3055">
            <v>2566155</v>
          </cell>
        </row>
        <row r="3056">
          <cell r="A3056" t="str">
            <v>SDK012</v>
          </cell>
          <cell r="B3056" t="str">
            <v>RUMAH COSMETICS</v>
          </cell>
          <cell r="C3056">
            <v>5113580.4545454532</v>
          </cell>
        </row>
        <row r="3057">
          <cell r="A3057" t="str">
            <v>SDK013</v>
          </cell>
          <cell r="B3057" t="str">
            <v>ROBIKA MARKET</v>
          </cell>
          <cell r="C3057">
            <v>1089066.7272727271</v>
          </cell>
        </row>
        <row r="3058">
          <cell r="A3058" t="str">
            <v>SEA.</v>
          </cell>
          <cell r="B3058" t="str">
            <v>SEA KOSMETIK,SINTANG</v>
          </cell>
          <cell r="C3058">
            <v>23651015.818181835</v>
          </cell>
        </row>
        <row r="3059">
          <cell r="A3059" t="str">
            <v>SIGM</v>
          </cell>
          <cell r="B3059" t="str">
            <v>SIGMA ,TKO</v>
          </cell>
          <cell r="C3059">
            <v>1867827.0000000005</v>
          </cell>
        </row>
        <row r="3060">
          <cell r="A3060" t="str">
            <v>SKP001</v>
          </cell>
          <cell r="B3060" t="str">
            <v>PURNAMA MARKET</v>
          </cell>
          <cell r="C3060">
            <v>252110.45454545459</v>
          </cell>
        </row>
        <row r="3061">
          <cell r="A3061" t="str">
            <v>SKP002</v>
          </cell>
          <cell r="B3061" t="str">
            <v>UD. RAJA PAS</v>
          </cell>
          <cell r="C3061">
            <v>1061573.4090909089</v>
          </cell>
        </row>
        <row r="3062">
          <cell r="A3062" t="str">
            <v>SMNIS</v>
          </cell>
          <cell r="B3062" t="str">
            <v>SANGAT MANIS,TK</v>
          </cell>
          <cell r="C3062">
            <v>1605722.7272727268</v>
          </cell>
        </row>
        <row r="3063">
          <cell r="A3063" t="str">
            <v>SOFT</v>
          </cell>
          <cell r="B3063" t="str">
            <v>SOFTLENS SHOP22</v>
          </cell>
          <cell r="C3063">
            <v>4936575.8181818174</v>
          </cell>
        </row>
        <row r="3064">
          <cell r="A3064" t="str">
            <v>SONIC</v>
          </cell>
          <cell r="B3064" t="str">
            <v>SONIC CELL,SINTANG TOKO</v>
          </cell>
          <cell r="C3064">
            <v>4746291.8181818193</v>
          </cell>
        </row>
        <row r="3065">
          <cell r="A3065" t="str">
            <v>SOVI</v>
          </cell>
          <cell r="B3065" t="str">
            <v>SOFIA SHOP,TEBAS</v>
          </cell>
          <cell r="C3065">
            <v>29160341.727272745</v>
          </cell>
        </row>
        <row r="3066">
          <cell r="A3066" t="str">
            <v>SPG001</v>
          </cell>
          <cell r="B3066" t="str">
            <v>APOTIK COMBY JAYA FARMA</v>
          </cell>
          <cell r="C3066">
            <v>7841118.1818181835</v>
          </cell>
        </row>
        <row r="3067">
          <cell r="A3067" t="str">
            <v>SPG004</v>
          </cell>
          <cell r="B3067" t="str">
            <v>SEGAR</v>
          </cell>
          <cell r="C3067">
            <v>6529665.5454545468</v>
          </cell>
        </row>
        <row r="3068">
          <cell r="A3068" t="str">
            <v>SRB002</v>
          </cell>
          <cell r="B3068" t="str">
            <v>APOTIK SELAMAT</v>
          </cell>
          <cell r="C3068">
            <v>337389.54545454553</v>
          </cell>
        </row>
        <row r="3069">
          <cell r="A3069" t="str">
            <v>SRB003</v>
          </cell>
          <cell r="B3069" t="str">
            <v>APOTIK SEJAHTERA</v>
          </cell>
          <cell r="C3069">
            <v>1009547.7272727272</v>
          </cell>
        </row>
        <row r="3070">
          <cell r="A3070" t="str">
            <v>SRI-RZKI</v>
          </cell>
          <cell r="B3070" t="str">
            <v>ANUGERAH SRIREZEKI RETAILINDO,CV</v>
          </cell>
          <cell r="C3070">
            <v>3077714.3181818184</v>
          </cell>
        </row>
        <row r="3071">
          <cell r="A3071" t="str">
            <v>STB010</v>
          </cell>
          <cell r="B3071" t="str">
            <v>AISYAH MM</v>
          </cell>
          <cell r="C3071">
            <v>10757907.954545455</v>
          </cell>
        </row>
        <row r="3072">
          <cell r="A3072" t="str">
            <v>T005</v>
          </cell>
          <cell r="B3072" t="str">
            <v>TIKA</v>
          </cell>
          <cell r="C3072">
            <v>949270.36363636341</v>
          </cell>
        </row>
        <row r="3073">
          <cell r="A3073" t="str">
            <v>T007</v>
          </cell>
          <cell r="B3073" t="str">
            <v>TO RESTI</v>
          </cell>
          <cell r="C3073">
            <v>11944253.818181816</v>
          </cell>
        </row>
        <row r="3074">
          <cell r="A3074" t="str">
            <v>T009</v>
          </cell>
          <cell r="B3074" t="str">
            <v>TOKO AISYAH BEAUTY SHOP</v>
          </cell>
          <cell r="C3074">
            <v>2856411.3636363633</v>
          </cell>
        </row>
        <row r="3075">
          <cell r="A3075" t="str">
            <v>T012</v>
          </cell>
          <cell r="B3075" t="str">
            <v>TOKO ARSY</v>
          </cell>
          <cell r="C3075">
            <v>78951999.090909094</v>
          </cell>
        </row>
        <row r="3076">
          <cell r="A3076" t="str">
            <v>T015</v>
          </cell>
          <cell r="B3076" t="str">
            <v>TOKO TITA</v>
          </cell>
          <cell r="C3076">
            <v>315381.27272727276</v>
          </cell>
        </row>
        <row r="3077">
          <cell r="A3077" t="str">
            <v>T018</v>
          </cell>
          <cell r="B3077" t="str">
            <v>TO. SAKINAH / GUSDARINA</v>
          </cell>
          <cell r="C3077">
            <v>123815.45454545456</v>
          </cell>
        </row>
        <row r="3078">
          <cell r="A3078" t="str">
            <v>T021</v>
          </cell>
          <cell r="B3078" t="str">
            <v>TOKO MAS UDIN</v>
          </cell>
          <cell r="C3078">
            <v>4981979.9999999991</v>
          </cell>
        </row>
        <row r="3079">
          <cell r="A3079" t="str">
            <v>T022</v>
          </cell>
          <cell r="B3079" t="str">
            <v>TOKO MADANY</v>
          </cell>
          <cell r="C3079">
            <v>1309016.5909090911</v>
          </cell>
        </row>
        <row r="3080">
          <cell r="A3080" t="str">
            <v>T023</v>
          </cell>
          <cell r="B3080" t="str">
            <v>TOKO SAMUDRA JAYA</v>
          </cell>
          <cell r="C3080">
            <v>1291329.5454545452</v>
          </cell>
        </row>
        <row r="3081">
          <cell r="A3081" t="str">
            <v>T024</v>
          </cell>
          <cell r="B3081" t="str">
            <v>TIARA MART</v>
          </cell>
          <cell r="C3081">
            <v>341325.00000000006</v>
          </cell>
        </row>
        <row r="3082">
          <cell r="A3082" t="str">
            <v>T025</v>
          </cell>
          <cell r="B3082" t="str">
            <v>TOKO BARU II</v>
          </cell>
          <cell r="C3082">
            <v>202442.04545454547</v>
          </cell>
        </row>
        <row r="3083">
          <cell r="A3083" t="str">
            <v>T026</v>
          </cell>
          <cell r="B3083" t="str">
            <v>TOKO KK MART</v>
          </cell>
          <cell r="C3083">
            <v>2585461.4090909092</v>
          </cell>
        </row>
        <row r="3084">
          <cell r="A3084" t="str">
            <v>T030</v>
          </cell>
          <cell r="B3084" t="str">
            <v>TOKO ARA</v>
          </cell>
          <cell r="C3084">
            <v>485725.90909090918</v>
          </cell>
        </row>
        <row r="3085">
          <cell r="A3085" t="str">
            <v>T031</v>
          </cell>
          <cell r="B3085" t="str">
            <v>TOKO SINAR BARU SITEBA</v>
          </cell>
          <cell r="C3085">
            <v>548303.45454545459</v>
          </cell>
        </row>
        <row r="3086">
          <cell r="A3086" t="str">
            <v>T034</v>
          </cell>
          <cell r="B3086" t="str">
            <v>TONI COSMETIC</v>
          </cell>
          <cell r="C3086">
            <v>4544869.2727272715</v>
          </cell>
        </row>
        <row r="3087">
          <cell r="A3087" t="str">
            <v>T039</v>
          </cell>
          <cell r="B3087" t="str">
            <v>TOSERBA MIRA</v>
          </cell>
          <cell r="C3087">
            <v>298684.09090909094</v>
          </cell>
        </row>
        <row r="3088">
          <cell r="A3088" t="str">
            <v>T040</v>
          </cell>
          <cell r="B3088" t="str">
            <v>TOKO GADIH RANCAK</v>
          </cell>
          <cell r="C3088">
            <v>36310416.81818182</v>
          </cell>
        </row>
        <row r="3089">
          <cell r="A3089" t="str">
            <v>T042</v>
          </cell>
          <cell r="B3089" t="str">
            <v>TOKO ASA KOSMETIK</v>
          </cell>
          <cell r="C3089">
            <v>4689258.1818181826</v>
          </cell>
        </row>
        <row r="3090">
          <cell r="A3090" t="str">
            <v>T053</v>
          </cell>
          <cell r="B3090" t="str">
            <v>PENAWAR</v>
          </cell>
          <cell r="C3090">
            <v>37084.090909090912</v>
          </cell>
        </row>
        <row r="3091">
          <cell r="A3091" t="str">
            <v>T098</v>
          </cell>
          <cell r="B3091" t="str">
            <v>TOKO HARI - HARI / A MIANG</v>
          </cell>
          <cell r="C3091">
            <v>2119606.3636363638</v>
          </cell>
        </row>
        <row r="3092">
          <cell r="A3092" t="str">
            <v>T123</v>
          </cell>
          <cell r="B3092" t="str">
            <v>TOKO ISNA / FAJAR</v>
          </cell>
          <cell r="C3092">
            <v>630902.72727272729</v>
          </cell>
        </row>
        <row r="3093">
          <cell r="A3093" t="str">
            <v>T185</v>
          </cell>
          <cell r="B3093" t="str">
            <v>TOKO GABRIEL / SION HEPPI MUTIARA DAMANIK</v>
          </cell>
          <cell r="C3093">
            <v>832077.27272727259</v>
          </cell>
        </row>
        <row r="3094">
          <cell r="A3094" t="str">
            <v>T201</v>
          </cell>
          <cell r="B3094" t="str">
            <v>TITIN / RAWIUL KHATIMAH</v>
          </cell>
          <cell r="C3094">
            <v>3848172.272727272</v>
          </cell>
        </row>
        <row r="3095">
          <cell r="A3095" t="str">
            <v>T204</v>
          </cell>
          <cell r="B3095" t="str">
            <v>TOKO HAPPY / RUDI</v>
          </cell>
          <cell r="C3095">
            <v>586415.45454545447</v>
          </cell>
        </row>
        <row r="3096">
          <cell r="A3096" t="str">
            <v>T288</v>
          </cell>
          <cell r="B3096" t="str">
            <v>TOKO KHAIRAN / TIKA AFRIANTI</v>
          </cell>
          <cell r="C3096">
            <v>21000</v>
          </cell>
        </row>
        <row r="3097">
          <cell r="A3097" t="str">
            <v>T292</v>
          </cell>
          <cell r="B3097" t="str">
            <v>TOKO ANUGERAH / LIM SUI YONG</v>
          </cell>
          <cell r="C3097">
            <v>-16687.840909090912</v>
          </cell>
        </row>
        <row r="3098">
          <cell r="A3098" t="str">
            <v>T315</v>
          </cell>
          <cell r="B3098" t="str">
            <v>TOKO INDO NATUNA / MELI JANAH</v>
          </cell>
          <cell r="C3098">
            <v>1971040.9090909092</v>
          </cell>
        </row>
        <row r="3099">
          <cell r="A3099" t="str">
            <v>TBT001</v>
          </cell>
          <cell r="B3099" t="str">
            <v>IRIAN TEBING</v>
          </cell>
          <cell r="C3099">
            <v>6044238.1818181807</v>
          </cell>
        </row>
        <row r="3100">
          <cell r="A3100" t="str">
            <v>TBT002</v>
          </cell>
          <cell r="B3100" t="str">
            <v>PRIMA SPORT</v>
          </cell>
          <cell r="C3100">
            <v>-186480.00000000003</v>
          </cell>
        </row>
        <row r="3101">
          <cell r="A3101" t="str">
            <v>TBT003</v>
          </cell>
          <cell r="B3101" t="str">
            <v>TOKO NUSANTARA T.TINGGI</v>
          </cell>
          <cell r="C3101">
            <v>55310679.81818182</v>
          </cell>
        </row>
        <row r="3102">
          <cell r="A3102" t="str">
            <v>TITA</v>
          </cell>
          <cell r="B3102" t="str">
            <v>TITAN TOKO ,BODOK</v>
          </cell>
          <cell r="C3102">
            <v>13759889.454545459</v>
          </cell>
        </row>
        <row r="3103">
          <cell r="A3103" t="str">
            <v>TJB003</v>
          </cell>
          <cell r="B3103" t="str">
            <v xml:space="preserve"> ANGEL TANJUNG BALAI</v>
          </cell>
          <cell r="C3103">
            <v>289800</v>
          </cell>
        </row>
        <row r="3104">
          <cell r="A3104" t="str">
            <v>TJB013</v>
          </cell>
          <cell r="B3104" t="str">
            <v>BIDAN SRI RAHAYU</v>
          </cell>
          <cell r="C3104">
            <v>768927.27272727271</v>
          </cell>
        </row>
        <row r="3105">
          <cell r="A3105" t="str">
            <v>TJB014</v>
          </cell>
          <cell r="B3105" t="str">
            <v>BIDAN VERA</v>
          </cell>
          <cell r="C3105">
            <v>451063.63636363641</v>
          </cell>
        </row>
        <row r="3106">
          <cell r="A3106" t="str">
            <v>TJB018</v>
          </cell>
          <cell r="B3106" t="str">
            <v>HANS TANJUNG BALAI</v>
          </cell>
          <cell r="C3106">
            <v>259200.00000000003</v>
          </cell>
        </row>
        <row r="3107">
          <cell r="A3107" t="str">
            <v>TJB020</v>
          </cell>
          <cell r="B3107" t="str">
            <v>MEI LIN MARKET</v>
          </cell>
          <cell r="C3107">
            <v>24543816.81818182</v>
          </cell>
        </row>
        <row r="3108">
          <cell r="A3108" t="str">
            <v>TJB025</v>
          </cell>
          <cell r="B3108" t="str">
            <v>TOKO DELTA</v>
          </cell>
          <cell r="C3108">
            <v>266400.00000000006</v>
          </cell>
        </row>
        <row r="3109">
          <cell r="A3109" t="str">
            <v>TJB027</v>
          </cell>
          <cell r="B3109" t="str">
            <v>TOKO ROBIN</v>
          </cell>
          <cell r="C3109">
            <v>18710967.27272727</v>
          </cell>
        </row>
        <row r="3110">
          <cell r="A3110" t="str">
            <v>TJB030</v>
          </cell>
          <cell r="B3110" t="str">
            <v>TOKO OBAT EKA</v>
          </cell>
          <cell r="C3110">
            <v>317863.63636363635</v>
          </cell>
        </row>
        <row r="3111">
          <cell r="A3111" t="str">
            <v>TJB032</v>
          </cell>
          <cell r="B3111" t="str">
            <v>TOKO OBAT KELUARGA</v>
          </cell>
          <cell r="C3111">
            <v>764269.99999999988</v>
          </cell>
        </row>
        <row r="3112">
          <cell r="A3112" t="str">
            <v>TJB033</v>
          </cell>
          <cell r="B3112" t="str">
            <v>YAKIN FARMA</v>
          </cell>
          <cell r="C3112">
            <v>1387663.6363636362</v>
          </cell>
        </row>
        <row r="3113">
          <cell r="A3113" t="str">
            <v>TJB040</v>
          </cell>
          <cell r="B3113" t="str">
            <v>TOKO OBAT ULI BASA</v>
          </cell>
          <cell r="C3113">
            <v>2407590.0000000005</v>
          </cell>
        </row>
        <row r="3114">
          <cell r="A3114" t="str">
            <v>TJB045</v>
          </cell>
          <cell r="B3114" t="str">
            <v>SARIBU RAJA JAYA</v>
          </cell>
          <cell r="C3114">
            <v>1096953.1818181816</v>
          </cell>
        </row>
        <row r="3115">
          <cell r="A3115" t="str">
            <v>TJB046</v>
          </cell>
          <cell r="B3115" t="str">
            <v>BERKAT JAYA</v>
          </cell>
          <cell r="C3115">
            <v>1216960.9090909094</v>
          </cell>
        </row>
        <row r="3116">
          <cell r="A3116" t="str">
            <v>TJM007</v>
          </cell>
          <cell r="B3116" t="str">
            <v>IRIAN TAMORA</v>
          </cell>
          <cell r="C3116">
            <v>6879282.4090909092</v>
          </cell>
        </row>
        <row r="3117">
          <cell r="A3117" t="str">
            <v>TJM008</v>
          </cell>
          <cell r="B3117" t="str">
            <v>BERKAH SHOP KOSMETIK</v>
          </cell>
          <cell r="C3117">
            <v>914933.63636363635</v>
          </cell>
        </row>
        <row r="3118">
          <cell r="A3118" t="str">
            <v>TJM009</v>
          </cell>
          <cell r="B3118" t="str">
            <v>TREND ABG</v>
          </cell>
          <cell r="C3118">
            <v>915784.77272727271</v>
          </cell>
        </row>
        <row r="3119">
          <cell r="A3119" t="str">
            <v>TJM013</v>
          </cell>
          <cell r="B3119" t="str">
            <v>TOKO GWEEND</v>
          </cell>
          <cell r="C3119">
            <v>276000</v>
          </cell>
        </row>
        <row r="3120">
          <cell r="A3120" t="str">
            <v>TK SNTI</v>
          </cell>
          <cell r="B3120" t="str">
            <v>SANTI ,TOKO</v>
          </cell>
          <cell r="C3120">
            <v>14947494.545454551</v>
          </cell>
        </row>
        <row r="3121">
          <cell r="A3121" t="str">
            <v>TM</v>
          </cell>
          <cell r="B3121" t="str">
            <v>MINIMARKET TM,SUKABANGUN</v>
          </cell>
          <cell r="C3121">
            <v>2890440.5454545459</v>
          </cell>
        </row>
        <row r="3122">
          <cell r="A3122" t="str">
            <v>TOBE</v>
          </cell>
          <cell r="B3122" t="str">
            <v>TOBELY TOKO,SEKADAU</v>
          </cell>
          <cell r="C3122">
            <v>17751193.636363633</v>
          </cell>
        </row>
        <row r="3123">
          <cell r="A3123" t="str">
            <v>TPU001</v>
          </cell>
          <cell r="B3123" t="str">
            <v>CENTRAL TANJUNG</v>
          </cell>
          <cell r="C3123">
            <v>6651507.9545454569</v>
          </cell>
        </row>
        <row r="3124">
          <cell r="A3124" t="str">
            <v>TPU002</v>
          </cell>
          <cell r="B3124" t="str">
            <v>GOLDEN PRIMA</v>
          </cell>
          <cell r="C3124">
            <v>5958385.2272727285</v>
          </cell>
        </row>
        <row r="3125">
          <cell r="A3125" t="str">
            <v>TPU003</v>
          </cell>
          <cell r="B3125" t="str">
            <v>JAYA MANDIRI</v>
          </cell>
          <cell r="C3125">
            <v>736838.18181818188</v>
          </cell>
        </row>
        <row r="3126">
          <cell r="A3126" t="str">
            <v>TRT001</v>
          </cell>
          <cell r="B3126" t="str">
            <v>DORI TARUTUNG</v>
          </cell>
          <cell r="C3126">
            <v>15669963.545454545</v>
          </cell>
        </row>
        <row r="3127">
          <cell r="A3127" t="str">
            <v>U002</v>
          </cell>
          <cell r="B3127" t="str">
            <v>UMMY COS ML</v>
          </cell>
          <cell r="C3127">
            <v>7124567.7272727285</v>
          </cell>
        </row>
        <row r="3128">
          <cell r="A3128" t="str">
            <v>U005</v>
          </cell>
          <cell r="B3128" t="str">
            <v>UTAMA BTS</v>
          </cell>
          <cell r="C3128">
            <v>312287.27272727271</v>
          </cell>
        </row>
        <row r="3129">
          <cell r="A3129" t="str">
            <v>U006</v>
          </cell>
          <cell r="B3129" t="str">
            <v>UNIVERSAL</v>
          </cell>
          <cell r="C3129">
            <v>2726828.6363636372</v>
          </cell>
        </row>
        <row r="3130">
          <cell r="A3130" t="str">
            <v>U012</v>
          </cell>
          <cell r="B3130" t="str">
            <v>URANGBUAKALUANG</v>
          </cell>
          <cell r="C3130">
            <v>20978608.909090914</v>
          </cell>
        </row>
        <row r="3131">
          <cell r="A3131" t="str">
            <v>V002</v>
          </cell>
          <cell r="B3131" t="str">
            <v>VARIA I</v>
          </cell>
          <cell r="C3131">
            <v>36991424.181818195</v>
          </cell>
        </row>
        <row r="3132">
          <cell r="A3132" t="str">
            <v>V003</v>
          </cell>
          <cell r="B3132" t="str">
            <v>VIO SURIAN</v>
          </cell>
          <cell r="C3132">
            <v>1317147</v>
          </cell>
        </row>
        <row r="3133">
          <cell r="A3133" t="str">
            <v>V007</v>
          </cell>
          <cell r="B3133" t="str">
            <v>VENA-VENI MART</v>
          </cell>
          <cell r="C3133">
            <v>451063.63636363629</v>
          </cell>
        </row>
        <row r="3134">
          <cell r="A3134" t="str">
            <v>V008</v>
          </cell>
          <cell r="B3134" t="str">
            <v>VIONEST / LINA</v>
          </cell>
          <cell r="C3134">
            <v>779909.72727272729</v>
          </cell>
        </row>
        <row r="3135">
          <cell r="A3135" t="str">
            <v>V017</v>
          </cell>
          <cell r="B3135" t="str">
            <v>VIDI SHOP / NOPIANTI</v>
          </cell>
          <cell r="C3135">
            <v>63000</v>
          </cell>
        </row>
        <row r="3136">
          <cell r="A3136" t="str">
            <v>W007</v>
          </cell>
          <cell r="B3136" t="str">
            <v>WIFA</v>
          </cell>
          <cell r="C3136">
            <v>1276191.8181818181</v>
          </cell>
        </row>
        <row r="3137">
          <cell r="A3137" t="str">
            <v>W010</v>
          </cell>
          <cell r="B3137" t="str">
            <v>WARZUQNI</v>
          </cell>
          <cell r="C3137">
            <v>10328786.13636364</v>
          </cell>
        </row>
        <row r="3138">
          <cell r="A3138" t="str">
            <v>W020</v>
          </cell>
          <cell r="B3138" t="str">
            <v>WIDYAFIT / ZULPANDRA</v>
          </cell>
          <cell r="C3138">
            <v>126000</v>
          </cell>
        </row>
        <row r="3139">
          <cell r="A3139" t="str">
            <v>W053</v>
          </cell>
          <cell r="B3139" t="str">
            <v>WARUNG SIDODADI / TUMIASIH</v>
          </cell>
          <cell r="C3139">
            <v>79465.909090909088</v>
          </cell>
        </row>
        <row r="3140">
          <cell r="A3140" t="str">
            <v>W068</v>
          </cell>
          <cell r="B3140" t="str">
            <v>WARUNG MIMI / MINARSIH</v>
          </cell>
          <cell r="C3140">
            <v>112000</v>
          </cell>
        </row>
        <row r="3141">
          <cell r="A3141" t="str">
            <v>WAROEN</v>
          </cell>
          <cell r="B3141" t="str">
            <v>WAROENG MART</v>
          </cell>
          <cell r="C3141">
            <v>941481.81818181835</v>
          </cell>
        </row>
        <row r="3142">
          <cell r="A3142" t="str">
            <v>WIN</v>
          </cell>
          <cell r="B3142" t="str">
            <v>WIN MART,TEBAS</v>
          </cell>
          <cell r="C3142">
            <v>907122.27272727294</v>
          </cell>
        </row>
        <row r="3143">
          <cell r="A3143" t="str">
            <v>WIT</v>
          </cell>
          <cell r="B3143" t="str">
            <v>WITNY AGUSTINA</v>
          </cell>
          <cell r="C3143">
            <v>3273485.9090909092</v>
          </cell>
        </row>
        <row r="3144">
          <cell r="A3144" t="str">
            <v>WJY1</v>
          </cell>
          <cell r="B3144" t="str">
            <v>WIJAYA MART,SAMBAS</v>
          </cell>
          <cell r="C3144">
            <v>4255134.5454545449</v>
          </cell>
        </row>
        <row r="3145">
          <cell r="A3145" t="str">
            <v>Y005</v>
          </cell>
          <cell r="B3145" t="str">
            <v>YEN MART</v>
          </cell>
          <cell r="C3145">
            <v>273800</v>
          </cell>
        </row>
        <row r="3146">
          <cell r="A3146" t="str">
            <v>Z009</v>
          </cell>
          <cell r="B3146" t="str">
            <v>ZIA COSMETIK</v>
          </cell>
          <cell r="C3146">
            <v>3910862.7272727271</v>
          </cell>
        </row>
        <row r="3147">
          <cell r="A3147" t="str">
            <v>Z015</v>
          </cell>
          <cell r="B3147" t="str">
            <v>ZAIDY FRASTYA</v>
          </cell>
          <cell r="C3147">
            <v>842571.81818181812</v>
          </cell>
        </row>
        <row r="3148">
          <cell r="A3148" t="str">
            <v>Z016</v>
          </cell>
          <cell r="B3148" t="str">
            <v>ZASKIA</v>
          </cell>
          <cell r="C3148">
            <v>880929.09090909094</v>
          </cell>
        </row>
        <row r="3149">
          <cell r="A3149" t="str">
            <v>Grand Total</v>
          </cell>
          <cell r="C3149">
            <v>28363246398.045456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Sheet1"/>
      <sheetName val="Sheet2"/>
      <sheetName val="Sheet3"/>
      <sheetName val="Sheet4"/>
      <sheetName val="DATA"/>
    </sheetNames>
    <sheetDataSet>
      <sheetData sheetId="0">
        <row r="1">
          <cell r="A1" t="str">
            <v>REGION</v>
          </cell>
          <cell r="B1" t="str">
            <v>(Multiple Items)</v>
          </cell>
        </row>
        <row r="2">
          <cell r="A2" t="str">
            <v>GROUP</v>
          </cell>
          <cell r="B2" t="str">
            <v>(Multiple Items)</v>
          </cell>
        </row>
        <row r="4">
          <cell r="A4" t="str">
            <v>Sum of HET STM</v>
          </cell>
          <cell r="C4" t="str">
            <v>BULAN</v>
          </cell>
        </row>
        <row r="5">
          <cell r="A5" t="str">
            <v>KODE CUST</v>
          </cell>
          <cell r="B5" t="str">
            <v>CUSTOMER</v>
          </cell>
          <cell r="C5" t="str">
            <v>11. NOV</v>
          </cell>
          <cell r="D5" t="str">
            <v>12. DEC</v>
          </cell>
        </row>
        <row r="6">
          <cell r="A6">
            <v>1</v>
          </cell>
          <cell r="B6" t="str">
            <v>KING MART</v>
          </cell>
          <cell r="C6">
            <v>156430.90909090912</v>
          </cell>
          <cell r="D6">
            <v>918093.18181818153</v>
          </cell>
        </row>
        <row r="7">
          <cell r="A7">
            <v>4</v>
          </cell>
          <cell r="B7" t="str">
            <v>LOTUS MAKMUR MANDIRI</v>
          </cell>
          <cell r="C7">
            <v>420013.63636363635</v>
          </cell>
          <cell r="D7">
            <v>604381.36363636365</v>
          </cell>
        </row>
        <row r="8">
          <cell r="A8">
            <v>6</v>
          </cell>
          <cell r="B8" t="str">
            <v>VY ACC</v>
          </cell>
          <cell r="C8">
            <v>5408280.6818181816</v>
          </cell>
          <cell r="D8">
            <v>1037611.3636363635</v>
          </cell>
        </row>
        <row r="9">
          <cell r="A9">
            <v>7</v>
          </cell>
          <cell r="B9" t="str">
            <v>VIE COLLECTION</v>
          </cell>
          <cell r="C9">
            <v>5838108.4090909082</v>
          </cell>
          <cell r="D9">
            <v>3889955.9090909096</v>
          </cell>
        </row>
        <row r="10">
          <cell r="A10">
            <v>9</v>
          </cell>
          <cell r="B10" t="str">
            <v>LK MART</v>
          </cell>
          <cell r="C10">
            <v>1249973.8636363635</v>
          </cell>
        </row>
        <row r="11">
          <cell r="A11">
            <v>10</v>
          </cell>
          <cell r="B11" t="str">
            <v>THINK MART</v>
          </cell>
          <cell r="C11">
            <v>470481.13636363635</v>
          </cell>
          <cell r="D11">
            <v>392561.59090909088</v>
          </cell>
        </row>
        <row r="12">
          <cell r="A12">
            <v>12</v>
          </cell>
          <cell r="B12" t="str">
            <v>NELLY COSMETIC</v>
          </cell>
          <cell r="C12">
            <v>5586125.0000000009</v>
          </cell>
          <cell r="D12">
            <v>2184252.9545454546</v>
          </cell>
        </row>
        <row r="13">
          <cell r="A13">
            <v>16</v>
          </cell>
          <cell r="B13" t="str">
            <v>MIDI MART</v>
          </cell>
          <cell r="C13">
            <v>178911.81818181818</v>
          </cell>
          <cell r="D13">
            <v>3145630.0000000005</v>
          </cell>
        </row>
        <row r="14">
          <cell r="A14">
            <v>17</v>
          </cell>
          <cell r="B14" t="str">
            <v>SUNDARI KOSMETIC</v>
          </cell>
          <cell r="C14">
            <v>5935963.6363636376</v>
          </cell>
          <cell r="D14">
            <v>3346762.4999999995</v>
          </cell>
        </row>
        <row r="15">
          <cell r="A15">
            <v>21</v>
          </cell>
          <cell r="B15" t="str">
            <v>CV. BELITUNG MUDA</v>
          </cell>
          <cell r="C15">
            <v>214929.54545454544</v>
          </cell>
          <cell r="D15">
            <v>84000</v>
          </cell>
        </row>
        <row r="16">
          <cell r="A16">
            <v>23</v>
          </cell>
          <cell r="B16" t="str">
            <v>LIBRA</v>
          </cell>
          <cell r="C16">
            <v>7364620.9090909082</v>
          </cell>
          <cell r="D16">
            <v>4758480</v>
          </cell>
        </row>
        <row r="17">
          <cell r="A17">
            <v>28</v>
          </cell>
          <cell r="B17" t="str">
            <v xml:space="preserve">RITA </v>
          </cell>
          <cell r="C17">
            <v>333000</v>
          </cell>
          <cell r="D17">
            <v>583363.63636363635</v>
          </cell>
        </row>
        <row r="18">
          <cell r="A18">
            <v>29</v>
          </cell>
          <cell r="B18" t="str">
            <v>PELANGI MART</v>
          </cell>
          <cell r="C18">
            <v>8733126.409090912</v>
          </cell>
          <cell r="D18">
            <v>651306.36363636365</v>
          </cell>
        </row>
        <row r="19">
          <cell r="A19">
            <v>31</v>
          </cell>
          <cell r="B19" t="str">
            <v>TOKO WARNA</v>
          </cell>
          <cell r="C19">
            <v>614904.54545454553</v>
          </cell>
          <cell r="D19">
            <v>226800</v>
          </cell>
        </row>
        <row r="20">
          <cell r="A20">
            <v>33</v>
          </cell>
          <cell r="B20" t="str">
            <v xml:space="preserve">CV. ASOKA </v>
          </cell>
          <cell r="C20">
            <v>1690690.9090909094</v>
          </cell>
          <cell r="D20">
            <v>1463890.9090909087</v>
          </cell>
        </row>
        <row r="21">
          <cell r="A21">
            <v>39</v>
          </cell>
          <cell r="B21" t="str">
            <v>CV. ASOKA LARIS JAYA</v>
          </cell>
          <cell r="C21">
            <v>113400</v>
          </cell>
          <cell r="D21">
            <v>700258.63636363624</v>
          </cell>
        </row>
        <row r="22">
          <cell r="A22">
            <v>41</v>
          </cell>
          <cell r="B22" t="str">
            <v>TOKO SIMPANG BARO</v>
          </cell>
          <cell r="C22">
            <v>118568.18181818182</v>
          </cell>
          <cell r="D22">
            <v>7810523.363636368</v>
          </cell>
        </row>
        <row r="23">
          <cell r="A23">
            <v>44</v>
          </cell>
          <cell r="B23" t="str">
            <v>878 MART</v>
          </cell>
          <cell r="C23">
            <v>131397.95454545453</v>
          </cell>
          <cell r="D23">
            <v>56700</v>
          </cell>
        </row>
        <row r="24">
          <cell r="A24">
            <v>45</v>
          </cell>
          <cell r="B24" t="str">
            <v>ARFA MART</v>
          </cell>
          <cell r="C24">
            <v>776256.13636363624</v>
          </cell>
          <cell r="D24">
            <v>598481.59090909082</v>
          </cell>
        </row>
        <row r="25">
          <cell r="A25">
            <v>48</v>
          </cell>
          <cell r="B25" t="str">
            <v>CV. FAMILY SELARAS LESTARI</v>
          </cell>
          <cell r="C25">
            <v>521897.72727272729</v>
          </cell>
          <cell r="D25">
            <v>431263.63636363635</v>
          </cell>
        </row>
        <row r="26">
          <cell r="A26">
            <v>50</v>
          </cell>
          <cell r="B26" t="str">
            <v>CITRA MART</v>
          </cell>
          <cell r="C26">
            <v>585008.18181818188</v>
          </cell>
          <cell r="D26">
            <v>465463.63636363641</v>
          </cell>
        </row>
        <row r="27">
          <cell r="A27">
            <v>51</v>
          </cell>
          <cell r="B27" t="str">
            <v>RAMOS</v>
          </cell>
          <cell r="C27">
            <v>631917.95454545447</v>
          </cell>
          <cell r="D27">
            <v>157036.36363636365</v>
          </cell>
        </row>
        <row r="28">
          <cell r="A28">
            <v>52</v>
          </cell>
          <cell r="B28" t="str">
            <v>LIBRA 2</v>
          </cell>
          <cell r="C28">
            <v>6541785.4090909073</v>
          </cell>
          <cell r="D28">
            <v>7976515.2272727285</v>
          </cell>
        </row>
        <row r="29">
          <cell r="A29">
            <v>58</v>
          </cell>
          <cell r="B29" t="str">
            <v>AT SHOP</v>
          </cell>
          <cell r="C29">
            <v>23690371.363636371</v>
          </cell>
          <cell r="D29">
            <v>30830963.636363644</v>
          </cell>
        </row>
        <row r="30">
          <cell r="A30">
            <v>62</v>
          </cell>
          <cell r="B30" t="str">
            <v>TOKO ASIONG</v>
          </cell>
          <cell r="C30">
            <v>1035327.2727272727</v>
          </cell>
          <cell r="D30">
            <v>193896.81818181818</v>
          </cell>
        </row>
        <row r="31">
          <cell r="A31">
            <v>70</v>
          </cell>
          <cell r="B31" t="str">
            <v>SHEA BEAUTY</v>
          </cell>
          <cell r="C31">
            <v>15123483.63636364</v>
          </cell>
          <cell r="D31">
            <v>17402885.500000007</v>
          </cell>
        </row>
        <row r="32">
          <cell r="A32">
            <v>73</v>
          </cell>
          <cell r="B32" t="str">
            <v>CV. DUTA HARMONY</v>
          </cell>
          <cell r="C32">
            <v>2035315.9090909089</v>
          </cell>
          <cell r="D32">
            <v>0</v>
          </cell>
        </row>
        <row r="33">
          <cell r="A33">
            <v>78</v>
          </cell>
          <cell r="B33" t="str">
            <v>CV. BABEL MART</v>
          </cell>
          <cell r="C33">
            <v>2935871.5909090913</v>
          </cell>
        </row>
        <row r="34">
          <cell r="A34">
            <v>83</v>
          </cell>
          <cell r="B34" t="str">
            <v>BLESS PINK</v>
          </cell>
          <cell r="C34">
            <v>1281771.5909090908</v>
          </cell>
          <cell r="D34">
            <v>364130.45454545459</v>
          </cell>
        </row>
        <row r="35">
          <cell r="A35">
            <v>85</v>
          </cell>
          <cell r="B35" t="str">
            <v>ANA</v>
          </cell>
          <cell r="C35">
            <v>52977.272727272728</v>
          </cell>
        </row>
        <row r="36">
          <cell r="A36">
            <v>88</v>
          </cell>
          <cell r="B36" t="str">
            <v>TIMUR JAYA</v>
          </cell>
          <cell r="C36">
            <v>510885</v>
          </cell>
          <cell r="D36">
            <v>355131.81818181823</v>
          </cell>
        </row>
        <row r="37">
          <cell r="A37">
            <v>91</v>
          </cell>
          <cell r="B37" t="str">
            <v>MUSTIKA NAGA</v>
          </cell>
          <cell r="C37">
            <v>4606575.6818181816</v>
          </cell>
          <cell r="D37">
            <v>2440344.5454545454</v>
          </cell>
        </row>
        <row r="38">
          <cell r="A38">
            <v>95</v>
          </cell>
          <cell r="B38" t="str">
            <v>TOKO NATALIA</v>
          </cell>
          <cell r="C38">
            <v>16794660.000000007</v>
          </cell>
          <cell r="D38">
            <v>1422972.2727272727</v>
          </cell>
        </row>
        <row r="39">
          <cell r="A39">
            <v>97</v>
          </cell>
          <cell r="B39" t="str">
            <v>ELI</v>
          </cell>
          <cell r="C39">
            <v>3798515.4545454546</v>
          </cell>
          <cell r="D39">
            <v>1482218.1818181821</v>
          </cell>
        </row>
        <row r="40">
          <cell r="A40">
            <v>99</v>
          </cell>
          <cell r="B40" t="str">
            <v>TOKO SARAH</v>
          </cell>
          <cell r="C40">
            <v>37084.090909090912</v>
          </cell>
          <cell r="D40">
            <v>1066962.2727272727</v>
          </cell>
        </row>
        <row r="41">
          <cell r="A41">
            <v>100</v>
          </cell>
          <cell r="B41" t="str">
            <v>BEAUTY LIE</v>
          </cell>
          <cell r="C41">
            <v>9728592.5</v>
          </cell>
          <cell r="D41">
            <v>2222855.9090909092</v>
          </cell>
        </row>
        <row r="42">
          <cell r="A42">
            <v>102</v>
          </cell>
          <cell r="B42" t="str">
            <v>LBC. FARMA LIFE</v>
          </cell>
          <cell r="C42">
            <v>9876531.5454545487</v>
          </cell>
          <cell r="D42">
            <v>337909.09090909088</v>
          </cell>
        </row>
        <row r="43">
          <cell r="A43">
            <v>103</v>
          </cell>
          <cell r="B43" t="str">
            <v>YOSSI CELL</v>
          </cell>
          <cell r="C43">
            <v>335443.18181818182</v>
          </cell>
          <cell r="D43">
            <v>58855697.454545476</v>
          </cell>
        </row>
        <row r="44">
          <cell r="A44">
            <v>104</v>
          </cell>
          <cell r="B44" t="str">
            <v>YULI</v>
          </cell>
          <cell r="C44">
            <v>216443.18181818182</v>
          </cell>
          <cell r="D44">
            <v>88800.000000000015</v>
          </cell>
        </row>
        <row r="45">
          <cell r="A45">
            <v>109</v>
          </cell>
          <cell r="B45" t="str">
            <v>SI MART</v>
          </cell>
          <cell r="C45">
            <v>342931.59090909088</v>
          </cell>
          <cell r="D45">
            <v>703309.09090909082</v>
          </cell>
        </row>
        <row r="46">
          <cell r="A46">
            <v>123</v>
          </cell>
          <cell r="B46" t="str">
            <v>PUMA</v>
          </cell>
          <cell r="C46">
            <v>384463.63636363635</v>
          </cell>
          <cell r="D46">
            <v>2860772.7272727271</v>
          </cell>
        </row>
        <row r="47">
          <cell r="A47">
            <v>124</v>
          </cell>
          <cell r="B47" t="str">
            <v>PT BABEL MART BERSAUDARA MAJU</v>
          </cell>
          <cell r="C47">
            <v>363295.22727272724</v>
          </cell>
          <cell r="D47">
            <v>337909.09090909088</v>
          </cell>
        </row>
        <row r="48">
          <cell r="A48">
            <v>125</v>
          </cell>
          <cell r="B48" t="str">
            <v>SHEA BEAUTY</v>
          </cell>
          <cell r="C48">
            <v>14021043.181818185</v>
          </cell>
          <cell r="D48">
            <v>111914937.81818183</v>
          </cell>
        </row>
        <row r="49">
          <cell r="A49">
            <v>128</v>
          </cell>
          <cell r="B49" t="str">
            <v>INDAH MART</v>
          </cell>
          <cell r="C49">
            <v>75600</v>
          </cell>
          <cell r="D49">
            <v>282354.54545454541</v>
          </cell>
        </row>
        <row r="50">
          <cell r="A50">
            <v>138</v>
          </cell>
          <cell r="B50" t="str">
            <v>WIDYA</v>
          </cell>
          <cell r="C50">
            <v>32422090.90909091</v>
          </cell>
          <cell r="D50">
            <v>126643.63636363637</v>
          </cell>
        </row>
        <row r="51">
          <cell r="A51">
            <v>142</v>
          </cell>
          <cell r="B51" t="str">
            <v>DEWI</v>
          </cell>
          <cell r="C51">
            <v>176497.72727272729</v>
          </cell>
          <cell r="D51">
            <v>196525</v>
          </cell>
        </row>
        <row r="52">
          <cell r="A52">
            <v>149</v>
          </cell>
          <cell r="B52" t="str">
            <v>S &amp; F FROZEN</v>
          </cell>
          <cell r="C52">
            <v>3231801.8181818174</v>
          </cell>
          <cell r="D52">
            <v>1438748.1818181814</v>
          </cell>
        </row>
        <row r="53">
          <cell r="A53">
            <v>152</v>
          </cell>
          <cell r="B53" t="str">
            <v>TIARA</v>
          </cell>
          <cell r="C53">
            <v>338100</v>
          </cell>
          <cell r="D53">
            <v>8161229.5909090918</v>
          </cell>
        </row>
        <row r="54">
          <cell r="A54">
            <v>166</v>
          </cell>
          <cell r="B54" t="str">
            <v xml:space="preserve">CV. LBC SUMBER MEDIS </v>
          </cell>
          <cell r="C54">
            <v>335040.68181818182</v>
          </cell>
          <cell r="D54">
            <v>324235.22727272724</v>
          </cell>
        </row>
        <row r="55">
          <cell r="A55">
            <v>196</v>
          </cell>
          <cell r="B55" t="str">
            <v>VIO</v>
          </cell>
          <cell r="C55">
            <v>9103671.8181818165</v>
          </cell>
          <cell r="D55">
            <v>32694.54545454546</v>
          </cell>
        </row>
        <row r="56">
          <cell r="A56">
            <v>198</v>
          </cell>
          <cell r="B56" t="str">
            <v xml:space="preserve">SATRIO PRABOWO </v>
          </cell>
          <cell r="C56">
            <v>35318.181818181816</v>
          </cell>
          <cell r="D56">
            <v>28802099.181818187</v>
          </cell>
        </row>
        <row r="57">
          <cell r="A57">
            <v>216</v>
          </cell>
          <cell r="B57" t="str">
            <v>SKA COLLECTION</v>
          </cell>
          <cell r="C57">
            <v>518400.00000000006</v>
          </cell>
          <cell r="D57">
            <v>266400.00000000006</v>
          </cell>
        </row>
        <row r="58">
          <cell r="A58">
            <v>219</v>
          </cell>
          <cell r="B58" t="str">
            <v>JUMA</v>
          </cell>
          <cell r="C58">
            <v>230408.18181818179</v>
          </cell>
        </row>
        <row r="59">
          <cell r="A59">
            <v>221</v>
          </cell>
          <cell r="B59" t="str">
            <v>NIKO</v>
          </cell>
          <cell r="C59">
            <v>251178.40909090912</v>
          </cell>
          <cell r="D59">
            <v>247731.81818181821</v>
          </cell>
        </row>
        <row r="60">
          <cell r="A60">
            <v>222</v>
          </cell>
          <cell r="B60" t="str">
            <v>OLEK</v>
          </cell>
          <cell r="C60">
            <v>157036.36363636365</v>
          </cell>
          <cell r="D60">
            <v>158931.81818181818</v>
          </cell>
        </row>
        <row r="61">
          <cell r="A61">
            <v>234</v>
          </cell>
          <cell r="B61" t="str">
            <v>DETA</v>
          </cell>
          <cell r="C61">
            <v>22200.000000000004</v>
          </cell>
          <cell r="D61">
            <v>22200.000000000004</v>
          </cell>
        </row>
        <row r="62">
          <cell r="A62">
            <v>241</v>
          </cell>
          <cell r="B62" t="str">
            <v>HAMADI</v>
          </cell>
          <cell r="C62">
            <v>336636.36363636365</v>
          </cell>
          <cell r="D62">
            <v>432163.63636363635</v>
          </cell>
        </row>
        <row r="63">
          <cell r="A63">
            <v>242</v>
          </cell>
          <cell r="B63" t="str">
            <v>JUMA 2</v>
          </cell>
          <cell r="C63">
            <v>539034.54545454541</v>
          </cell>
        </row>
        <row r="64">
          <cell r="A64">
            <v>253</v>
          </cell>
          <cell r="B64" t="str">
            <v>CINDY</v>
          </cell>
          <cell r="C64">
            <v>59785110.510909095</v>
          </cell>
          <cell r="D64">
            <v>70098646.227272749</v>
          </cell>
        </row>
        <row r="65">
          <cell r="A65">
            <v>255</v>
          </cell>
          <cell r="B65" t="str">
            <v>TIARA 2</v>
          </cell>
          <cell r="C65">
            <v>336000</v>
          </cell>
          <cell r="D65">
            <v>188325.00000000003</v>
          </cell>
        </row>
        <row r="66">
          <cell r="A66">
            <v>269</v>
          </cell>
          <cell r="B66" t="str">
            <v>ALIYAH MART</v>
          </cell>
          <cell r="C66">
            <v>266900.00000000006</v>
          </cell>
          <cell r="D66">
            <v>458742.04545454547</v>
          </cell>
        </row>
        <row r="67">
          <cell r="A67">
            <v>270</v>
          </cell>
          <cell r="B67" t="str">
            <v>MUTIARA</v>
          </cell>
          <cell r="C67">
            <v>84000</v>
          </cell>
          <cell r="D67">
            <v>534010.90909090906</v>
          </cell>
        </row>
        <row r="68">
          <cell r="A68">
            <v>278</v>
          </cell>
          <cell r="B68" t="str">
            <v>CECE</v>
          </cell>
          <cell r="C68">
            <v>124198.63636363637</v>
          </cell>
          <cell r="D68">
            <v>719529.54545454541</v>
          </cell>
        </row>
        <row r="69">
          <cell r="A69">
            <v>280</v>
          </cell>
          <cell r="B69" t="str">
            <v>NATALIA 2</v>
          </cell>
          <cell r="C69">
            <v>1500000</v>
          </cell>
          <cell r="D69">
            <v>3356518.6363636367</v>
          </cell>
        </row>
        <row r="70">
          <cell r="A70">
            <v>6233</v>
          </cell>
          <cell r="B70" t="str">
            <v>CITRA BERINGIN 2</v>
          </cell>
          <cell r="C70">
            <v>1120852.0909090908</v>
          </cell>
          <cell r="D70">
            <v>6199731.0909090908</v>
          </cell>
        </row>
        <row r="71">
          <cell r="A71">
            <v>6266</v>
          </cell>
          <cell r="B71" t="str">
            <v>ABADI JAYA (AHIUNG)</v>
          </cell>
          <cell r="C71">
            <v>9755745.6818181835</v>
          </cell>
          <cell r="D71">
            <v>427363.63636363635</v>
          </cell>
        </row>
        <row r="72">
          <cell r="A72">
            <v>6317</v>
          </cell>
          <cell r="B72" t="str">
            <v>TOP MARKET,PINOH</v>
          </cell>
          <cell r="C72">
            <v>1772175.6818181816</v>
          </cell>
          <cell r="D72">
            <v>13230924.454545461</v>
          </cell>
        </row>
        <row r="73">
          <cell r="A73">
            <v>6341</v>
          </cell>
          <cell r="B73" t="str">
            <v>LAPAK MURAH NATUNA/DAILY</v>
          </cell>
          <cell r="C73">
            <v>4865930.1818181826</v>
          </cell>
          <cell r="D73">
            <v>5930364.1363636367</v>
          </cell>
        </row>
        <row r="74">
          <cell r="A74">
            <v>6356</v>
          </cell>
          <cell r="B74" t="str">
            <v>INTAN MART,SANGGAU</v>
          </cell>
          <cell r="C74">
            <v>1153335.6818181819</v>
          </cell>
          <cell r="D74">
            <v>13324966.045454547</v>
          </cell>
        </row>
        <row r="75">
          <cell r="A75">
            <v>10059</v>
          </cell>
          <cell r="B75" t="str">
            <v>AWO KOSMETIK</v>
          </cell>
          <cell r="C75">
            <v>22323957.545454551</v>
          </cell>
          <cell r="D75">
            <v>5828091.2727272715</v>
          </cell>
        </row>
        <row r="76">
          <cell r="A76">
            <v>10068</v>
          </cell>
          <cell r="B76" t="str">
            <v>ADEL ACC</v>
          </cell>
          <cell r="C76">
            <v>9686364.5454545449</v>
          </cell>
        </row>
        <row r="77">
          <cell r="A77">
            <v>11501</v>
          </cell>
          <cell r="B77" t="str">
            <v>FARHAN ACC</v>
          </cell>
          <cell r="C77">
            <v>4619542.4999999991</v>
          </cell>
        </row>
        <row r="78">
          <cell r="A78">
            <v>12105</v>
          </cell>
          <cell r="B78" t="str">
            <v>HAU SIAK</v>
          </cell>
          <cell r="C78">
            <v>793800</v>
          </cell>
          <cell r="D78">
            <v>4504127.7272727275</v>
          </cell>
        </row>
        <row r="79">
          <cell r="A79">
            <v>13606</v>
          </cell>
          <cell r="B79" t="str">
            <v>METRO / NURJANAH</v>
          </cell>
          <cell r="C79">
            <v>799200.00000000023</v>
          </cell>
          <cell r="D79">
            <v>1939038.1818181816</v>
          </cell>
        </row>
        <row r="80">
          <cell r="A80">
            <v>14503</v>
          </cell>
          <cell r="B80" t="str">
            <v>PRIMA JAYA</v>
          </cell>
          <cell r="C80">
            <v>8896377.2727272715</v>
          </cell>
        </row>
        <row r="81">
          <cell r="A81">
            <v>15111</v>
          </cell>
          <cell r="B81" t="str">
            <v>RUDI RENO ACC</v>
          </cell>
          <cell r="C81">
            <v>2592556.3636363638</v>
          </cell>
          <cell r="D81">
            <v>13675979.454545453</v>
          </cell>
        </row>
        <row r="82">
          <cell r="A82">
            <v>15112</v>
          </cell>
          <cell r="B82" t="str">
            <v>RONI ACC</v>
          </cell>
          <cell r="C82">
            <v>7951283.1818181779</v>
          </cell>
        </row>
        <row r="83">
          <cell r="A83">
            <v>15411</v>
          </cell>
          <cell r="B83" t="str">
            <v>SAHABAT - MANDIRI</v>
          </cell>
          <cell r="C83">
            <v>5328000</v>
          </cell>
          <cell r="D83">
            <v>2603454.5454545459</v>
          </cell>
        </row>
        <row r="84">
          <cell r="A84">
            <v>21205</v>
          </cell>
          <cell r="B84" t="str">
            <v>EVORA KOSMETIK</v>
          </cell>
          <cell r="C84">
            <v>1213633.6363636365</v>
          </cell>
        </row>
        <row r="85">
          <cell r="A85">
            <v>25705</v>
          </cell>
          <cell r="B85" t="str">
            <v>TARGET KOSMETIK III</v>
          </cell>
          <cell r="C85">
            <v>4902531.9545454551</v>
          </cell>
          <cell r="D85">
            <v>3237430</v>
          </cell>
        </row>
        <row r="86">
          <cell r="A86">
            <v>26605</v>
          </cell>
          <cell r="B86" t="str">
            <v>WABISABI</v>
          </cell>
          <cell r="C86">
            <v>144039364.31818187</v>
          </cell>
        </row>
        <row r="87">
          <cell r="A87">
            <v>30006</v>
          </cell>
          <cell r="B87" t="str">
            <v>AMRIL</v>
          </cell>
          <cell r="C87">
            <v>384463.63636363629</v>
          </cell>
        </row>
        <row r="88">
          <cell r="A88">
            <v>30011</v>
          </cell>
          <cell r="B88" t="str">
            <v>ADITYA</v>
          </cell>
          <cell r="C88">
            <v>4010000.3636363638</v>
          </cell>
        </row>
        <row r="89">
          <cell r="A89">
            <v>30179</v>
          </cell>
          <cell r="B89" t="str">
            <v>ADEMO STORE</v>
          </cell>
          <cell r="C89">
            <v>14629861.09090909</v>
          </cell>
        </row>
        <row r="90">
          <cell r="A90">
            <v>30182</v>
          </cell>
          <cell r="B90" t="str">
            <v>ALIU</v>
          </cell>
          <cell r="C90">
            <v>19439469.818181813</v>
          </cell>
        </row>
        <row r="91">
          <cell r="A91">
            <v>30361</v>
          </cell>
          <cell r="B91" t="str">
            <v>BELVA</v>
          </cell>
          <cell r="C91">
            <v>248895</v>
          </cell>
        </row>
        <row r="92">
          <cell r="A92">
            <v>30645</v>
          </cell>
          <cell r="B92" t="str">
            <v>CASANDRA KOSMETIK</v>
          </cell>
          <cell r="C92">
            <v>584073837.8181814</v>
          </cell>
        </row>
        <row r="93">
          <cell r="A93">
            <v>31502</v>
          </cell>
          <cell r="B93" t="str">
            <v>FINA</v>
          </cell>
          <cell r="C93">
            <v>468167.72727272724</v>
          </cell>
          <cell r="D93">
            <v>1016566.3636363635</v>
          </cell>
        </row>
        <row r="94">
          <cell r="A94">
            <v>32705</v>
          </cell>
          <cell r="B94" t="str">
            <v>JM PUTRA SEJAHTERA PT /KT</v>
          </cell>
          <cell r="C94">
            <v>233100.00000000006</v>
          </cell>
          <cell r="D94">
            <v>541052.72727272729</v>
          </cell>
        </row>
        <row r="95">
          <cell r="A95">
            <v>200225</v>
          </cell>
          <cell r="B95" t="str">
            <v>JM PUTRA SEJAHTERA PT -KT</v>
          </cell>
          <cell r="C95">
            <v>111252.27272727275</v>
          </cell>
        </row>
        <row r="96">
          <cell r="A96">
            <v>32722</v>
          </cell>
          <cell r="B96" t="str">
            <v>JORIN KOSMETIK</v>
          </cell>
          <cell r="C96">
            <v>1642012.7272727268</v>
          </cell>
          <cell r="D96">
            <v>425013.90909090906</v>
          </cell>
        </row>
        <row r="97">
          <cell r="A97">
            <v>32725</v>
          </cell>
          <cell r="B97" t="str">
            <v>JM SAKO</v>
          </cell>
          <cell r="C97">
            <v>765900</v>
          </cell>
        </row>
        <row r="98">
          <cell r="A98">
            <v>33603</v>
          </cell>
          <cell r="B98" t="str">
            <v>MARIBETH</v>
          </cell>
          <cell r="C98">
            <v>853143.63636363624</v>
          </cell>
          <cell r="D98">
            <v>114430.9090909091</v>
          </cell>
        </row>
        <row r="99">
          <cell r="A99">
            <v>33691</v>
          </cell>
          <cell r="B99" t="str">
            <v>MBAK SUM</v>
          </cell>
          <cell r="C99">
            <v>317863.63636363635</v>
          </cell>
        </row>
        <row r="100">
          <cell r="A100">
            <v>34201</v>
          </cell>
          <cell r="B100" t="str">
            <v>OWN KOSMETIK</v>
          </cell>
          <cell r="C100">
            <v>955104.5454545453</v>
          </cell>
          <cell r="D100">
            <v>6033996.8181818174</v>
          </cell>
        </row>
        <row r="101">
          <cell r="A101">
            <v>34203</v>
          </cell>
          <cell r="B101" t="str">
            <v>OKTA</v>
          </cell>
          <cell r="C101">
            <v>1629691.3636363635</v>
          </cell>
          <cell r="D101">
            <v>6966240.1363636376</v>
          </cell>
        </row>
        <row r="102">
          <cell r="A102">
            <v>34206</v>
          </cell>
          <cell r="B102" t="str">
            <v>OKE MART</v>
          </cell>
          <cell r="C102">
            <v>3395937.409090911</v>
          </cell>
          <cell r="D102">
            <v>81484.090909090912</v>
          </cell>
        </row>
        <row r="103">
          <cell r="A103">
            <v>34564</v>
          </cell>
          <cell r="B103" t="str">
            <v>PINKIES SHOP</v>
          </cell>
          <cell r="C103">
            <v>62277347.727272734</v>
          </cell>
          <cell r="D103">
            <v>2427099.5454545449</v>
          </cell>
        </row>
        <row r="104">
          <cell r="A104">
            <v>34566</v>
          </cell>
          <cell r="B104" t="str">
            <v>PASAMAN 3</v>
          </cell>
          <cell r="C104">
            <v>235896.81818181818</v>
          </cell>
          <cell r="D104">
            <v>1446790.9090909092</v>
          </cell>
        </row>
        <row r="105">
          <cell r="A105">
            <v>34567</v>
          </cell>
          <cell r="B105" t="str">
            <v>PANGERAN MART</v>
          </cell>
          <cell r="C105">
            <v>88800</v>
          </cell>
        </row>
        <row r="106">
          <cell r="A106">
            <v>35186</v>
          </cell>
          <cell r="B106" t="str">
            <v>R N N COSMETIC II</v>
          </cell>
          <cell r="C106">
            <v>552552.27272727271</v>
          </cell>
        </row>
        <row r="107">
          <cell r="A107">
            <v>35188</v>
          </cell>
          <cell r="B107" t="str">
            <v>RARA KOSMETIK</v>
          </cell>
          <cell r="C107">
            <v>5737102.5909090918</v>
          </cell>
        </row>
        <row r="108">
          <cell r="A108">
            <v>35426</v>
          </cell>
          <cell r="B108" t="str">
            <v>SAID</v>
          </cell>
          <cell r="C108">
            <v>2856636.8181818188</v>
          </cell>
        </row>
        <row r="109">
          <cell r="A109">
            <v>35443</v>
          </cell>
          <cell r="B109" t="str">
            <v>SINAR JAYA AGUNG</v>
          </cell>
          <cell r="C109">
            <v>199144.54545454544</v>
          </cell>
        </row>
        <row r="110">
          <cell r="A110">
            <v>35534</v>
          </cell>
          <cell r="B110" t="str">
            <v>SERASI JAYA KENTEN</v>
          </cell>
          <cell r="C110">
            <v>710618.18181818165</v>
          </cell>
          <cell r="D110">
            <v>431162.72727272729</v>
          </cell>
        </row>
        <row r="111">
          <cell r="A111">
            <v>38300</v>
          </cell>
          <cell r="B111" t="str">
            <v>SEVEN STAR</v>
          </cell>
          <cell r="C111">
            <v>15502849.500000004</v>
          </cell>
          <cell r="D111">
            <v>9915810.5</v>
          </cell>
        </row>
        <row r="112">
          <cell r="A112">
            <v>40303</v>
          </cell>
          <cell r="B112" t="str">
            <v>CV,LINDA KOSMETIK</v>
          </cell>
          <cell r="C112">
            <v>151532529.90909094</v>
          </cell>
          <cell r="D112">
            <v>863644.09090909094</v>
          </cell>
        </row>
        <row r="113">
          <cell r="A113">
            <v>42700</v>
          </cell>
          <cell r="B113" t="str">
            <v>JM PUTRA SEJAHTERA PT /IS</v>
          </cell>
          <cell r="C113">
            <v>690066.81818181835</v>
          </cell>
          <cell r="D113">
            <v>6856764.5454545449</v>
          </cell>
        </row>
        <row r="114">
          <cell r="A114">
            <v>200500</v>
          </cell>
          <cell r="B114" t="str">
            <v>JM PUTRA SEJAHTERA PT -IS</v>
          </cell>
          <cell r="C114">
            <v>2225196.8181818184</v>
          </cell>
          <cell r="D114">
            <v>2746341.8181818188</v>
          </cell>
        </row>
        <row r="115">
          <cell r="A115">
            <v>42701</v>
          </cell>
          <cell r="B115" t="str">
            <v>ALIONG MT</v>
          </cell>
          <cell r="C115">
            <v>6571200.0000000009</v>
          </cell>
        </row>
        <row r="116">
          <cell r="A116">
            <v>200550</v>
          </cell>
          <cell r="B116" t="str">
            <v>CV, JHON NIAGA PERKASA MT ( F )</v>
          </cell>
          <cell r="C116">
            <v>125680364.68181816</v>
          </cell>
        </row>
        <row r="117">
          <cell r="A117">
            <v>43511</v>
          </cell>
          <cell r="B117" t="str">
            <v>MEGA KOSMETIK</v>
          </cell>
          <cell r="C117">
            <v>30217490.863636382</v>
          </cell>
          <cell r="D117">
            <v>2246689.7727272729</v>
          </cell>
        </row>
        <row r="118">
          <cell r="A118">
            <v>43520</v>
          </cell>
          <cell r="B118" t="str">
            <v>MISS GLAM</v>
          </cell>
          <cell r="C118">
            <v>66923906.045454554</v>
          </cell>
          <cell r="D118">
            <v>777089.99999999988</v>
          </cell>
        </row>
        <row r="119">
          <cell r="A119">
            <v>44501</v>
          </cell>
          <cell r="B119" t="str">
            <v>PENJUALAN TUNAI GT</v>
          </cell>
          <cell r="C119">
            <v>42861.136363636368</v>
          </cell>
          <cell r="D119">
            <v>194956.36363636365</v>
          </cell>
        </row>
        <row r="120">
          <cell r="A120">
            <v>50083</v>
          </cell>
          <cell r="B120" t="str">
            <v>ASRI</v>
          </cell>
          <cell r="C120">
            <v>1356115.2272727273</v>
          </cell>
        </row>
        <row r="121">
          <cell r="A121">
            <v>50106</v>
          </cell>
          <cell r="B121" t="str">
            <v>ANGEL KOSMETIK</v>
          </cell>
          <cell r="C121">
            <v>2068402.2727272734</v>
          </cell>
          <cell r="D121">
            <v>556313.63636363635</v>
          </cell>
        </row>
        <row r="122">
          <cell r="A122">
            <v>52103</v>
          </cell>
          <cell r="B122" t="str">
            <v>H B L</v>
          </cell>
          <cell r="C122">
            <v>1334454.5454545454</v>
          </cell>
          <cell r="D122">
            <v>292434.54545454541</v>
          </cell>
        </row>
        <row r="123">
          <cell r="A123">
            <v>52150</v>
          </cell>
          <cell r="B123" t="str">
            <v>HOUSE OF LINDA</v>
          </cell>
          <cell r="C123">
            <v>6367514.0909090927</v>
          </cell>
        </row>
        <row r="124">
          <cell r="A124">
            <v>52709</v>
          </cell>
          <cell r="B124" t="str">
            <v>JM PUTRA SEJAHTERA PT/LMB</v>
          </cell>
          <cell r="C124">
            <v>666000.00000000012</v>
          </cell>
          <cell r="D124">
            <v>419580.00000000006</v>
          </cell>
        </row>
        <row r="125">
          <cell r="A125">
            <v>200636</v>
          </cell>
          <cell r="B125" t="str">
            <v>JM PUTRA SEJAHTERA PT-LMB</v>
          </cell>
          <cell r="C125">
            <v>565645.90909090918</v>
          </cell>
          <cell r="D125">
            <v>8466405.8636363652</v>
          </cell>
        </row>
        <row r="126">
          <cell r="A126">
            <v>53300</v>
          </cell>
          <cell r="B126" t="str">
            <v>LATANSA - RAHMAN</v>
          </cell>
          <cell r="C126">
            <v>318317.72727272729</v>
          </cell>
          <cell r="D126">
            <v>233856.81818181818</v>
          </cell>
        </row>
        <row r="127">
          <cell r="A127">
            <v>53602</v>
          </cell>
          <cell r="B127" t="str">
            <v>MERY</v>
          </cell>
          <cell r="C127">
            <v>261000</v>
          </cell>
        </row>
        <row r="128">
          <cell r="A128">
            <v>54575</v>
          </cell>
          <cell r="B128" t="str">
            <v>PT,KAGE DWIJAYA</v>
          </cell>
          <cell r="C128">
            <v>2211725.4545454546</v>
          </cell>
          <cell r="D128">
            <v>247933.63636363632</v>
          </cell>
        </row>
        <row r="129">
          <cell r="A129">
            <v>200706</v>
          </cell>
          <cell r="B129" t="str">
            <v>PT.KAGE DWIJAYA</v>
          </cell>
          <cell r="C129">
            <v>802933.63636363647</v>
          </cell>
        </row>
        <row r="130">
          <cell r="A130">
            <v>55742</v>
          </cell>
          <cell r="B130" t="str">
            <v>TOKO MAHREZ</v>
          </cell>
          <cell r="C130">
            <v>133200.00000000003</v>
          </cell>
          <cell r="D130">
            <v>432294.54545454541</v>
          </cell>
        </row>
        <row r="131">
          <cell r="A131">
            <v>60917</v>
          </cell>
          <cell r="B131" t="str">
            <v>DAIRA MART</v>
          </cell>
          <cell r="C131">
            <v>180930.90909090906</v>
          </cell>
          <cell r="D131">
            <v>1346768.1818181816</v>
          </cell>
        </row>
        <row r="132">
          <cell r="A132">
            <v>70332</v>
          </cell>
          <cell r="B132" t="str">
            <v>BELLANE SHOP</v>
          </cell>
          <cell r="C132">
            <v>5869074.2727272734</v>
          </cell>
          <cell r="D132">
            <v>3346683.7727272734</v>
          </cell>
        </row>
        <row r="133">
          <cell r="A133">
            <v>71313</v>
          </cell>
          <cell r="B133" t="str">
            <v>FRESH SEKIP</v>
          </cell>
          <cell r="C133">
            <v>16839501.818181816</v>
          </cell>
          <cell r="D133">
            <v>38143.636363636368</v>
          </cell>
        </row>
        <row r="134">
          <cell r="A134">
            <v>72715</v>
          </cell>
          <cell r="B134" t="str">
            <v>J,J BABY SHOP</v>
          </cell>
          <cell r="C134">
            <v>150990</v>
          </cell>
          <cell r="D134">
            <v>14233180.90909091</v>
          </cell>
        </row>
        <row r="135">
          <cell r="A135">
            <v>72718</v>
          </cell>
          <cell r="B135" t="str">
            <v>JCR SHOP</v>
          </cell>
          <cell r="C135">
            <v>12726631.909090908</v>
          </cell>
        </row>
        <row r="136">
          <cell r="A136">
            <v>73312</v>
          </cell>
          <cell r="B136" t="str">
            <v>LIDYA KOSMETIK</v>
          </cell>
          <cell r="C136">
            <v>266702.72727272729</v>
          </cell>
        </row>
        <row r="137">
          <cell r="A137">
            <v>74502</v>
          </cell>
          <cell r="B137" t="str">
            <v>PELANGI</v>
          </cell>
          <cell r="C137">
            <v>122226.13636363638</v>
          </cell>
        </row>
        <row r="138">
          <cell r="A138">
            <v>75716</v>
          </cell>
          <cell r="B138" t="str">
            <v>TUTI</v>
          </cell>
          <cell r="C138">
            <v>317863.63636363635</v>
          </cell>
          <cell r="D138">
            <v>639306.81818181812</v>
          </cell>
        </row>
        <row r="139">
          <cell r="A139">
            <v>75717</v>
          </cell>
          <cell r="B139" t="str">
            <v>TOKO AMINAH</v>
          </cell>
          <cell r="C139">
            <v>1175464.5454545452</v>
          </cell>
          <cell r="D139">
            <v>226800</v>
          </cell>
        </row>
        <row r="140">
          <cell r="A140">
            <v>76001</v>
          </cell>
          <cell r="B140" t="str">
            <v>ULAN KOSMETIK</v>
          </cell>
          <cell r="C140">
            <v>135318.18181818182</v>
          </cell>
          <cell r="D140">
            <v>5017774.6363636348</v>
          </cell>
        </row>
        <row r="141">
          <cell r="A141">
            <v>80163</v>
          </cell>
          <cell r="B141" t="str">
            <v>AZET</v>
          </cell>
          <cell r="C141">
            <v>4208426.3636363642</v>
          </cell>
          <cell r="D141">
            <v>6976915.2727272743</v>
          </cell>
        </row>
        <row r="142">
          <cell r="A142">
            <v>80199</v>
          </cell>
          <cell r="B142" t="str">
            <v>APOTIK SHAZA FARMA</v>
          </cell>
          <cell r="C142">
            <v>114430.9090909091</v>
          </cell>
        </row>
        <row r="143">
          <cell r="A143">
            <v>80234</v>
          </cell>
          <cell r="B143" t="str">
            <v>APOTIK GABEMA FARMA</v>
          </cell>
          <cell r="C143">
            <v>1395346.136363636</v>
          </cell>
          <cell r="D143">
            <v>1412071.3636363635</v>
          </cell>
        </row>
        <row r="144">
          <cell r="A144">
            <v>80238</v>
          </cell>
          <cell r="B144" t="str">
            <v>AYIN</v>
          </cell>
          <cell r="C144">
            <v>835976.81818181812</v>
          </cell>
          <cell r="D144">
            <v>1951861.0909090908</v>
          </cell>
        </row>
        <row r="145">
          <cell r="A145">
            <v>80309</v>
          </cell>
          <cell r="B145" t="str">
            <v>APOTIK KELUARGA</v>
          </cell>
          <cell r="C145">
            <v>344352.27272727271</v>
          </cell>
        </row>
        <row r="146">
          <cell r="A146">
            <v>80412</v>
          </cell>
          <cell r="B146" t="str">
            <v>BEAUTIVA</v>
          </cell>
          <cell r="C146">
            <v>36716712.045454547</v>
          </cell>
        </row>
        <row r="147">
          <cell r="A147">
            <v>80601</v>
          </cell>
          <cell r="B147" t="str">
            <v>CEMERLANG - WIWIK</v>
          </cell>
          <cell r="C147">
            <v>2886881.8181818188</v>
          </cell>
        </row>
        <row r="148">
          <cell r="A148">
            <v>80649</v>
          </cell>
          <cell r="B148" t="str">
            <v>CENDANA</v>
          </cell>
          <cell r="C148">
            <v>42000</v>
          </cell>
          <cell r="D148">
            <v>1158083.1818181816</v>
          </cell>
        </row>
        <row r="149">
          <cell r="A149">
            <v>80925</v>
          </cell>
          <cell r="B149" t="str">
            <v>MM DUTA</v>
          </cell>
          <cell r="C149">
            <v>284585.45454545459</v>
          </cell>
          <cell r="D149">
            <v>2699564.3181818179</v>
          </cell>
        </row>
        <row r="150">
          <cell r="A150">
            <v>80974</v>
          </cell>
          <cell r="B150" t="str">
            <v>DIPSI COSMETIK</v>
          </cell>
          <cell r="C150">
            <v>431033.18181818188</v>
          </cell>
        </row>
        <row r="151">
          <cell r="A151">
            <v>81200</v>
          </cell>
          <cell r="B151" t="str">
            <v>ERNI</v>
          </cell>
          <cell r="C151">
            <v>344352.27272727271</v>
          </cell>
          <cell r="D151">
            <v>753230</v>
          </cell>
        </row>
        <row r="152">
          <cell r="A152">
            <v>82152</v>
          </cell>
          <cell r="B152" t="str">
            <v>JEJU KOSMETIK</v>
          </cell>
          <cell r="C152">
            <v>9285248.1818181816</v>
          </cell>
        </row>
        <row r="153">
          <cell r="A153">
            <v>82720</v>
          </cell>
          <cell r="B153" t="str">
            <v>JM PUTRA SEJAHTERA PT/SK</v>
          </cell>
          <cell r="C153">
            <v>423666.81818181829</v>
          </cell>
          <cell r="D153">
            <v>41874852.954545453</v>
          </cell>
        </row>
        <row r="154">
          <cell r="A154">
            <v>201118</v>
          </cell>
          <cell r="B154" t="str">
            <v>JM PUTRA SEJAHTERA PT-SK</v>
          </cell>
          <cell r="C154">
            <v>123966.81818181816</v>
          </cell>
          <cell r="D154">
            <v>3944822.7272727275</v>
          </cell>
        </row>
        <row r="155">
          <cell r="A155">
            <v>82735</v>
          </cell>
          <cell r="B155" t="str">
            <v>J,K</v>
          </cell>
          <cell r="C155">
            <v>18113409.68181818</v>
          </cell>
        </row>
        <row r="156">
          <cell r="A156">
            <v>201135</v>
          </cell>
          <cell r="B156" t="str">
            <v>J.K</v>
          </cell>
          <cell r="C156">
            <v>7426032.9545454551</v>
          </cell>
          <cell r="D156">
            <v>750158.18181818188</v>
          </cell>
        </row>
        <row r="157">
          <cell r="A157">
            <v>82748</v>
          </cell>
          <cell r="B157" t="str">
            <v>JH KOSMETIK</v>
          </cell>
          <cell r="C157">
            <v>1038020.7272727273</v>
          </cell>
          <cell r="D157">
            <v>534972.95454545459</v>
          </cell>
        </row>
        <row r="158">
          <cell r="A158">
            <v>83610</v>
          </cell>
          <cell r="B158" t="str">
            <v>MELATI</v>
          </cell>
          <cell r="C158">
            <v>503284.09090909082</v>
          </cell>
          <cell r="D158">
            <v>424575</v>
          </cell>
        </row>
        <row r="159">
          <cell r="A159">
            <v>83741</v>
          </cell>
          <cell r="B159" t="str">
            <v>MM,CITRA</v>
          </cell>
          <cell r="C159">
            <v>66600.000000000015</v>
          </cell>
          <cell r="D159">
            <v>35318.181818181816</v>
          </cell>
        </row>
        <row r="160">
          <cell r="A160">
            <v>83757</v>
          </cell>
          <cell r="B160" t="str">
            <v>MM 69</v>
          </cell>
          <cell r="C160">
            <v>2864583.0909090913</v>
          </cell>
          <cell r="D160">
            <v>24975.000000000007</v>
          </cell>
        </row>
        <row r="161">
          <cell r="A161">
            <v>83937</v>
          </cell>
          <cell r="B161" t="str">
            <v>NEY KOSMETIK</v>
          </cell>
          <cell r="C161">
            <v>11074561.363636363</v>
          </cell>
          <cell r="D161">
            <v>2742311.7272727271</v>
          </cell>
        </row>
        <row r="162">
          <cell r="A162">
            <v>83941</v>
          </cell>
          <cell r="B162" t="str">
            <v>NADINE</v>
          </cell>
          <cell r="C162">
            <v>904279.09090909071</v>
          </cell>
          <cell r="D162">
            <v>56700</v>
          </cell>
        </row>
        <row r="163">
          <cell r="A163">
            <v>84597</v>
          </cell>
          <cell r="B163" t="str">
            <v>PAKDE KWAT</v>
          </cell>
          <cell r="C163">
            <v>75600</v>
          </cell>
          <cell r="D163">
            <v>688704.5454545453</v>
          </cell>
        </row>
        <row r="164">
          <cell r="A164">
            <v>84801</v>
          </cell>
          <cell r="B164" t="str">
            <v>QUEEN KOSMETIK</v>
          </cell>
          <cell r="C164">
            <v>3808310.2272727271</v>
          </cell>
          <cell r="D164">
            <v>47697779.818181835</v>
          </cell>
        </row>
        <row r="165">
          <cell r="A165">
            <v>85224</v>
          </cell>
          <cell r="B165" t="str">
            <v>RACA KOSMETIK</v>
          </cell>
          <cell r="C165">
            <v>920085.45454545447</v>
          </cell>
          <cell r="D165">
            <v>513050.90909090906</v>
          </cell>
        </row>
        <row r="166">
          <cell r="A166">
            <v>85233</v>
          </cell>
          <cell r="B166" t="str">
            <v>R3 KOSMETIK</v>
          </cell>
          <cell r="C166">
            <v>4729944.5454545477</v>
          </cell>
          <cell r="D166">
            <v>689461.36363636353</v>
          </cell>
        </row>
        <row r="167">
          <cell r="A167">
            <v>85562</v>
          </cell>
          <cell r="B167" t="str">
            <v>SABUN MURAH JAYA 2</v>
          </cell>
          <cell r="C167">
            <v>4069411.3636363633</v>
          </cell>
        </row>
        <row r="168">
          <cell r="A168">
            <v>85563</v>
          </cell>
          <cell r="B168" t="str">
            <v>SEMOGA JAYA</v>
          </cell>
          <cell r="C168">
            <v>98007.954545454544</v>
          </cell>
          <cell r="D168">
            <v>3930141.8181818184</v>
          </cell>
        </row>
        <row r="169">
          <cell r="A169">
            <v>85721</v>
          </cell>
          <cell r="B169" t="str">
            <v>TAUPIK</v>
          </cell>
          <cell r="C169">
            <v>778311.81818181823</v>
          </cell>
          <cell r="D169">
            <v>66600</v>
          </cell>
        </row>
        <row r="170">
          <cell r="A170">
            <v>85777</v>
          </cell>
          <cell r="B170" t="str">
            <v>TOKO KOSMETIK LINDA</v>
          </cell>
          <cell r="C170">
            <v>1009707.2727272726</v>
          </cell>
        </row>
        <row r="171">
          <cell r="A171">
            <v>86001</v>
          </cell>
          <cell r="B171" t="str">
            <v>UTAMA</v>
          </cell>
          <cell r="C171">
            <v>453600</v>
          </cell>
          <cell r="D171">
            <v>10355295.272727277</v>
          </cell>
        </row>
        <row r="172">
          <cell r="A172">
            <v>86053</v>
          </cell>
          <cell r="B172" t="str">
            <v>TOKO STEFANNY</v>
          </cell>
          <cell r="C172">
            <v>133200.00000000003</v>
          </cell>
          <cell r="D172">
            <v>5300315.4545454532</v>
          </cell>
        </row>
        <row r="173">
          <cell r="A173">
            <v>86604</v>
          </cell>
          <cell r="B173" t="str">
            <v>WARTEL RAISSYAH</v>
          </cell>
          <cell r="C173">
            <v>1346379.5454545452</v>
          </cell>
          <cell r="D173">
            <v>1751854.0909090911</v>
          </cell>
        </row>
        <row r="174">
          <cell r="A174">
            <v>87500</v>
          </cell>
          <cell r="B174" t="str">
            <v>ZEST MINI MARKET</v>
          </cell>
          <cell r="C174">
            <v>425331.81818181823</v>
          </cell>
          <cell r="D174">
            <v>136600</v>
          </cell>
        </row>
        <row r="175">
          <cell r="A175">
            <v>90001</v>
          </cell>
          <cell r="B175" t="str">
            <v>A, MAJID</v>
          </cell>
          <cell r="C175">
            <v>111252.27272727275</v>
          </cell>
          <cell r="D175">
            <v>6663084.5454545468</v>
          </cell>
        </row>
        <row r="176">
          <cell r="A176">
            <v>90096</v>
          </cell>
          <cell r="B176" t="str">
            <v>ABIN</v>
          </cell>
          <cell r="C176">
            <v>124875.00000000003</v>
          </cell>
          <cell r="D176">
            <v>355200</v>
          </cell>
        </row>
        <row r="177">
          <cell r="A177">
            <v>90098</v>
          </cell>
          <cell r="B177" t="str">
            <v>ALESHA KOSMETIK</v>
          </cell>
          <cell r="C177">
            <v>6652866.4090909092</v>
          </cell>
          <cell r="D177">
            <v>8261994.0909090936</v>
          </cell>
        </row>
        <row r="178">
          <cell r="A178">
            <v>90105</v>
          </cell>
          <cell r="B178" t="str">
            <v>ALESHA KOSMETIK 2</v>
          </cell>
          <cell r="C178">
            <v>1809570</v>
          </cell>
          <cell r="D178">
            <v>66600</v>
          </cell>
        </row>
        <row r="179">
          <cell r="A179">
            <v>90341</v>
          </cell>
          <cell r="B179" t="str">
            <v>BEAUTY WITH KIMY COSMETIC</v>
          </cell>
          <cell r="C179">
            <v>2250920.4545454541</v>
          </cell>
          <cell r="D179">
            <v>14206485.000000006</v>
          </cell>
        </row>
        <row r="180">
          <cell r="A180">
            <v>90619</v>
          </cell>
          <cell r="B180" t="str">
            <v>CILUPBAH</v>
          </cell>
          <cell r="C180">
            <v>1188600</v>
          </cell>
          <cell r="D180">
            <v>670360.90909090906</v>
          </cell>
        </row>
        <row r="181">
          <cell r="A181">
            <v>90922</v>
          </cell>
          <cell r="B181" t="str">
            <v>VELLY- DARWIN KOSMETIK</v>
          </cell>
          <cell r="C181">
            <v>191903846.45454544</v>
          </cell>
          <cell r="D181">
            <v>2661977.2727272729</v>
          </cell>
        </row>
        <row r="182">
          <cell r="A182" t="str">
            <v>130-000300</v>
          </cell>
          <cell r="B182" t="str">
            <v>VELLY/ DARWIN KOSMETIK</v>
          </cell>
          <cell r="C182">
            <v>82030230</v>
          </cell>
          <cell r="D182">
            <v>3386794.0909090908</v>
          </cell>
        </row>
        <row r="183">
          <cell r="A183">
            <v>92114</v>
          </cell>
          <cell r="B183" t="str">
            <v>HENDRI-ACAI</v>
          </cell>
          <cell r="C183">
            <v>215631.81818181818</v>
          </cell>
        </row>
        <row r="184">
          <cell r="A184">
            <v>93650</v>
          </cell>
          <cell r="B184" t="str">
            <v>MAJESTIC FASHION</v>
          </cell>
          <cell r="C184">
            <v>283200</v>
          </cell>
          <cell r="D184">
            <v>58249472.863636337</v>
          </cell>
        </row>
        <row r="185">
          <cell r="A185">
            <v>95472</v>
          </cell>
          <cell r="B185" t="str">
            <v>SASYA KOSMETIK</v>
          </cell>
          <cell r="C185">
            <v>1632233.1818181816</v>
          </cell>
          <cell r="D185">
            <v>329700</v>
          </cell>
        </row>
        <row r="186">
          <cell r="A186">
            <v>96304</v>
          </cell>
          <cell r="B186" t="str">
            <v>VILI COSMETIK</v>
          </cell>
          <cell r="C186">
            <v>2133136</v>
          </cell>
          <cell r="D186">
            <v>1945300.9090909087</v>
          </cell>
        </row>
        <row r="187">
          <cell r="A187">
            <v>97222</v>
          </cell>
          <cell r="B187" t="str">
            <v>YUDI SERBA</v>
          </cell>
          <cell r="C187">
            <v>773837.72727272718</v>
          </cell>
          <cell r="D187">
            <v>5076610.2272727266</v>
          </cell>
        </row>
        <row r="188">
          <cell r="A188">
            <v>98004</v>
          </cell>
          <cell r="B188" t="str">
            <v>ZUZU KOSMETIK</v>
          </cell>
          <cell r="C188">
            <v>2886753.1818181816</v>
          </cell>
          <cell r="D188">
            <v>26529306.363636371</v>
          </cell>
        </row>
        <row r="189">
          <cell r="A189">
            <v>120070</v>
          </cell>
          <cell r="B189" t="str">
            <v>ALAP STORE</v>
          </cell>
          <cell r="C189">
            <v>24630092.727272727</v>
          </cell>
          <cell r="D189">
            <v>1953319.0909090908</v>
          </cell>
        </row>
        <row r="190">
          <cell r="A190">
            <v>120071</v>
          </cell>
          <cell r="B190" t="str">
            <v>ATIKA - BAMBANG</v>
          </cell>
          <cell r="C190">
            <v>111000.00000000001</v>
          </cell>
        </row>
        <row r="191">
          <cell r="A191">
            <v>122401</v>
          </cell>
          <cell r="B191" t="str">
            <v>ICAN</v>
          </cell>
          <cell r="C191">
            <v>344352.27272727271</v>
          </cell>
          <cell r="D191">
            <v>4204452.7272727275</v>
          </cell>
        </row>
        <row r="192">
          <cell r="A192">
            <v>123622</v>
          </cell>
          <cell r="B192" t="str">
            <v>LINDA &amp; SON</v>
          </cell>
          <cell r="C192">
            <v>8896387.2727272734</v>
          </cell>
          <cell r="D192">
            <v>692337.27272727271</v>
          </cell>
        </row>
        <row r="193">
          <cell r="A193" t="str">
            <v>130-000467</v>
          </cell>
          <cell r="B193" t="str">
            <v>LINDA N SON</v>
          </cell>
          <cell r="C193">
            <v>9481037.7272727266</v>
          </cell>
          <cell r="D193">
            <v>902127.27272727271</v>
          </cell>
        </row>
        <row r="194">
          <cell r="A194">
            <v>124535</v>
          </cell>
          <cell r="B194" t="str">
            <v>PINKY GLOW</v>
          </cell>
          <cell r="C194">
            <v>283830.90909090912</v>
          </cell>
          <cell r="D194">
            <v>6728257.0909090918</v>
          </cell>
        </row>
        <row r="195">
          <cell r="A195">
            <v>125100</v>
          </cell>
          <cell r="B195" t="str">
            <v>NEW RATU COSMETIC</v>
          </cell>
          <cell r="C195">
            <v>1625262.2727272725</v>
          </cell>
        </row>
        <row r="196">
          <cell r="A196">
            <v>145006</v>
          </cell>
          <cell r="B196" t="str">
            <v>MEDIKA FARMA S</v>
          </cell>
          <cell r="C196">
            <v>233100.72727272729</v>
          </cell>
          <cell r="D196">
            <v>893383.09090909082</v>
          </cell>
        </row>
        <row r="197">
          <cell r="A197">
            <v>200110</v>
          </cell>
          <cell r="B197" t="str">
            <v>AISYAH</v>
          </cell>
          <cell r="C197">
            <v>162460.22727272729</v>
          </cell>
          <cell r="D197">
            <v>1241592.2727272727</v>
          </cell>
        </row>
        <row r="198">
          <cell r="A198">
            <v>200344</v>
          </cell>
          <cell r="B198" t="str">
            <v>BLUETEA KOSMETIK</v>
          </cell>
          <cell r="C198">
            <v>293954.54545454541</v>
          </cell>
          <cell r="D198">
            <v>672811.36363636365</v>
          </cell>
        </row>
        <row r="199">
          <cell r="A199">
            <v>200627</v>
          </cell>
          <cell r="B199" t="str">
            <v>CILUPBAH SHOP</v>
          </cell>
          <cell r="C199">
            <v>13956465.000000011</v>
          </cell>
          <cell r="D199">
            <v>13700299.090909092</v>
          </cell>
        </row>
        <row r="200">
          <cell r="A200">
            <v>201503</v>
          </cell>
          <cell r="B200" t="str">
            <v>FADILAH</v>
          </cell>
          <cell r="C200">
            <v>266400</v>
          </cell>
          <cell r="D200">
            <v>466674.54545454541</v>
          </cell>
        </row>
        <row r="201">
          <cell r="A201">
            <v>201524</v>
          </cell>
          <cell r="B201" t="str">
            <v>FIKRI</v>
          </cell>
          <cell r="C201">
            <v>317863.63636363635</v>
          </cell>
        </row>
        <row r="202">
          <cell r="A202">
            <v>202102</v>
          </cell>
          <cell r="B202" t="str">
            <v>HIDAYAT</v>
          </cell>
          <cell r="C202">
            <v>158931.81818181818</v>
          </cell>
          <cell r="D202">
            <v>1801623.4090909089</v>
          </cell>
        </row>
        <row r="203">
          <cell r="A203">
            <v>202139</v>
          </cell>
          <cell r="B203" t="str">
            <v>HAFIZ</v>
          </cell>
          <cell r="C203">
            <v>266400</v>
          </cell>
          <cell r="D203">
            <v>5366211.8181818193</v>
          </cell>
        </row>
        <row r="204">
          <cell r="A204">
            <v>202722</v>
          </cell>
          <cell r="B204" t="str">
            <v>JM PUTRA SEJAHTERA PT/PJ</v>
          </cell>
          <cell r="C204">
            <v>211152.27272727276</v>
          </cell>
          <cell r="D204">
            <v>2930740.9090909115</v>
          </cell>
        </row>
        <row r="205">
          <cell r="A205" t="str">
            <v>130-000568</v>
          </cell>
          <cell r="B205" t="str">
            <v>JM PUTRA SEJAHTERA PT-PJ</v>
          </cell>
          <cell r="C205">
            <v>149395.90909090909</v>
          </cell>
        </row>
        <row r="206">
          <cell r="A206">
            <v>203644</v>
          </cell>
          <cell r="B206" t="str">
            <v>MASA JAYA KOSMETIK</v>
          </cell>
          <cell r="C206">
            <v>55626.136363636375</v>
          </cell>
        </row>
        <row r="207">
          <cell r="A207">
            <v>203921</v>
          </cell>
          <cell r="B207" t="str">
            <v>NOVA KOSMETIK</v>
          </cell>
          <cell r="C207">
            <v>798070</v>
          </cell>
          <cell r="D207">
            <v>444000</v>
          </cell>
        </row>
        <row r="208">
          <cell r="A208">
            <v>207400</v>
          </cell>
          <cell r="B208" t="str">
            <v>YOORA BEAUTY HOUSE</v>
          </cell>
          <cell r="C208">
            <v>4462482.2727272734</v>
          </cell>
          <cell r="D208">
            <v>43363819.090909101</v>
          </cell>
        </row>
        <row r="209">
          <cell r="A209">
            <v>207518</v>
          </cell>
          <cell r="B209" t="str">
            <v>ZAHRA</v>
          </cell>
          <cell r="C209">
            <v>222000</v>
          </cell>
          <cell r="D209">
            <v>2949114.5454545454</v>
          </cell>
        </row>
        <row r="210">
          <cell r="A210">
            <v>212705</v>
          </cell>
          <cell r="B210" t="str">
            <v>JIRIN JAYA</v>
          </cell>
          <cell r="C210">
            <v>927102.27272727282</v>
          </cell>
          <cell r="D210">
            <v>133200</v>
          </cell>
        </row>
        <row r="211">
          <cell r="A211">
            <v>213601</v>
          </cell>
          <cell r="B211" t="str">
            <v>MERY</v>
          </cell>
          <cell r="C211">
            <v>623618.18181818177</v>
          </cell>
          <cell r="D211">
            <v>7236207.2727272734</v>
          </cell>
        </row>
        <row r="212">
          <cell r="A212">
            <v>213623</v>
          </cell>
          <cell r="B212" t="str">
            <v>MIRING , TK</v>
          </cell>
          <cell r="C212">
            <v>245561.81818181818</v>
          </cell>
          <cell r="D212">
            <v>66600</v>
          </cell>
        </row>
        <row r="213">
          <cell r="A213">
            <v>214971</v>
          </cell>
          <cell r="B213" t="str">
            <v>ANJ PUTRI</v>
          </cell>
          <cell r="C213">
            <v>212480.22727272726</v>
          </cell>
          <cell r="D213">
            <v>139636.36363636365</v>
          </cell>
        </row>
        <row r="214">
          <cell r="A214">
            <v>214976</v>
          </cell>
          <cell r="B214" t="str">
            <v>ANJ RANDU</v>
          </cell>
          <cell r="C214">
            <v>86084.090909090912</v>
          </cell>
          <cell r="D214">
            <v>25000</v>
          </cell>
        </row>
        <row r="215">
          <cell r="A215">
            <v>214981</v>
          </cell>
          <cell r="B215" t="str">
            <v>ANJ LOMO</v>
          </cell>
          <cell r="C215">
            <v>48688.636363636368</v>
          </cell>
        </row>
        <row r="216">
          <cell r="A216">
            <v>214984</v>
          </cell>
          <cell r="B216" t="str">
            <v>ANJ WENI</v>
          </cell>
          <cell r="C216">
            <v>96488.636363636368</v>
          </cell>
          <cell r="D216">
            <v>106200</v>
          </cell>
        </row>
        <row r="217">
          <cell r="A217">
            <v>214987</v>
          </cell>
          <cell r="B217" t="str">
            <v>ANJ WAHYUDI</v>
          </cell>
          <cell r="C217">
            <v>26488.636363636364</v>
          </cell>
          <cell r="D217">
            <v>1092573.4090909089</v>
          </cell>
        </row>
        <row r="218">
          <cell r="A218">
            <v>220030</v>
          </cell>
          <cell r="B218" t="str">
            <v>OTEK</v>
          </cell>
          <cell r="C218">
            <v>5575182.2727272734</v>
          </cell>
          <cell r="D218">
            <v>432294.54545454535</v>
          </cell>
        </row>
        <row r="219">
          <cell r="A219">
            <v>222713</v>
          </cell>
          <cell r="B219" t="str">
            <v>BON-BON KOSMETIK/JEFRI.C</v>
          </cell>
          <cell r="C219">
            <v>12504227.727272727</v>
          </cell>
        </row>
        <row r="220">
          <cell r="A220" t="str">
            <v>130-000793</v>
          </cell>
          <cell r="B220" t="str">
            <v>BON-BON KOSMETIK-JEFRI,C</v>
          </cell>
          <cell r="C220">
            <v>20544908.454545468</v>
          </cell>
        </row>
        <row r="221">
          <cell r="A221">
            <v>223312</v>
          </cell>
          <cell r="B221" t="str">
            <v>LIA PUPUR</v>
          </cell>
          <cell r="C221">
            <v>802435.68181818165</v>
          </cell>
          <cell r="D221">
            <v>810490.22727272729</v>
          </cell>
        </row>
        <row r="222">
          <cell r="A222">
            <v>223639</v>
          </cell>
          <cell r="B222" t="str">
            <v>MAUMU KOSMETIK</v>
          </cell>
          <cell r="C222">
            <v>15850155.000000004</v>
          </cell>
          <cell r="D222">
            <v>1945145.4545454546</v>
          </cell>
        </row>
        <row r="223">
          <cell r="A223">
            <v>226300</v>
          </cell>
          <cell r="B223" t="str">
            <v>VARENT</v>
          </cell>
          <cell r="C223">
            <v>1379525.4545454546</v>
          </cell>
          <cell r="D223">
            <v>1804254.5454545454</v>
          </cell>
        </row>
        <row r="224">
          <cell r="A224">
            <v>235413</v>
          </cell>
          <cell r="B224" t="str">
            <v>SALSABILA</v>
          </cell>
          <cell r="C224">
            <v>149850.00000000006</v>
          </cell>
          <cell r="D224">
            <v>5680407.2727272725</v>
          </cell>
        </row>
        <row r="225">
          <cell r="A225">
            <v>235416</v>
          </cell>
          <cell r="B225" t="str">
            <v>SANDIKA KOSMETIK</v>
          </cell>
          <cell r="C225">
            <v>96249354.545454472</v>
          </cell>
          <cell r="D225">
            <v>65885571.81818182</v>
          </cell>
        </row>
        <row r="226">
          <cell r="A226">
            <v>300024</v>
          </cell>
          <cell r="B226" t="str">
            <v>AAN</v>
          </cell>
          <cell r="C226">
            <v>344352.27272727271</v>
          </cell>
          <cell r="D226">
            <v>45997667.727272689</v>
          </cell>
        </row>
        <row r="227">
          <cell r="A227">
            <v>300028</v>
          </cell>
          <cell r="B227" t="str">
            <v>ABONG MART</v>
          </cell>
          <cell r="C227">
            <v>133200.00000000003</v>
          </cell>
          <cell r="D227">
            <v>630000</v>
          </cell>
        </row>
        <row r="228">
          <cell r="A228">
            <v>300303</v>
          </cell>
          <cell r="B228" t="str">
            <v>BADI</v>
          </cell>
          <cell r="C228">
            <v>603933.86363636365</v>
          </cell>
          <cell r="D228">
            <v>3589707.2727272748</v>
          </cell>
        </row>
        <row r="229">
          <cell r="A229">
            <v>300905</v>
          </cell>
          <cell r="B229" t="str">
            <v>DUPAN,MM</v>
          </cell>
          <cell r="C229">
            <v>1427866.3636363633</v>
          </cell>
          <cell r="D229">
            <v>490400</v>
          </cell>
        </row>
        <row r="230">
          <cell r="A230">
            <v>300915</v>
          </cell>
          <cell r="B230" t="str">
            <v>DHEA KOSMETIK</v>
          </cell>
          <cell r="C230">
            <v>317257.90909090912</v>
          </cell>
          <cell r="D230">
            <v>17406420.181818187</v>
          </cell>
        </row>
        <row r="231">
          <cell r="A231">
            <v>300916</v>
          </cell>
          <cell r="B231" t="str">
            <v>DAVID</v>
          </cell>
          <cell r="C231">
            <v>1008000</v>
          </cell>
        </row>
        <row r="232">
          <cell r="A232">
            <v>300924</v>
          </cell>
          <cell r="B232" t="str">
            <v>DYLAN</v>
          </cell>
          <cell r="C232">
            <v>260997.95454545453</v>
          </cell>
        </row>
        <row r="233">
          <cell r="A233">
            <v>302409</v>
          </cell>
          <cell r="B233" t="str">
            <v>INDAH COSMETIK</v>
          </cell>
          <cell r="C233">
            <v>2276010</v>
          </cell>
          <cell r="D233">
            <v>702327.27272727259</v>
          </cell>
        </row>
        <row r="234">
          <cell r="A234">
            <v>302411</v>
          </cell>
          <cell r="B234" t="str">
            <v>ICHA</v>
          </cell>
          <cell r="C234">
            <v>2809763.8636363638</v>
          </cell>
          <cell r="D234">
            <v>-2131200</v>
          </cell>
        </row>
        <row r="235">
          <cell r="A235">
            <v>302710</v>
          </cell>
          <cell r="B235" t="str">
            <v>KEMBAR JAYA</v>
          </cell>
          <cell r="C235">
            <v>638154.54545454541</v>
          </cell>
          <cell r="D235">
            <v>5633106.8181818184</v>
          </cell>
        </row>
        <row r="236">
          <cell r="A236">
            <v>303617</v>
          </cell>
          <cell r="B236" t="str">
            <v>MM 4F</v>
          </cell>
          <cell r="C236">
            <v>168000</v>
          </cell>
        </row>
        <row r="237">
          <cell r="A237">
            <v>303621</v>
          </cell>
          <cell r="B237" t="str">
            <v>MURAH RISKY</v>
          </cell>
          <cell r="C237">
            <v>455604.54545454547</v>
          </cell>
          <cell r="D237">
            <v>260435.45454545456</v>
          </cell>
        </row>
        <row r="238">
          <cell r="A238">
            <v>303622</v>
          </cell>
          <cell r="B238" t="str">
            <v>MM YEARS KELUANG</v>
          </cell>
          <cell r="C238">
            <v>2350404.9545454546</v>
          </cell>
          <cell r="D238">
            <v>50931940.909090936</v>
          </cell>
        </row>
        <row r="239">
          <cell r="A239">
            <v>303625</v>
          </cell>
          <cell r="B239" t="str">
            <v>MM PESONA</v>
          </cell>
          <cell r="C239">
            <v>1284013.4545454544</v>
          </cell>
          <cell r="D239">
            <v>30246138.409090918</v>
          </cell>
        </row>
        <row r="240">
          <cell r="A240">
            <v>303631</v>
          </cell>
          <cell r="B240" t="str">
            <v>MM, YEARS</v>
          </cell>
          <cell r="C240">
            <v>209065.90909090912</v>
          </cell>
        </row>
        <row r="241">
          <cell r="A241" t="str">
            <v>130-001521</v>
          </cell>
          <cell r="B241" t="str">
            <v>MM. YEARS</v>
          </cell>
          <cell r="C241">
            <v>413222.72727272729</v>
          </cell>
          <cell r="D241">
            <v>56700</v>
          </cell>
        </row>
        <row r="242">
          <cell r="A242">
            <v>304503</v>
          </cell>
          <cell r="B242" t="str">
            <v>PURE KOSMETIK</v>
          </cell>
          <cell r="C242">
            <v>266400.00000000006</v>
          </cell>
          <cell r="D242">
            <v>811089.95454545459</v>
          </cell>
        </row>
        <row r="243">
          <cell r="A243">
            <v>305421</v>
          </cell>
          <cell r="B243" t="str">
            <v>SEVEN MART</v>
          </cell>
          <cell r="C243">
            <v>391626.13636363635</v>
          </cell>
        </row>
        <row r="244">
          <cell r="A244">
            <v>305700</v>
          </cell>
          <cell r="B244" t="str">
            <v>TIARA KOSMETIK</v>
          </cell>
          <cell r="C244">
            <v>1298259.9999999995</v>
          </cell>
          <cell r="D244">
            <v>6330632.7272727285</v>
          </cell>
        </row>
        <row r="245">
          <cell r="A245">
            <v>305708</v>
          </cell>
          <cell r="B245" t="str">
            <v>TOKO PENDI</v>
          </cell>
          <cell r="C245">
            <v>1173976.3636363633</v>
          </cell>
          <cell r="D245">
            <v>8436321.8181818184</v>
          </cell>
        </row>
        <row r="246">
          <cell r="A246">
            <v>305710</v>
          </cell>
          <cell r="B246" t="str">
            <v>TELATEN KOSMETIK</v>
          </cell>
          <cell r="C246">
            <v>2396806.6363636367</v>
          </cell>
          <cell r="D246">
            <v>6846721.8181818193</v>
          </cell>
        </row>
        <row r="247">
          <cell r="A247">
            <v>306600</v>
          </cell>
          <cell r="B247" t="str">
            <v>WBM</v>
          </cell>
          <cell r="C247">
            <v>168954.54545454544</v>
          </cell>
          <cell r="D247">
            <v>430665.90909090906</v>
          </cell>
        </row>
        <row r="248">
          <cell r="A248">
            <v>312701</v>
          </cell>
          <cell r="B248" t="str">
            <v>JEFRI,TK</v>
          </cell>
          <cell r="C248">
            <v>3810271.3636363638</v>
          </cell>
        </row>
        <row r="249">
          <cell r="A249">
            <v>315402</v>
          </cell>
          <cell r="B249" t="str">
            <v>RUMAH KOSMETIK ( T,I,A )</v>
          </cell>
          <cell r="C249">
            <v>1728000</v>
          </cell>
        </row>
        <row r="250">
          <cell r="A250">
            <v>315403</v>
          </cell>
          <cell r="B250" t="str">
            <v>RUMAH KOSMETIK II</v>
          </cell>
          <cell r="C250">
            <v>24455798.863636382</v>
          </cell>
          <cell r="D250">
            <v>3126371.3636363647</v>
          </cell>
        </row>
        <row r="251">
          <cell r="A251">
            <v>317205</v>
          </cell>
          <cell r="B251" t="str">
            <v>999 SHOP</v>
          </cell>
          <cell r="C251">
            <v>11992771.363636363</v>
          </cell>
          <cell r="D251">
            <v>137638891.45454544</v>
          </cell>
        </row>
        <row r="252">
          <cell r="A252">
            <v>320902</v>
          </cell>
          <cell r="B252" t="str">
            <v>DIAN</v>
          </cell>
          <cell r="C252">
            <v>252000</v>
          </cell>
          <cell r="D252">
            <v>1605518.1818181816</v>
          </cell>
        </row>
        <row r="253">
          <cell r="A253">
            <v>321800</v>
          </cell>
          <cell r="B253" t="str">
            <v>CV,GEMINI KOSMETIK</v>
          </cell>
          <cell r="C253">
            <v>2730335.4545454546</v>
          </cell>
          <cell r="D253">
            <v>635727.27272727271</v>
          </cell>
        </row>
        <row r="254">
          <cell r="A254" t="str">
            <v>130-001665</v>
          </cell>
          <cell r="B254" t="str">
            <v>CV.GEMINI KOSMETIK</v>
          </cell>
          <cell r="C254">
            <v>5084514.5454545468</v>
          </cell>
          <cell r="D254">
            <v>299700</v>
          </cell>
        </row>
        <row r="255">
          <cell r="A255">
            <v>322100</v>
          </cell>
          <cell r="B255" t="str">
            <v>HERIANTO HAMID</v>
          </cell>
          <cell r="C255">
            <v>4278923.1818181807</v>
          </cell>
          <cell r="D255">
            <v>1805465.4545454541</v>
          </cell>
        </row>
        <row r="256">
          <cell r="A256">
            <v>323622</v>
          </cell>
          <cell r="B256" t="str">
            <v>MM, TEL - MSL</v>
          </cell>
          <cell r="C256">
            <v>1991209.0909090908</v>
          </cell>
          <cell r="D256">
            <v>1449054.5454545452</v>
          </cell>
        </row>
        <row r="257">
          <cell r="A257">
            <v>324518</v>
          </cell>
          <cell r="B257" t="str">
            <v>PUSAKA,TK</v>
          </cell>
          <cell r="C257">
            <v>317863.63636363635</v>
          </cell>
          <cell r="D257">
            <v>635727.27272727271</v>
          </cell>
        </row>
        <row r="258">
          <cell r="A258">
            <v>325102</v>
          </cell>
          <cell r="B258" t="str">
            <v>RATU KOSMETIK</v>
          </cell>
          <cell r="C258">
            <v>-70989.545454545456</v>
          </cell>
          <cell r="D258">
            <v>692337.27272727282</v>
          </cell>
        </row>
        <row r="259">
          <cell r="A259">
            <v>325405</v>
          </cell>
          <cell r="B259" t="str">
            <v>SINAR BARU (GRANDE)</v>
          </cell>
          <cell r="C259">
            <v>39548643.227272741</v>
          </cell>
        </row>
        <row r="260">
          <cell r="A260">
            <v>325711</v>
          </cell>
          <cell r="B260" t="str">
            <v>TOKO OBAT BERKAH BARU</v>
          </cell>
          <cell r="C260">
            <v>867256.09090909082</v>
          </cell>
        </row>
        <row r="261">
          <cell r="A261">
            <v>326004</v>
          </cell>
          <cell r="B261" t="str">
            <v>VANIA KOSMETIK</v>
          </cell>
          <cell r="C261">
            <v>4079855.4545454541</v>
          </cell>
        </row>
        <row r="262">
          <cell r="A262">
            <v>340114</v>
          </cell>
          <cell r="B262" t="str">
            <v>AWAL</v>
          </cell>
          <cell r="C262">
            <v>133502.72727272729</v>
          </cell>
        </row>
        <row r="263">
          <cell r="A263">
            <v>340143</v>
          </cell>
          <cell r="B263" t="str">
            <v>ANI</v>
          </cell>
          <cell r="C263">
            <v>423818.18181818177</v>
          </cell>
          <cell r="D263">
            <v>2070020.4545454546</v>
          </cell>
        </row>
        <row r="264">
          <cell r="A264">
            <v>340604</v>
          </cell>
          <cell r="B264" t="str">
            <v>CINDE</v>
          </cell>
          <cell r="C264">
            <v>317863.63636363629</v>
          </cell>
          <cell r="D264">
            <v>18697394.681818184</v>
          </cell>
        </row>
        <row r="265">
          <cell r="A265">
            <v>340912</v>
          </cell>
          <cell r="B265" t="str">
            <v>CITRA</v>
          </cell>
          <cell r="C265">
            <v>113400</v>
          </cell>
        </row>
        <row r="266">
          <cell r="A266">
            <v>341118</v>
          </cell>
          <cell r="B266" t="str">
            <v>DINA</v>
          </cell>
          <cell r="C266">
            <v>-210980</v>
          </cell>
          <cell r="D266">
            <v>1429050.9090909092</v>
          </cell>
        </row>
        <row r="267">
          <cell r="A267">
            <v>343925</v>
          </cell>
          <cell r="B267" t="str">
            <v>NURUL</v>
          </cell>
          <cell r="C267">
            <v>344352.27272727265</v>
          </cell>
          <cell r="D267">
            <v>255051497.09090903</v>
          </cell>
        </row>
        <row r="268">
          <cell r="A268">
            <v>345181</v>
          </cell>
          <cell r="B268" t="str">
            <v>RINA KOSMETIK II</v>
          </cell>
          <cell r="C268">
            <v>93369591.363636374</v>
          </cell>
        </row>
        <row r="269">
          <cell r="A269">
            <v>345197</v>
          </cell>
          <cell r="B269" t="str">
            <v>RENI</v>
          </cell>
          <cell r="C269">
            <v>783047.04545454541</v>
          </cell>
          <cell r="D269">
            <v>530284.09090909094</v>
          </cell>
        </row>
        <row r="270">
          <cell r="A270">
            <v>345396</v>
          </cell>
          <cell r="B270" t="str">
            <v>RANI COLLECTION</v>
          </cell>
          <cell r="C270">
            <v>1505867.8181818186</v>
          </cell>
        </row>
        <row r="271">
          <cell r="A271">
            <v>345746</v>
          </cell>
          <cell r="B271" t="str">
            <v>TOKO MEGA</v>
          </cell>
          <cell r="C271">
            <v>1969375.363636364</v>
          </cell>
          <cell r="D271">
            <v>3790001.8181818174</v>
          </cell>
        </row>
        <row r="272">
          <cell r="A272">
            <v>350027</v>
          </cell>
          <cell r="B272" t="str">
            <v>ASY - SYIFA</v>
          </cell>
          <cell r="C272">
            <v>7927533.7272727303</v>
          </cell>
          <cell r="D272">
            <v>1219990.9090909089</v>
          </cell>
        </row>
        <row r="273">
          <cell r="A273">
            <v>351200</v>
          </cell>
          <cell r="B273" t="str">
            <v>EDI MARATHON</v>
          </cell>
          <cell r="C273">
            <v>5007168.1818181807</v>
          </cell>
          <cell r="D273">
            <v>370077.27272727271</v>
          </cell>
        </row>
        <row r="274">
          <cell r="A274">
            <v>352407</v>
          </cell>
          <cell r="B274" t="str">
            <v>IZDIHAAR COSMETIC</v>
          </cell>
          <cell r="C274">
            <v>1711815</v>
          </cell>
        </row>
        <row r="275">
          <cell r="A275">
            <v>355400</v>
          </cell>
          <cell r="B275" t="str">
            <v>SINAR PAGI</v>
          </cell>
          <cell r="C275">
            <v>1961275.9090909092</v>
          </cell>
          <cell r="D275">
            <v>26274171.818181813</v>
          </cell>
        </row>
        <row r="276">
          <cell r="A276">
            <v>356000</v>
          </cell>
          <cell r="B276" t="str">
            <v>UJANG ALI</v>
          </cell>
          <cell r="C276">
            <v>3229818.9545454551</v>
          </cell>
          <cell r="D276">
            <v>19792903.63636364</v>
          </cell>
        </row>
        <row r="277">
          <cell r="A277">
            <v>360000</v>
          </cell>
          <cell r="B277" t="str">
            <v>ARIES MM</v>
          </cell>
          <cell r="C277">
            <v>4123810.9090909082</v>
          </cell>
          <cell r="D277">
            <v>2397600</v>
          </cell>
        </row>
        <row r="278">
          <cell r="A278">
            <v>360002</v>
          </cell>
          <cell r="B278" t="str">
            <v>AL FATH,APOTIK</v>
          </cell>
          <cell r="C278">
            <v>228861.81818181821</v>
          </cell>
        </row>
        <row r="279">
          <cell r="A279">
            <v>360027</v>
          </cell>
          <cell r="B279" t="str">
            <v>APOTIK VICKY</v>
          </cell>
          <cell r="C279">
            <v>457723.63636363641</v>
          </cell>
          <cell r="D279">
            <v>22715030.454545457</v>
          </cell>
        </row>
        <row r="280">
          <cell r="A280">
            <v>360300</v>
          </cell>
          <cell r="B280" t="str">
            <v>BUNDA COSMETIK</v>
          </cell>
          <cell r="C280">
            <v>698922.27272727259</v>
          </cell>
          <cell r="D280">
            <v>40061930.727272727</v>
          </cell>
        </row>
        <row r="281">
          <cell r="A281">
            <v>360902</v>
          </cell>
          <cell r="B281" t="str">
            <v>DEVI,TK</v>
          </cell>
          <cell r="C281">
            <v>1381290.6818181816</v>
          </cell>
          <cell r="D281">
            <v>2088374.3181818184</v>
          </cell>
        </row>
        <row r="282">
          <cell r="A282">
            <v>360903</v>
          </cell>
          <cell r="B282" t="str">
            <v>DIANA FARMA,TK</v>
          </cell>
          <cell r="C282">
            <v>114430.9090909091</v>
          </cell>
          <cell r="D282">
            <v>1369990.9090909092</v>
          </cell>
        </row>
        <row r="283">
          <cell r="A283">
            <v>361501</v>
          </cell>
          <cell r="B283" t="str">
            <v>FATIAH,TK</v>
          </cell>
          <cell r="C283">
            <v>18526659.590909101</v>
          </cell>
          <cell r="D283">
            <v>8702521.3636363614</v>
          </cell>
        </row>
        <row r="284">
          <cell r="A284">
            <v>363302</v>
          </cell>
          <cell r="B284" t="str">
            <v>LAVENIA, PD</v>
          </cell>
          <cell r="C284">
            <v>408540.68181818182</v>
          </cell>
        </row>
        <row r="285">
          <cell r="A285">
            <v>363307</v>
          </cell>
          <cell r="B285" t="str">
            <v>LOKA MM</v>
          </cell>
          <cell r="C285">
            <v>664452.27272727271</v>
          </cell>
          <cell r="D285">
            <v>2957289.5000000005</v>
          </cell>
        </row>
        <row r="286">
          <cell r="A286">
            <v>363613</v>
          </cell>
          <cell r="B286" t="str">
            <v>MM BERLIAN</v>
          </cell>
          <cell r="C286">
            <v>503284.09090909088</v>
          </cell>
        </row>
        <row r="287">
          <cell r="A287">
            <v>365107</v>
          </cell>
          <cell r="B287" t="str">
            <v>RUMAH CANTIK KU</v>
          </cell>
          <cell r="C287">
            <v>14564403.500000006</v>
          </cell>
          <cell r="D287">
            <v>17206133.40909091</v>
          </cell>
        </row>
        <row r="288">
          <cell r="A288">
            <v>365700</v>
          </cell>
          <cell r="B288" t="str">
            <v>ALFATOMO</v>
          </cell>
          <cell r="C288">
            <v>597158.18181818188</v>
          </cell>
        </row>
        <row r="289">
          <cell r="A289">
            <v>365706</v>
          </cell>
          <cell r="B289" t="str">
            <v>THEO</v>
          </cell>
          <cell r="C289">
            <v>306000</v>
          </cell>
          <cell r="D289">
            <v>8700516.8181818221</v>
          </cell>
        </row>
        <row r="290">
          <cell r="A290">
            <v>365710</v>
          </cell>
          <cell r="B290" t="str">
            <v>TOKO ARIB JAYA</v>
          </cell>
          <cell r="C290">
            <v>344352.27272727271</v>
          </cell>
          <cell r="D290">
            <v>9079540.4754545446</v>
          </cell>
        </row>
        <row r="291">
          <cell r="A291">
            <v>370303</v>
          </cell>
          <cell r="B291" t="str">
            <v>BINTANG AGUNG</v>
          </cell>
          <cell r="C291">
            <v>1959743.1818181814</v>
          </cell>
          <cell r="D291">
            <v>518400</v>
          </cell>
        </row>
        <row r="292">
          <cell r="A292">
            <v>370906</v>
          </cell>
          <cell r="B292" t="str">
            <v>DNIAS KOSMETIK</v>
          </cell>
          <cell r="C292">
            <v>1001367.2727272727</v>
          </cell>
          <cell r="D292">
            <v>69947934.545454532</v>
          </cell>
        </row>
        <row r="293">
          <cell r="A293">
            <v>373300</v>
          </cell>
          <cell r="B293" t="str">
            <v>LIS</v>
          </cell>
          <cell r="C293">
            <v>688704.54545454541</v>
          </cell>
        </row>
        <row r="294">
          <cell r="A294">
            <v>375101</v>
          </cell>
          <cell r="B294" t="str">
            <v>REALITA, TK</v>
          </cell>
          <cell r="C294">
            <v>4909140.2272727275</v>
          </cell>
          <cell r="D294">
            <v>1255990.9090909089</v>
          </cell>
        </row>
        <row r="295">
          <cell r="A295">
            <v>375413</v>
          </cell>
          <cell r="B295" t="str">
            <v>SHIFA BABY SHOP</v>
          </cell>
          <cell r="C295">
            <v>168819.77272727276</v>
          </cell>
        </row>
        <row r="296">
          <cell r="A296">
            <v>377208</v>
          </cell>
          <cell r="B296" t="str">
            <v>YAKIN MART</v>
          </cell>
          <cell r="C296">
            <v>318923.18181818177</v>
          </cell>
          <cell r="D296">
            <v>44400</v>
          </cell>
        </row>
        <row r="297">
          <cell r="A297">
            <v>380002</v>
          </cell>
          <cell r="B297" t="str">
            <v>AFRIZAL KOSMETIK</v>
          </cell>
          <cell r="C297">
            <v>1235656.8181818179</v>
          </cell>
          <cell r="D297">
            <v>880179.54545454541</v>
          </cell>
        </row>
        <row r="298">
          <cell r="A298">
            <v>380907</v>
          </cell>
          <cell r="B298" t="str">
            <v>DAPUR CANTIK</v>
          </cell>
          <cell r="C298">
            <v>937156.81818181812</v>
          </cell>
          <cell r="D298">
            <v>30927600</v>
          </cell>
        </row>
        <row r="299">
          <cell r="A299">
            <v>381700</v>
          </cell>
          <cell r="B299" t="str">
            <v>HECA ART AND BEAUTY</v>
          </cell>
          <cell r="C299">
            <v>119678.63636363637</v>
          </cell>
          <cell r="D299">
            <v>1282352.7272727273</v>
          </cell>
        </row>
        <row r="300">
          <cell r="A300">
            <v>384503</v>
          </cell>
          <cell r="B300" t="str">
            <v>PUTRI COSMETIC</v>
          </cell>
          <cell r="C300">
            <v>1996555.9090909087</v>
          </cell>
        </row>
        <row r="301">
          <cell r="A301">
            <v>385113</v>
          </cell>
          <cell r="B301" t="str">
            <v>RAHMA KOSMETIK</v>
          </cell>
          <cell r="C301">
            <v>3333631.3636363642</v>
          </cell>
          <cell r="D301">
            <v>5903901.8181818193</v>
          </cell>
        </row>
        <row r="302">
          <cell r="A302">
            <v>385400</v>
          </cell>
          <cell r="B302" t="str">
            <v>SUKA RIA</v>
          </cell>
          <cell r="C302">
            <v>406363.63636363635</v>
          </cell>
          <cell r="D302">
            <v>113400</v>
          </cell>
        </row>
        <row r="303">
          <cell r="A303">
            <v>390013</v>
          </cell>
          <cell r="B303" t="str">
            <v>ARY BEAUTY</v>
          </cell>
          <cell r="C303">
            <v>15389427.636363635</v>
          </cell>
          <cell r="D303">
            <v>70989.545454545456</v>
          </cell>
        </row>
        <row r="304">
          <cell r="A304">
            <v>390118</v>
          </cell>
          <cell r="B304" t="str">
            <v>AYOBONO</v>
          </cell>
          <cell r="C304">
            <v>261000</v>
          </cell>
          <cell r="D304">
            <v>156242.04545454547</v>
          </cell>
        </row>
        <row r="305">
          <cell r="A305">
            <v>390371</v>
          </cell>
          <cell r="B305" t="str">
            <v>BLUEBERRY SHOP 3</v>
          </cell>
          <cell r="C305">
            <v>226800</v>
          </cell>
          <cell r="D305">
            <v>993904.09090909071</v>
          </cell>
        </row>
        <row r="306">
          <cell r="A306">
            <v>390372</v>
          </cell>
          <cell r="B306" t="str">
            <v>BAHAB KOSMETIK</v>
          </cell>
          <cell r="C306">
            <v>727435.45454545447</v>
          </cell>
          <cell r="D306">
            <v>2268032.7272727275</v>
          </cell>
        </row>
        <row r="307">
          <cell r="A307">
            <v>390602</v>
          </cell>
          <cell r="B307" t="str">
            <v>CEMARA I,APOTIK</v>
          </cell>
          <cell r="C307">
            <v>114430.9090909091</v>
          </cell>
        </row>
        <row r="308">
          <cell r="A308">
            <v>390604</v>
          </cell>
          <cell r="B308" t="str">
            <v>CITRA BINTANG</v>
          </cell>
          <cell r="C308">
            <v>1852711.3636363635</v>
          </cell>
        </row>
        <row r="309">
          <cell r="A309">
            <v>391220</v>
          </cell>
          <cell r="B309" t="str">
            <v>EKA KOSMETIK</v>
          </cell>
          <cell r="C309">
            <v>2276454.5454545459</v>
          </cell>
          <cell r="D309">
            <v>35032459.227272734</v>
          </cell>
        </row>
        <row r="310">
          <cell r="A310">
            <v>392105</v>
          </cell>
          <cell r="B310" t="str">
            <v>HUSADA,APOTIK</v>
          </cell>
          <cell r="C310">
            <v>190718.18181818182</v>
          </cell>
        </row>
        <row r="311">
          <cell r="A311">
            <v>393019</v>
          </cell>
          <cell r="B311" t="str">
            <v>KOMENG</v>
          </cell>
          <cell r="C311">
            <v>121196.09090909091</v>
          </cell>
          <cell r="D311">
            <v>1893047.7272727271</v>
          </cell>
        </row>
        <row r="312">
          <cell r="A312">
            <v>393042</v>
          </cell>
          <cell r="B312" t="str">
            <v>KERANJANG AA</v>
          </cell>
          <cell r="C312">
            <v>4813584.7727272753</v>
          </cell>
          <cell r="D312">
            <v>66600</v>
          </cell>
        </row>
        <row r="313">
          <cell r="A313">
            <v>393901</v>
          </cell>
          <cell r="B313" t="str">
            <v>NITA</v>
          </cell>
          <cell r="C313">
            <v>120636.36363636363</v>
          </cell>
          <cell r="D313">
            <v>3078839.9999999995</v>
          </cell>
        </row>
        <row r="314">
          <cell r="A314">
            <v>393921</v>
          </cell>
          <cell r="B314" t="str">
            <v>NYONYA KOSMETIK</v>
          </cell>
          <cell r="C314">
            <v>4150723.6363636367</v>
          </cell>
          <cell r="D314">
            <v>7430618.1818181816</v>
          </cell>
        </row>
        <row r="315">
          <cell r="A315">
            <v>395327</v>
          </cell>
          <cell r="B315" t="str">
            <v>RAHAYU</v>
          </cell>
          <cell r="C315">
            <v>529772.72727272718</v>
          </cell>
        </row>
        <row r="316">
          <cell r="A316">
            <v>395333</v>
          </cell>
          <cell r="B316" t="str">
            <v>RAINBOW SHOP</v>
          </cell>
          <cell r="C316">
            <v>593263.63636363624</v>
          </cell>
          <cell r="D316">
            <v>70636.363636363632</v>
          </cell>
        </row>
        <row r="317">
          <cell r="A317">
            <v>395436</v>
          </cell>
          <cell r="B317" t="str">
            <v>SRIBUANA</v>
          </cell>
          <cell r="C317">
            <v>284487.95454545453</v>
          </cell>
        </row>
        <row r="318">
          <cell r="A318">
            <v>395443</v>
          </cell>
          <cell r="B318" t="str">
            <v>ST MART</v>
          </cell>
          <cell r="C318">
            <v>272325.00000000006</v>
          </cell>
          <cell r="D318">
            <v>702327.27272727271</v>
          </cell>
        </row>
        <row r="319">
          <cell r="A319">
            <v>410020</v>
          </cell>
          <cell r="B319" t="str">
            <v>APOTIK ALDAN</v>
          </cell>
          <cell r="C319">
            <v>54429.545454545449</v>
          </cell>
          <cell r="D319">
            <v>1696195.2272727273</v>
          </cell>
        </row>
        <row r="320">
          <cell r="A320">
            <v>410021</v>
          </cell>
          <cell r="B320" t="str">
            <v>APOTIK K 24</v>
          </cell>
          <cell r="C320">
            <v>114430.9090909091</v>
          </cell>
          <cell r="D320">
            <v>266400</v>
          </cell>
        </row>
        <row r="321">
          <cell r="A321">
            <v>410023</v>
          </cell>
          <cell r="B321" t="str">
            <v>APOTEK SUMBER SEHAT</v>
          </cell>
          <cell r="C321">
            <v>182604.54545454547</v>
          </cell>
          <cell r="D321">
            <v>1839923.1818181816</v>
          </cell>
        </row>
        <row r="322">
          <cell r="A322">
            <v>410026</v>
          </cell>
          <cell r="B322" t="str">
            <v>APOTIK MAKMUR JAYA</v>
          </cell>
          <cell r="C322">
            <v>1739140.9090909092</v>
          </cell>
        </row>
        <row r="323">
          <cell r="A323">
            <v>410035</v>
          </cell>
          <cell r="B323" t="str">
            <v>APOTIK BELITI FARMA</v>
          </cell>
          <cell r="C323">
            <v>114430.9090909091</v>
          </cell>
        </row>
        <row r="324">
          <cell r="A324">
            <v>410037</v>
          </cell>
          <cell r="B324" t="str">
            <v>APOTEK BERSAMA SEHAT</v>
          </cell>
          <cell r="C324">
            <v>114430.9090909091</v>
          </cell>
        </row>
        <row r="325">
          <cell r="A325">
            <v>410300</v>
          </cell>
          <cell r="B325" t="str">
            <v>BU JONI</v>
          </cell>
          <cell r="C325">
            <v>673870.90909090894</v>
          </cell>
        </row>
        <row r="326">
          <cell r="A326">
            <v>410800</v>
          </cell>
          <cell r="B326" t="str">
            <v>DASRIL</v>
          </cell>
          <cell r="C326">
            <v>2831676.5454545454</v>
          </cell>
          <cell r="D326">
            <v>62582434.545454554</v>
          </cell>
        </row>
        <row r="327">
          <cell r="A327">
            <v>412601</v>
          </cell>
          <cell r="B327" t="str">
            <v>KUY - KUY KOSMETIK</v>
          </cell>
          <cell r="C327">
            <v>2225048.1818181826</v>
          </cell>
        </row>
        <row r="328">
          <cell r="A328">
            <v>412603</v>
          </cell>
          <cell r="B328" t="str">
            <v>KHAIRUNISA</v>
          </cell>
          <cell r="C328">
            <v>1020432.9545454546</v>
          </cell>
        </row>
        <row r="329">
          <cell r="A329">
            <v>413304</v>
          </cell>
          <cell r="B329" t="str">
            <v>LUMEL KOSMETIK</v>
          </cell>
          <cell r="C329">
            <v>14895881.363636373</v>
          </cell>
          <cell r="D329">
            <v>5366214.5454545459</v>
          </cell>
        </row>
        <row r="330">
          <cell r="A330">
            <v>413609</v>
          </cell>
          <cell r="B330" t="str">
            <v>MARS SWALAYAN</v>
          </cell>
          <cell r="C330">
            <v>688704.5454545453</v>
          </cell>
          <cell r="D330">
            <v>14838332.727272728</v>
          </cell>
        </row>
        <row r="331">
          <cell r="A331">
            <v>413611</v>
          </cell>
          <cell r="B331" t="str">
            <v>MM, LUMINO MANDIRI</v>
          </cell>
          <cell r="C331">
            <v>1765202.7272727271</v>
          </cell>
          <cell r="D331">
            <v>35827570.909090921</v>
          </cell>
        </row>
        <row r="332">
          <cell r="A332">
            <v>413615</v>
          </cell>
          <cell r="B332" t="str">
            <v>MISS GLAM LUBUK LINGGAU</v>
          </cell>
          <cell r="C332">
            <v>47175457.18181818</v>
          </cell>
        </row>
        <row r="333">
          <cell r="A333">
            <v>414506</v>
          </cell>
          <cell r="B333" t="str">
            <v>PINKI MART</v>
          </cell>
          <cell r="C333">
            <v>14026520.909090906</v>
          </cell>
          <cell r="D333">
            <v>1598400</v>
          </cell>
        </row>
        <row r="334">
          <cell r="A334">
            <v>414507</v>
          </cell>
          <cell r="B334" t="str">
            <v>PROMO MART</v>
          </cell>
          <cell r="C334">
            <v>133502.72727272726</v>
          </cell>
          <cell r="D334">
            <v>179063.18181818182</v>
          </cell>
        </row>
        <row r="335">
          <cell r="A335">
            <v>414509</v>
          </cell>
          <cell r="B335" t="str">
            <v>PELANGI KOSMETIK</v>
          </cell>
          <cell r="C335">
            <v>2073379.0909090911</v>
          </cell>
        </row>
        <row r="336">
          <cell r="A336">
            <v>415109</v>
          </cell>
          <cell r="B336" t="str">
            <v>RIEFIE STORE</v>
          </cell>
          <cell r="C336">
            <v>13022244.545454545</v>
          </cell>
          <cell r="D336">
            <v>1191878.1818181819</v>
          </cell>
        </row>
        <row r="337">
          <cell r="A337">
            <v>415110</v>
          </cell>
          <cell r="B337" t="str">
            <v>ROSE KOSMETIK</v>
          </cell>
          <cell r="C337">
            <v>12489478.636363637</v>
          </cell>
          <cell r="D337">
            <v>423818.18181818177</v>
          </cell>
        </row>
        <row r="338">
          <cell r="A338">
            <v>415112</v>
          </cell>
          <cell r="B338" t="str">
            <v>MM, AYU</v>
          </cell>
          <cell r="C338">
            <v>2452773.5454545449</v>
          </cell>
          <cell r="D338">
            <v>380174.99999999994</v>
          </cell>
        </row>
        <row r="339">
          <cell r="A339" t="str">
            <v>130-002191</v>
          </cell>
          <cell r="B339" t="str">
            <v>MM. AYU</v>
          </cell>
          <cell r="C339">
            <v>1378707.7272727273</v>
          </cell>
          <cell r="D339">
            <v>23936967.272727281</v>
          </cell>
        </row>
        <row r="340">
          <cell r="A340">
            <v>415403</v>
          </cell>
          <cell r="B340" t="str">
            <v>SHERLY</v>
          </cell>
          <cell r="C340">
            <v>9080444.3181818146</v>
          </cell>
          <cell r="D340">
            <v>10224916.363636367</v>
          </cell>
        </row>
        <row r="341">
          <cell r="A341">
            <v>415413</v>
          </cell>
          <cell r="B341" t="str">
            <v>SUBUR LESTARI MART</v>
          </cell>
          <cell r="C341">
            <v>240795</v>
          </cell>
          <cell r="D341">
            <v>5511847.2272727285</v>
          </cell>
        </row>
        <row r="342">
          <cell r="A342">
            <v>415718</v>
          </cell>
          <cell r="B342" t="str">
            <v>TOKO FAIRUZ</v>
          </cell>
          <cell r="C342">
            <v>794633.18181818188</v>
          </cell>
        </row>
        <row r="343">
          <cell r="A343">
            <v>415724</v>
          </cell>
          <cell r="B343" t="str">
            <v>TRI MART II ,L</v>
          </cell>
          <cell r="C343">
            <v>569884.09090909082</v>
          </cell>
          <cell r="D343">
            <v>1019945.4545454546</v>
          </cell>
        </row>
        <row r="344">
          <cell r="A344">
            <v>415725</v>
          </cell>
          <cell r="B344" t="str">
            <v>TRI MART III ,L</v>
          </cell>
          <cell r="C344">
            <v>325507.50000000006</v>
          </cell>
          <cell r="D344">
            <v>3607470</v>
          </cell>
        </row>
        <row r="345">
          <cell r="A345">
            <v>415726</v>
          </cell>
          <cell r="B345" t="str">
            <v>TOKO AULIA TERUSAN</v>
          </cell>
          <cell r="C345">
            <v>1149938.1818181819</v>
          </cell>
        </row>
        <row r="346">
          <cell r="A346">
            <v>415735</v>
          </cell>
          <cell r="B346" t="str">
            <v>TOKO OBAT SEDERHANA</v>
          </cell>
          <cell r="C346">
            <v>13024688.181818189</v>
          </cell>
          <cell r="D346">
            <v>3610770</v>
          </cell>
        </row>
        <row r="347">
          <cell r="A347">
            <v>415739</v>
          </cell>
          <cell r="B347" t="str">
            <v>TOKO DUTA</v>
          </cell>
          <cell r="C347">
            <v>111252.27272727275</v>
          </cell>
          <cell r="D347">
            <v>1495462.5</v>
          </cell>
        </row>
        <row r="348">
          <cell r="A348">
            <v>415741</v>
          </cell>
          <cell r="B348" t="str">
            <v>TOKO TETEH EDWIN</v>
          </cell>
          <cell r="C348">
            <v>62119.636363636368</v>
          </cell>
        </row>
        <row r="349">
          <cell r="A349">
            <v>416603</v>
          </cell>
          <cell r="B349" t="str">
            <v>WINDA COSMETIC</v>
          </cell>
          <cell r="C349">
            <v>16268082.954545459</v>
          </cell>
          <cell r="D349">
            <v>-143038.63636363635</v>
          </cell>
        </row>
        <row r="350">
          <cell r="A350">
            <v>416604</v>
          </cell>
          <cell r="B350" t="str">
            <v>WITRI KANVAS</v>
          </cell>
          <cell r="C350">
            <v>439560</v>
          </cell>
        </row>
        <row r="351">
          <cell r="A351">
            <v>420001</v>
          </cell>
          <cell r="B351" t="str">
            <v>ANEKA RASA P N D</v>
          </cell>
          <cell r="C351">
            <v>9277480.9090909101</v>
          </cell>
          <cell r="D351">
            <v>51310419.545454547</v>
          </cell>
        </row>
        <row r="352">
          <cell r="A352">
            <v>420002</v>
          </cell>
          <cell r="B352" t="str">
            <v>APOTEK TANJUNG FARMA</v>
          </cell>
          <cell r="C352">
            <v>-150000</v>
          </cell>
          <cell r="D352">
            <v>250000</v>
          </cell>
        </row>
        <row r="353">
          <cell r="A353">
            <v>420017</v>
          </cell>
          <cell r="B353" t="str">
            <v>APOTEK MURAL FARMA</v>
          </cell>
          <cell r="C353">
            <v>114430.9090909091</v>
          </cell>
        </row>
        <row r="354">
          <cell r="A354">
            <v>424400</v>
          </cell>
          <cell r="B354" t="str">
            <v>NAURA KOSMETIK</v>
          </cell>
          <cell r="C354">
            <v>15335374.500000002</v>
          </cell>
        </row>
        <row r="355">
          <cell r="A355">
            <v>430016</v>
          </cell>
          <cell r="B355" t="str">
            <v>APOTIK CARNI SEHAT</v>
          </cell>
          <cell r="C355">
            <v>4073453.4090909092</v>
          </cell>
          <cell r="D355">
            <v>617836.36363636365</v>
          </cell>
        </row>
        <row r="356">
          <cell r="A356">
            <v>435901</v>
          </cell>
          <cell r="B356" t="str">
            <v>TOKO I JOANA KOSMETIK</v>
          </cell>
          <cell r="C356">
            <v>10971316.363636361</v>
          </cell>
        </row>
        <row r="357">
          <cell r="A357">
            <v>505600</v>
          </cell>
          <cell r="B357" t="str">
            <v>TOKO YUSUF</v>
          </cell>
          <cell r="C357">
            <v>133200.00000000003</v>
          </cell>
          <cell r="D357">
            <v>55639823.636363633</v>
          </cell>
        </row>
        <row r="358">
          <cell r="A358">
            <v>512103</v>
          </cell>
          <cell r="B358" t="str">
            <v>HARUM, TK</v>
          </cell>
          <cell r="C358">
            <v>3536156.7272727271</v>
          </cell>
          <cell r="D358">
            <v>3272347.9545454537</v>
          </cell>
        </row>
        <row r="359">
          <cell r="A359">
            <v>513303</v>
          </cell>
          <cell r="B359" t="str">
            <v>LANCAR ABADI</v>
          </cell>
          <cell r="C359">
            <v>2210868.4545454541</v>
          </cell>
          <cell r="D359">
            <v>397329.54545454547</v>
          </cell>
        </row>
        <row r="360">
          <cell r="A360">
            <v>520602</v>
          </cell>
          <cell r="B360" t="str">
            <v>CANTIK MM</v>
          </cell>
          <cell r="C360">
            <v>4309664.3181818184</v>
          </cell>
        </row>
        <row r="361">
          <cell r="A361">
            <v>530000</v>
          </cell>
          <cell r="B361" t="str">
            <v>A &amp; N</v>
          </cell>
          <cell r="C361">
            <v>317863.63636363635</v>
          </cell>
        </row>
        <row r="362">
          <cell r="A362" t="str">
            <v>130-002354</v>
          </cell>
          <cell r="B362" t="str">
            <v>A N N</v>
          </cell>
          <cell r="C362">
            <v>1228298.1818181816</v>
          </cell>
          <cell r="D362">
            <v>3561917.7272727257</v>
          </cell>
        </row>
        <row r="363">
          <cell r="A363">
            <v>530016</v>
          </cell>
          <cell r="B363" t="str">
            <v>ANTON WIJAYA</v>
          </cell>
          <cell r="C363">
            <v>1527966.1363636365</v>
          </cell>
          <cell r="D363">
            <v>2466420.0000000005</v>
          </cell>
        </row>
        <row r="364">
          <cell r="A364">
            <v>532400</v>
          </cell>
          <cell r="B364" t="str">
            <v>ISMET</v>
          </cell>
          <cell r="C364">
            <v>8948093.9090909082</v>
          </cell>
          <cell r="D364">
            <v>2210242.6363636362</v>
          </cell>
        </row>
        <row r="365">
          <cell r="A365">
            <v>533612</v>
          </cell>
          <cell r="B365" t="str">
            <v>SS MART</v>
          </cell>
          <cell r="C365">
            <v>562418.18181818177</v>
          </cell>
        </row>
        <row r="366">
          <cell r="A366">
            <v>533613</v>
          </cell>
          <cell r="B366" t="str">
            <v>MM JM</v>
          </cell>
          <cell r="C366">
            <v>259200</v>
          </cell>
          <cell r="D366">
            <v>4476485.8636363624</v>
          </cell>
        </row>
        <row r="367">
          <cell r="A367">
            <v>535407</v>
          </cell>
          <cell r="B367" t="str">
            <v>YEARSS MART</v>
          </cell>
          <cell r="C367">
            <v>1232738.1818181816</v>
          </cell>
        </row>
        <row r="368">
          <cell r="A368">
            <v>541200</v>
          </cell>
          <cell r="B368" t="str">
            <v>FARID COSMETIK SHOP</v>
          </cell>
          <cell r="C368">
            <v>799200.00000000023</v>
          </cell>
          <cell r="D368">
            <v>372300</v>
          </cell>
        </row>
        <row r="369">
          <cell r="A369">
            <v>542402</v>
          </cell>
          <cell r="B369" t="str">
            <v>IIK (MURNI)</v>
          </cell>
          <cell r="C369">
            <v>168000</v>
          </cell>
          <cell r="D369">
            <v>2729651.5909090908</v>
          </cell>
        </row>
        <row r="370">
          <cell r="A370">
            <v>543609</v>
          </cell>
          <cell r="B370" t="str">
            <v>MM 69</v>
          </cell>
          <cell r="C370">
            <v>5783767.5</v>
          </cell>
          <cell r="D370">
            <v>30913734.545454547</v>
          </cell>
        </row>
        <row r="371">
          <cell r="A371">
            <v>550301</v>
          </cell>
          <cell r="B371" t="str">
            <v>EKO</v>
          </cell>
          <cell r="C371">
            <v>2066400</v>
          </cell>
        </row>
        <row r="372">
          <cell r="A372">
            <v>555107</v>
          </cell>
          <cell r="B372" t="str">
            <v>ROKI,TK</v>
          </cell>
          <cell r="C372">
            <v>1608425</v>
          </cell>
        </row>
        <row r="373">
          <cell r="A373">
            <v>555402</v>
          </cell>
          <cell r="B373" t="str">
            <v>SUPARDI</v>
          </cell>
          <cell r="C373">
            <v>92710.227272727279</v>
          </cell>
        </row>
        <row r="374">
          <cell r="A374">
            <v>555406</v>
          </cell>
          <cell r="B374" t="str">
            <v>SARI TONI KOSMETIK</v>
          </cell>
          <cell r="C374">
            <v>15498762.272727279</v>
          </cell>
        </row>
        <row r="375">
          <cell r="A375">
            <v>556004</v>
          </cell>
          <cell r="B375" t="str">
            <v>UJU,TK</v>
          </cell>
          <cell r="C375">
            <v>370840.90909090912</v>
          </cell>
          <cell r="D375">
            <v>-79465.909090909088</v>
          </cell>
        </row>
        <row r="376">
          <cell r="A376">
            <v>560912</v>
          </cell>
          <cell r="B376" t="str">
            <v>DODO</v>
          </cell>
          <cell r="C376">
            <v>1443000.0000000002</v>
          </cell>
        </row>
        <row r="377">
          <cell r="A377">
            <v>562702</v>
          </cell>
          <cell r="B377" t="str">
            <v>JAUHARI</v>
          </cell>
          <cell r="C377">
            <v>756000</v>
          </cell>
        </row>
        <row r="378">
          <cell r="A378">
            <v>563300</v>
          </cell>
          <cell r="B378" t="str">
            <v>LIKA KOSMETIK</v>
          </cell>
          <cell r="C378">
            <v>-5106252.2727272734</v>
          </cell>
          <cell r="D378">
            <v>943449.54545454541</v>
          </cell>
        </row>
        <row r="379">
          <cell r="A379">
            <v>563617</v>
          </cell>
          <cell r="B379" t="str">
            <v>MARZUKI</v>
          </cell>
          <cell r="C379">
            <v>4242722.7272727266</v>
          </cell>
          <cell r="D379">
            <v>496840.90909090906</v>
          </cell>
        </row>
        <row r="380">
          <cell r="A380">
            <v>563620</v>
          </cell>
          <cell r="B380" t="str">
            <v>MARSYA MART</v>
          </cell>
          <cell r="C380">
            <v>3763423.2727272725</v>
          </cell>
          <cell r="D380">
            <v>1922483.1818181821</v>
          </cell>
        </row>
        <row r="381">
          <cell r="A381">
            <v>565423</v>
          </cell>
          <cell r="B381" t="str">
            <v>SHELLI KOSMETIK</v>
          </cell>
          <cell r="C381">
            <v>7065116.8181818184</v>
          </cell>
          <cell r="D381">
            <v>546725.45454545447</v>
          </cell>
        </row>
        <row r="382">
          <cell r="A382">
            <v>572110</v>
          </cell>
          <cell r="B382" t="str">
            <v>HOLIDI</v>
          </cell>
          <cell r="C382">
            <v>3918955.9090909082</v>
          </cell>
          <cell r="D382">
            <v>486818.18181818177</v>
          </cell>
        </row>
        <row r="383">
          <cell r="A383">
            <v>573916</v>
          </cell>
          <cell r="B383" t="str">
            <v>NINDI KOSMETIK</v>
          </cell>
          <cell r="C383">
            <v>14374272.272727275</v>
          </cell>
        </row>
        <row r="384">
          <cell r="A384">
            <v>580048</v>
          </cell>
          <cell r="B384" t="str">
            <v>ASWANDI</v>
          </cell>
          <cell r="C384">
            <v>573214.09090909082</v>
          </cell>
        </row>
        <row r="385">
          <cell r="A385">
            <v>580069</v>
          </cell>
          <cell r="B385" t="str">
            <v>AGUM MEDIKA FARMA</v>
          </cell>
          <cell r="C385">
            <v>2898222.2727272725</v>
          </cell>
          <cell r="D385">
            <v>18052221.81818182</v>
          </cell>
        </row>
        <row r="386">
          <cell r="A386">
            <v>580307</v>
          </cell>
          <cell r="B386" t="str">
            <v>BUNDA KIDS</v>
          </cell>
          <cell r="C386">
            <v>1208436.8181818181</v>
          </cell>
          <cell r="D386">
            <v>766505.45454545447</v>
          </cell>
        </row>
        <row r="387">
          <cell r="A387">
            <v>580344</v>
          </cell>
          <cell r="B387" t="str">
            <v>BOS RADEN</v>
          </cell>
          <cell r="C387">
            <v>500256.81818181812</v>
          </cell>
        </row>
        <row r="388">
          <cell r="A388">
            <v>580612</v>
          </cell>
          <cell r="B388" t="str">
            <v>CC KOSMETIK</v>
          </cell>
          <cell r="C388">
            <v>2307675</v>
          </cell>
          <cell r="D388">
            <v>3661183.6363636358</v>
          </cell>
        </row>
        <row r="389">
          <cell r="A389">
            <v>580917</v>
          </cell>
          <cell r="B389" t="str">
            <v>DIVA DEVA</v>
          </cell>
          <cell r="C389">
            <v>5277656.9090909101</v>
          </cell>
          <cell r="D389">
            <v>1871969.3181818181</v>
          </cell>
        </row>
        <row r="390">
          <cell r="A390">
            <v>581808</v>
          </cell>
          <cell r="B390" t="str">
            <v>GADO GADO COSMETIK</v>
          </cell>
          <cell r="C390">
            <v>138672621.33227262</v>
          </cell>
          <cell r="D390">
            <v>2971920</v>
          </cell>
        </row>
        <row r="391">
          <cell r="A391">
            <v>583010</v>
          </cell>
          <cell r="B391" t="str">
            <v>KARISMA KOSMETIK</v>
          </cell>
          <cell r="C391">
            <v>6312834</v>
          </cell>
          <cell r="D391">
            <v>1297941.8181818184</v>
          </cell>
        </row>
        <row r="392">
          <cell r="A392">
            <v>583610</v>
          </cell>
          <cell r="B392" t="str">
            <v>MAHARANI</v>
          </cell>
          <cell r="C392">
            <v>2146955.6504545454</v>
          </cell>
        </row>
        <row r="393">
          <cell r="A393">
            <v>583621</v>
          </cell>
          <cell r="B393" t="str">
            <v>MASTENG</v>
          </cell>
          <cell r="C393">
            <v>14947662.272727273</v>
          </cell>
        </row>
        <row r="394">
          <cell r="A394">
            <v>584514</v>
          </cell>
          <cell r="B394" t="str">
            <v>PRISCILA</v>
          </cell>
          <cell r="C394">
            <v>344352.27272727271</v>
          </cell>
          <cell r="D394">
            <v>2448776.3636363638</v>
          </cell>
        </row>
        <row r="395">
          <cell r="A395">
            <v>584519</v>
          </cell>
          <cell r="B395" t="str">
            <v>PIALA MM</v>
          </cell>
          <cell r="C395">
            <v>231954.54545454544</v>
          </cell>
          <cell r="D395">
            <v>6980089.0909090899</v>
          </cell>
        </row>
        <row r="396">
          <cell r="A396">
            <v>585143</v>
          </cell>
          <cell r="B396" t="str">
            <v>RUMAH PELANGI</v>
          </cell>
          <cell r="C396">
            <v>4359128.5909090908</v>
          </cell>
          <cell r="D396">
            <v>5085601.3636363633</v>
          </cell>
        </row>
        <row r="397">
          <cell r="A397">
            <v>585437</v>
          </cell>
          <cell r="B397" t="str">
            <v>SAFIRAH</v>
          </cell>
          <cell r="C397">
            <v>11453029.706363633</v>
          </cell>
          <cell r="D397">
            <v>55626.136363636375</v>
          </cell>
        </row>
        <row r="398">
          <cell r="A398">
            <v>585710</v>
          </cell>
          <cell r="B398" t="str">
            <v>TOKO WIBOWO</v>
          </cell>
          <cell r="C398">
            <v>635727.27272727259</v>
          </cell>
          <cell r="D398">
            <v>13135386.818181822</v>
          </cell>
        </row>
        <row r="399">
          <cell r="A399">
            <v>590005</v>
          </cell>
          <cell r="B399" t="str">
            <v>AHMAD</v>
          </cell>
          <cell r="C399">
            <v>294149.81818181818</v>
          </cell>
          <cell r="D399">
            <v>1814226.2727272729</v>
          </cell>
        </row>
        <row r="400">
          <cell r="A400">
            <v>591201</v>
          </cell>
          <cell r="B400" t="str">
            <v>EDO CELL</v>
          </cell>
          <cell r="C400">
            <v>420340.68181818182</v>
          </cell>
          <cell r="D400">
            <v>845843.18181818177</v>
          </cell>
        </row>
        <row r="401">
          <cell r="A401">
            <v>593301</v>
          </cell>
          <cell r="B401" t="str">
            <v>MANZEL</v>
          </cell>
          <cell r="C401">
            <v>3304641.8181818188</v>
          </cell>
          <cell r="D401">
            <v>724509.09090909082</v>
          </cell>
        </row>
        <row r="402">
          <cell r="A402">
            <v>595401</v>
          </cell>
          <cell r="B402" t="str">
            <v>SALJU MERAPI II</v>
          </cell>
          <cell r="C402">
            <v>1456493.1818181819</v>
          </cell>
          <cell r="D402">
            <v>1099200</v>
          </cell>
        </row>
        <row r="403">
          <cell r="A403">
            <v>600100</v>
          </cell>
          <cell r="B403" t="str">
            <v>ALFA EXPRES</v>
          </cell>
          <cell r="C403">
            <v>44400.000000000007</v>
          </cell>
          <cell r="D403">
            <v>11110314.545454545</v>
          </cell>
        </row>
        <row r="404">
          <cell r="A404">
            <v>1100262</v>
          </cell>
          <cell r="B404" t="str">
            <v>MARULI FARMA</v>
          </cell>
          <cell r="C404">
            <v>2668301.8181818179</v>
          </cell>
          <cell r="D404">
            <v>517834.6922727272</v>
          </cell>
        </row>
        <row r="405">
          <cell r="A405">
            <v>1100264</v>
          </cell>
          <cell r="B405" t="str">
            <v>APT. AA MEDIKA</v>
          </cell>
          <cell r="C405">
            <v>-185420.45454545453</v>
          </cell>
          <cell r="D405">
            <v>-274909.09090909094</v>
          </cell>
        </row>
        <row r="406">
          <cell r="A406">
            <v>1102254</v>
          </cell>
          <cell r="B406" t="str">
            <v>ZEE FARMA</v>
          </cell>
          <cell r="C406">
            <v>-317863.63636363635</v>
          </cell>
          <cell r="D406">
            <v>438197.72727272764</v>
          </cell>
        </row>
        <row r="407">
          <cell r="A407">
            <v>1102256</v>
          </cell>
          <cell r="B407" t="str">
            <v>RAYYA KOSMETIK</v>
          </cell>
          <cell r="C407">
            <v>4181769.5454545463</v>
          </cell>
          <cell r="D407">
            <v>4177225.5000000005</v>
          </cell>
        </row>
        <row r="408">
          <cell r="A408">
            <v>1102257</v>
          </cell>
          <cell r="B408" t="str">
            <v>TOS TUJUH WARNA</v>
          </cell>
          <cell r="C408">
            <v>3496797.2727272715</v>
          </cell>
          <cell r="D408">
            <v>3303849.5454545449</v>
          </cell>
        </row>
        <row r="409">
          <cell r="A409">
            <v>1102276</v>
          </cell>
          <cell r="B409" t="str">
            <v>PN BABY SHOP</v>
          </cell>
          <cell r="C409">
            <v>5833100.5909090908</v>
          </cell>
          <cell r="D409">
            <v>12640624.909090914</v>
          </cell>
        </row>
        <row r="410">
          <cell r="A410">
            <v>1102309</v>
          </cell>
          <cell r="B410" t="str">
            <v>Apotek Bersama</v>
          </cell>
          <cell r="C410">
            <v>130929.54545454547</v>
          </cell>
          <cell r="D410">
            <v>271142.72727272724</v>
          </cell>
        </row>
        <row r="411">
          <cell r="A411">
            <v>1102404</v>
          </cell>
          <cell r="B411" t="str">
            <v>YUWAN FARMA</v>
          </cell>
          <cell r="C411">
            <v>-1113728.0454545454</v>
          </cell>
          <cell r="D411">
            <v>2860772.7272727266</v>
          </cell>
        </row>
        <row r="412">
          <cell r="A412">
            <v>1102414</v>
          </cell>
          <cell r="B412" t="str">
            <v>BEST COSMETIC</v>
          </cell>
          <cell r="C412">
            <v>24786147.272727266</v>
          </cell>
          <cell r="D412">
            <v>44063638.181818172</v>
          </cell>
        </row>
        <row r="413">
          <cell r="A413">
            <v>1102418</v>
          </cell>
          <cell r="B413" t="str">
            <v>DUTA SWALAYAN</v>
          </cell>
          <cell r="C413">
            <v>2268642.5454545463</v>
          </cell>
          <cell r="D413">
            <v>1495689.5454545452</v>
          </cell>
        </row>
        <row r="414">
          <cell r="A414">
            <v>1110024</v>
          </cell>
          <cell r="B414" t="str">
            <v>PT. HAWAI RITAILINDO</v>
          </cell>
          <cell r="C414">
            <v>11001833.181818184</v>
          </cell>
          <cell r="D414">
            <v>16594598.590909095</v>
          </cell>
        </row>
        <row r="415">
          <cell r="A415">
            <v>1110032</v>
          </cell>
          <cell r="B415" t="str">
            <v>PT. METRO ABADI SEMPURNA SEMESTA</v>
          </cell>
          <cell r="C415">
            <v>1880665.0909090908</v>
          </cell>
          <cell r="D415">
            <v>3878853.0000000014</v>
          </cell>
        </row>
        <row r="416">
          <cell r="A416">
            <v>1110036</v>
          </cell>
          <cell r="B416" t="str">
            <v>PT. PASAR BUAH 88</v>
          </cell>
          <cell r="C416">
            <v>2896737.9545454546</v>
          </cell>
          <cell r="D416">
            <v>3434274</v>
          </cell>
        </row>
        <row r="417">
          <cell r="A417">
            <v>1110042</v>
          </cell>
          <cell r="B417" t="str">
            <v>PT. DINAMIKA BUAH NUSANTARA</v>
          </cell>
          <cell r="C417">
            <v>8635858.0909090918</v>
          </cell>
          <cell r="D417">
            <v>5815463.1818181835</v>
          </cell>
        </row>
        <row r="418">
          <cell r="A418">
            <v>1120017</v>
          </cell>
          <cell r="B418" t="str">
            <v>CV. ERINA LESTARI</v>
          </cell>
          <cell r="C418">
            <v>600751.36363636365</v>
          </cell>
          <cell r="D418">
            <v>1235183.8636363633</v>
          </cell>
        </row>
        <row r="419">
          <cell r="A419">
            <v>1120030</v>
          </cell>
          <cell r="B419" t="str">
            <v>BUYUNG FAMILY</v>
          </cell>
          <cell r="C419">
            <v>-33600</v>
          </cell>
          <cell r="D419">
            <v>2359002.2727272725</v>
          </cell>
        </row>
        <row r="420">
          <cell r="A420">
            <v>1120032</v>
          </cell>
          <cell r="B420" t="str">
            <v>CV. CENDANA NIAGA PERSADA</v>
          </cell>
          <cell r="C420">
            <v>389929.90909090906</v>
          </cell>
          <cell r="D420">
            <v>831978.81818181812</v>
          </cell>
        </row>
        <row r="421">
          <cell r="A421">
            <v>1120039</v>
          </cell>
          <cell r="B421" t="str">
            <v>PT. DAILY SUKSES SEJAHTERA</v>
          </cell>
          <cell r="C421">
            <v>812931.81818181812</v>
          </cell>
          <cell r="D421">
            <v>1861906.5</v>
          </cell>
        </row>
        <row r="422">
          <cell r="A422">
            <v>1120053</v>
          </cell>
          <cell r="B422" t="str">
            <v>GALAXY SWLYN</v>
          </cell>
          <cell r="C422">
            <v>2878678.5454545459</v>
          </cell>
          <cell r="D422">
            <v>1803860.4545454544</v>
          </cell>
        </row>
        <row r="423">
          <cell r="A423">
            <v>1120062</v>
          </cell>
          <cell r="B423" t="str">
            <v>CV. TIGA M SUKSES ABADI</v>
          </cell>
          <cell r="C423">
            <v>393034.81818181812</v>
          </cell>
          <cell r="D423">
            <v>1482557.7272727271</v>
          </cell>
        </row>
        <row r="424">
          <cell r="A424">
            <v>1120064</v>
          </cell>
          <cell r="B424" t="str">
            <v>PLANET MART</v>
          </cell>
          <cell r="C424">
            <v>315475</v>
          </cell>
          <cell r="D424">
            <v>520168.63636363635</v>
          </cell>
        </row>
        <row r="425">
          <cell r="A425">
            <v>1120068</v>
          </cell>
          <cell r="B425" t="str">
            <v>CV. ERINA LESTARI</v>
          </cell>
          <cell r="C425">
            <v>306621.81818181823</v>
          </cell>
          <cell r="D425">
            <v>152760.68181818182</v>
          </cell>
        </row>
        <row r="426">
          <cell r="A426">
            <v>1120074</v>
          </cell>
          <cell r="B426" t="str">
            <v>JUMBO MART</v>
          </cell>
          <cell r="C426">
            <v>1109918.1818181816</v>
          </cell>
          <cell r="D426">
            <v>3522988.3636363638</v>
          </cell>
        </row>
        <row r="427">
          <cell r="A427">
            <v>1120075</v>
          </cell>
          <cell r="B427" t="str">
            <v>CV. TIGA M SUKSES ABADI</v>
          </cell>
          <cell r="C427">
            <v>639658.18181818177</v>
          </cell>
          <cell r="D427">
            <v>1637415.8181818181</v>
          </cell>
        </row>
        <row r="428">
          <cell r="A428">
            <v>1120114</v>
          </cell>
          <cell r="B428" t="str">
            <v>BERKAH MART</v>
          </cell>
          <cell r="C428">
            <v>756000</v>
          </cell>
          <cell r="D428">
            <v>6748632.2727272725</v>
          </cell>
        </row>
        <row r="429">
          <cell r="A429">
            <v>1120119</v>
          </cell>
          <cell r="B429" t="str">
            <v>MULIA MART</v>
          </cell>
          <cell r="C429">
            <v>987737.72727272729</v>
          </cell>
          <cell r="D429">
            <v>1570557.2727272727</v>
          </cell>
        </row>
        <row r="430">
          <cell r="A430">
            <v>1120133</v>
          </cell>
          <cell r="B430" t="str">
            <v>MULIA MART</v>
          </cell>
          <cell r="C430">
            <v>1676445.6818181819</v>
          </cell>
          <cell r="D430">
            <v>2893376.9545454551</v>
          </cell>
        </row>
        <row r="431">
          <cell r="A431">
            <v>1120179</v>
          </cell>
          <cell r="B431" t="str">
            <v>AMI SWALAYAN</v>
          </cell>
          <cell r="C431">
            <v>171646.36363636362</v>
          </cell>
          <cell r="D431">
            <v>3681884.3181818184</v>
          </cell>
        </row>
        <row r="432">
          <cell r="A432">
            <v>1120189</v>
          </cell>
          <cell r="B432" t="str">
            <v>CV. ERINA LESTARI</v>
          </cell>
          <cell r="C432">
            <v>172513.63636363635</v>
          </cell>
          <cell r="D432">
            <v>167917.5</v>
          </cell>
        </row>
        <row r="433">
          <cell r="A433">
            <v>1120248</v>
          </cell>
          <cell r="B433" t="str">
            <v>CV. TIGA M SUKSES ABADI</v>
          </cell>
          <cell r="C433">
            <v>503483.86363636365</v>
          </cell>
          <cell r="D433">
            <v>2232134.5454545454</v>
          </cell>
        </row>
        <row r="434">
          <cell r="A434">
            <v>1120254</v>
          </cell>
          <cell r="B434" t="str">
            <v>CV. TIGA M SUKSES ABADI</v>
          </cell>
          <cell r="C434">
            <v>2124373.0909090908</v>
          </cell>
          <cell r="D434">
            <v>7976091.2727272706</v>
          </cell>
        </row>
        <row r="435">
          <cell r="A435">
            <v>1122363</v>
          </cell>
          <cell r="B435" t="str">
            <v>AKAR SARI KODIM</v>
          </cell>
          <cell r="C435">
            <v>40297446.000000007</v>
          </cell>
          <cell r="D435">
            <v>149501305.4545455</v>
          </cell>
        </row>
        <row r="436">
          <cell r="A436">
            <v>1127603</v>
          </cell>
          <cell r="B436" t="str">
            <v>PLAZA MINI ARAFA MART 2</v>
          </cell>
          <cell r="C436">
            <v>2215968</v>
          </cell>
          <cell r="D436">
            <v>2915494.0909090908</v>
          </cell>
        </row>
        <row r="437">
          <cell r="A437">
            <v>1127698</v>
          </cell>
          <cell r="B437" t="str">
            <v>ANGKASA MART 7</v>
          </cell>
          <cell r="C437">
            <v>142271.18181818182</v>
          </cell>
          <cell r="D437">
            <v>169742.04545454547</v>
          </cell>
        </row>
        <row r="438">
          <cell r="A438">
            <v>1130011</v>
          </cell>
          <cell r="B438" t="str">
            <v>APOTIK PERKASA</v>
          </cell>
          <cell r="C438">
            <v>174847260.45454538</v>
          </cell>
          <cell r="D438">
            <v>106430203.63636358</v>
          </cell>
        </row>
        <row r="439">
          <cell r="A439">
            <v>1130012</v>
          </cell>
          <cell r="B439" t="str">
            <v>MILLION JAYA</v>
          </cell>
          <cell r="C439">
            <v>896965.72727272729</v>
          </cell>
          <cell r="D439">
            <v>1356077.9545454551</v>
          </cell>
        </row>
        <row r="440">
          <cell r="A440">
            <v>1130089</v>
          </cell>
          <cell r="B440" t="str">
            <v>PUTRA AMD</v>
          </cell>
          <cell r="C440">
            <v>19837465.90909091</v>
          </cell>
          <cell r="D440">
            <v>5414.590909090879</v>
          </cell>
        </row>
        <row r="441">
          <cell r="A441">
            <v>1130097</v>
          </cell>
          <cell r="B441" t="str">
            <v>APT. KASIH IBU</v>
          </cell>
          <cell r="C441">
            <v>2340043.6363636362</v>
          </cell>
          <cell r="D441">
            <v>3428443.7727272739</v>
          </cell>
        </row>
        <row r="442">
          <cell r="A442">
            <v>1137573</v>
          </cell>
          <cell r="B442" t="str">
            <v>UD. GLOBAL MANDIRI PKU</v>
          </cell>
          <cell r="C442">
            <v>231207.95454545453</v>
          </cell>
          <cell r="D442">
            <v>1300383.5909090908</v>
          </cell>
        </row>
        <row r="443">
          <cell r="A443">
            <v>1140797</v>
          </cell>
          <cell r="B443" t="str">
            <v>GLORIS</v>
          </cell>
          <cell r="C443">
            <v>-8325.0000000000018</v>
          </cell>
          <cell r="D443">
            <v>-425937.27272727271</v>
          </cell>
        </row>
        <row r="444">
          <cell r="A444">
            <v>1141140</v>
          </cell>
          <cell r="B444" t="str">
            <v>KULIM FARMA</v>
          </cell>
          <cell r="C444">
            <v>63000</v>
          </cell>
          <cell r="D444">
            <v>135454.54545454547</v>
          </cell>
        </row>
        <row r="445">
          <cell r="A445">
            <v>1141339</v>
          </cell>
          <cell r="B445" t="str">
            <v>ANGKASA MART</v>
          </cell>
          <cell r="C445">
            <v>184177.63636363635</v>
          </cell>
          <cell r="D445">
            <v>177396.54545454547</v>
          </cell>
        </row>
        <row r="446">
          <cell r="A446">
            <v>1141543</v>
          </cell>
          <cell r="B446" t="str">
            <v>TK. SEMANGAT BARU</v>
          </cell>
          <cell r="C446">
            <v>1028127.2727272727</v>
          </cell>
          <cell r="D446">
            <v>10386349.090909092</v>
          </cell>
        </row>
        <row r="447">
          <cell r="A447">
            <v>1141736</v>
          </cell>
          <cell r="B447" t="str">
            <v>RANGGON JAYA</v>
          </cell>
          <cell r="C447">
            <v>862527.27272727271</v>
          </cell>
          <cell r="D447">
            <v>-851845.90909090906</v>
          </cell>
        </row>
        <row r="448">
          <cell r="A448">
            <v>1142568</v>
          </cell>
          <cell r="B448" t="str">
            <v>TK. UMAIROH</v>
          </cell>
          <cell r="C448">
            <v>-166496.59090909091</v>
          </cell>
          <cell r="D448">
            <v>66600</v>
          </cell>
        </row>
        <row r="449">
          <cell r="A449">
            <v>1142609</v>
          </cell>
          <cell r="B449" t="str">
            <v>777 SWALAYAN</v>
          </cell>
          <cell r="C449">
            <v>243919.31818181818</v>
          </cell>
          <cell r="D449">
            <v>180515.45454545456</v>
          </cell>
        </row>
        <row r="450">
          <cell r="A450">
            <v>1142611</v>
          </cell>
          <cell r="B450" t="str">
            <v>JASO BUNDO</v>
          </cell>
          <cell r="C450">
            <v>2824944.5454545449</v>
          </cell>
          <cell r="D450">
            <v>6292341.9090909092</v>
          </cell>
        </row>
        <row r="451">
          <cell r="A451">
            <v>1142634</v>
          </cell>
          <cell r="B451" t="str">
            <v>NAIRA MART</v>
          </cell>
          <cell r="C451">
            <v>169742.04545454547</v>
          </cell>
          <cell r="D451">
            <v>176680.63636363635</v>
          </cell>
        </row>
        <row r="452">
          <cell r="A452">
            <v>1142870</v>
          </cell>
          <cell r="B452" t="str">
            <v>RAHMAN</v>
          </cell>
          <cell r="C452">
            <v>74622.272727272735</v>
          </cell>
          <cell r="D452">
            <v>688704.54545454634</v>
          </cell>
        </row>
        <row r="453">
          <cell r="A453">
            <v>1143154</v>
          </cell>
          <cell r="B453" t="str">
            <v>CV. SEMBILAN SEMBILAN</v>
          </cell>
          <cell r="C453">
            <v>16574661.000000007</v>
          </cell>
          <cell r="D453">
            <v>21462222.000000007</v>
          </cell>
        </row>
        <row r="454">
          <cell r="A454">
            <v>1143166</v>
          </cell>
          <cell r="B454" t="str">
            <v>AR RAFA MART</v>
          </cell>
          <cell r="C454">
            <v>4679161.3636363624</v>
          </cell>
          <cell r="D454">
            <v>6577892.1818181826</v>
          </cell>
        </row>
        <row r="455">
          <cell r="A455">
            <v>1143242</v>
          </cell>
          <cell r="B455" t="str">
            <v>MASRAN</v>
          </cell>
          <cell r="C455">
            <v>876872.04545454553</v>
          </cell>
          <cell r="D455">
            <v>999284.31818181812</v>
          </cell>
        </row>
        <row r="456">
          <cell r="A456">
            <v>1144016</v>
          </cell>
          <cell r="B456" t="str">
            <v>ARUNA JAYA</v>
          </cell>
          <cell r="C456">
            <v>-395400</v>
          </cell>
        </row>
        <row r="457">
          <cell r="A457">
            <v>1144077</v>
          </cell>
          <cell r="B457" t="str">
            <v>TO. MODIS</v>
          </cell>
          <cell r="C457">
            <v>81906729.545454532</v>
          </cell>
          <cell r="D457">
            <v>26843000.000000004</v>
          </cell>
        </row>
        <row r="458">
          <cell r="A458">
            <v>1145615</v>
          </cell>
          <cell r="B458" t="str">
            <v>TK. PIO</v>
          </cell>
          <cell r="C458">
            <v>8568088.3636363652</v>
          </cell>
        </row>
        <row r="459">
          <cell r="A459">
            <v>1145678</v>
          </cell>
          <cell r="B459" t="str">
            <v>MARTUNAS BARU</v>
          </cell>
          <cell r="C459">
            <v>-2018790.2727272729</v>
          </cell>
          <cell r="D459">
            <v>480926.36363636405</v>
          </cell>
        </row>
        <row r="460">
          <cell r="A460">
            <v>1146375</v>
          </cell>
          <cell r="B460" t="str">
            <v>APT. SAHABAT SEHAT</v>
          </cell>
          <cell r="C460">
            <v>-196000</v>
          </cell>
          <cell r="D460">
            <v>125001.13636363638</v>
          </cell>
        </row>
        <row r="461">
          <cell r="A461">
            <v>1146493</v>
          </cell>
          <cell r="B461" t="str">
            <v>NADIA AISYAH</v>
          </cell>
          <cell r="C461">
            <v>606816.81818181823</v>
          </cell>
          <cell r="D461">
            <v>112312174.99999996</v>
          </cell>
        </row>
        <row r="462">
          <cell r="A462">
            <v>1146516</v>
          </cell>
          <cell r="B462" t="str">
            <v>ZANAFA MART</v>
          </cell>
          <cell r="C462">
            <v>173729.31818181818</v>
          </cell>
          <cell r="D462">
            <v>341036.59090909094</v>
          </cell>
        </row>
        <row r="463">
          <cell r="A463">
            <v>1147602</v>
          </cell>
          <cell r="B463" t="str">
            <v>TO. PASIR PUTIH</v>
          </cell>
          <cell r="C463">
            <v>742772.72727272718</v>
          </cell>
          <cell r="D463">
            <v>150354.54545454559</v>
          </cell>
        </row>
        <row r="464">
          <cell r="A464">
            <v>1147858</v>
          </cell>
          <cell r="B464" t="str">
            <v>FORTUNE</v>
          </cell>
          <cell r="C464">
            <v>783231.13636363635</v>
          </cell>
          <cell r="D464">
            <v>878889.54545454541</v>
          </cell>
        </row>
        <row r="465">
          <cell r="A465">
            <v>1147986</v>
          </cell>
          <cell r="B465" t="str">
            <v>ORI MART</v>
          </cell>
          <cell r="C465">
            <v>847636.36363636341</v>
          </cell>
          <cell r="D465">
            <v>-79465.909090909088</v>
          </cell>
        </row>
        <row r="466">
          <cell r="A466">
            <v>1148544</v>
          </cell>
          <cell r="B466" t="str">
            <v>KELUARGA KITA SWALAYAN</v>
          </cell>
          <cell r="C466">
            <v>199800.00000000006</v>
          </cell>
          <cell r="D466">
            <v>199800.00000000006</v>
          </cell>
        </row>
        <row r="467">
          <cell r="A467">
            <v>1148728</v>
          </cell>
          <cell r="B467" t="str">
            <v>TO. AZIMA FARMA</v>
          </cell>
          <cell r="C467">
            <v>344352.27272727265</v>
          </cell>
        </row>
        <row r="468">
          <cell r="A468">
            <v>1148818</v>
          </cell>
          <cell r="B468" t="str">
            <v>SUKA MARGANA</v>
          </cell>
          <cell r="C468">
            <v>1981501.3636363635</v>
          </cell>
          <cell r="D468">
            <v>1893894.5454545454</v>
          </cell>
        </row>
        <row r="469">
          <cell r="A469">
            <v>1150013</v>
          </cell>
          <cell r="B469" t="str">
            <v>AKAR SARI</v>
          </cell>
          <cell r="C469">
            <v>191580139.22727278</v>
          </cell>
        </row>
        <row r="470">
          <cell r="A470">
            <v>1150016</v>
          </cell>
          <cell r="B470" t="str">
            <v>APT. ANDALAN</v>
          </cell>
          <cell r="C470">
            <v>-1232440.0454545454</v>
          </cell>
          <cell r="D470">
            <v>790200</v>
          </cell>
        </row>
        <row r="471">
          <cell r="A471">
            <v>1150017</v>
          </cell>
          <cell r="B471" t="str">
            <v>ANUGERAH COS</v>
          </cell>
          <cell r="C471">
            <v>-1456067.5000000002</v>
          </cell>
          <cell r="D471">
            <v>1387613.1818181826</v>
          </cell>
        </row>
        <row r="472">
          <cell r="A472">
            <v>1150036</v>
          </cell>
          <cell r="B472" t="str">
            <v>APT. AZIMA FARMA</v>
          </cell>
          <cell r="C472">
            <v>831262.27272727271</v>
          </cell>
          <cell r="D472">
            <v>25075685.454545461</v>
          </cell>
        </row>
        <row r="473">
          <cell r="A473">
            <v>1150052</v>
          </cell>
          <cell r="B473" t="str">
            <v>APT. FAJAR MAS</v>
          </cell>
          <cell r="C473">
            <v>340870.90909090906</v>
          </cell>
          <cell r="D473">
            <v>159688.63636363641</v>
          </cell>
        </row>
        <row r="474">
          <cell r="A474">
            <v>1150053</v>
          </cell>
          <cell r="B474" t="str">
            <v>APT. FARMASIA</v>
          </cell>
          <cell r="C474">
            <v>1112070.8181818181</v>
          </cell>
          <cell r="D474">
            <v>1504883.2272727273</v>
          </cell>
        </row>
        <row r="475">
          <cell r="A475">
            <v>1150059</v>
          </cell>
          <cell r="B475" t="str">
            <v>APT. HIJRAH MULIA</v>
          </cell>
          <cell r="C475">
            <v>394150.90909090906</v>
          </cell>
          <cell r="D475">
            <v>5313114.3181818202</v>
          </cell>
        </row>
        <row r="476">
          <cell r="A476">
            <v>1150062</v>
          </cell>
          <cell r="B476" t="str">
            <v>APT. KERETA API</v>
          </cell>
          <cell r="C476">
            <v>-185861.93181818182</v>
          </cell>
          <cell r="D476">
            <v>3511620.9090909087</v>
          </cell>
        </row>
        <row r="477">
          <cell r="A477">
            <v>1150099</v>
          </cell>
          <cell r="B477" t="str">
            <v>FATHAN COSMETIC</v>
          </cell>
          <cell r="C477">
            <v>-20970500</v>
          </cell>
          <cell r="D477">
            <v>4076950.9090909087</v>
          </cell>
        </row>
        <row r="478">
          <cell r="A478">
            <v>1150111</v>
          </cell>
          <cell r="B478" t="str">
            <v>POINT COSMETIC CENTER</v>
          </cell>
          <cell r="C478">
            <v>-250052.72727272724</v>
          </cell>
          <cell r="D478">
            <v>8123848.1818181844</v>
          </cell>
        </row>
        <row r="479">
          <cell r="A479">
            <v>1150112</v>
          </cell>
          <cell r="B479" t="str">
            <v>CENTRAL COSMETIC</v>
          </cell>
          <cell r="C479">
            <v>-415800</v>
          </cell>
          <cell r="D479">
            <v>-847919.00000000012</v>
          </cell>
        </row>
        <row r="480">
          <cell r="A480">
            <v>1150119</v>
          </cell>
          <cell r="B480" t="str">
            <v>ROMAN FARMA</v>
          </cell>
          <cell r="C480">
            <v>-280000</v>
          </cell>
          <cell r="D480">
            <v>1340649.5454545454</v>
          </cell>
        </row>
        <row r="481">
          <cell r="A481">
            <v>1150147</v>
          </cell>
          <cell r="B481" t="str">
            <v>TO. DELIMA</v>
          </cell>
          <cell r="C481">
            <v>-167408.18181818182</v>
          </cell>
        </row>
        <row r="482">
          <cell r="A482">
            <v>1150149</v>
          </cell>
          <cell r="B482" t="str">
            <v>TO. DIAN</v>
          </cell>
          <cell r="C482">
            <v>-228861.81818181821</v>
          </cell>
          <cell r="D482">
            <v>54989179.090909094</v>
          </cell>
        </row>
        <row r="483">
          <cell r="A483">
            <v>1150152</v>
          </cell>
          <cell r="B483" t="str">
            <v>TO. FACHRI</v>
          </cell>
          <cell r="C483">
            <v>-541527.72727272729</v>
          </cell>
          <cell r="D483">
            <v>2985820.7272727266</v>
          </cell>
        </row>
        <row r="484">
          <cell r="A484">
            <v>1150156</v>
          </cell>
          <cell r="B484" t="str">
            <v>TO. INGIN SEHAT</v>
          </cell>
          <cell r="C484">
            <v>-228861.81818181821</v>
          </cell>
          <cell r="D484">
            <v>2530088.6363636367</v>
          </cell>
        </row>
        <row r="485">
          <cell r="A485">
            <v>1150158</v>
          </cell>
          <cell r="B485" t="str">
            <v>TO. KASIH IBU</v>
          </cell>
          <cell r="C485">
            <v>-745428.63636363647</v>
          </cell>
          <cell r="D485">
            <v>6233528.6363636376</v>
          </cell>
        </row>
        <row r="486">
          <cell r="A486">
            <v>1150174</v>
          </cell>
          <cell r="B486" t="str">
            <v>TO. SARI BERKAH</v>
          </cell>
          <cell r="C486">
            <v>211084.09090909091</v>
          </cell>
          <cell r="D486">
            <v>76287.272727272793</v>
          </cell>
        </row>
        <row r="487">
          <cell r="A487">
            <v>1150176</v>
          </cell>
          <cell r="B487" t="str">
            <v>TO. SENTRAL SEHAT</v>
          </cell>
          <cell r="C487">
            <v>-169035.34090909091</v>
          </cell>
          <cell r="D487">
            <v>213876314.36363599</v>
          </cell>
        </row>
        <row r="488">
          <cell r="A488">
            <v>1150181</v>
          </cell>
          <cell r="B488" t="str">
            <v>TO. TIARA</v>
          </cell>
          <cell r="C488">
            <v>-167408.18181818182</v>
          </cell>
          <cell r="D488">
            <v>666000</v>
          </cell>
        </row>
        <row r="489">
          <cell r="A489">
            <v>1150185</v>
          </cell>
          <cell r="B489" t="str">
            <v>TO. YETTY FARMA</v>
          </cell>
          <cell r="C489">
            <v>415854.54545454541</v>
          </cell>
        </row>
        <row r="490">
          <cell r="A490">
            <v>1150205</v>
          </cell>
          <cell r="B490" t="str">
            <v>BCA FARMA</v>
          </cell>
          <cell r="C490">
            <v>-476797.27272727265</v>
          </cell>
          <cell r="D490">
            <v>11572776.818181818</v>
          </cell>
        </row>
        <row r="491">
          <cell r="A491">
            <v>1150237</v>
          </cell>
          <cell r="B491" t="str">
            <v>APT. BINA SUKSES MANDIRI</v>
          </cell>
          <cell r="C491">
            <v>-435909.09090909088</v>
          </cell>
          <cell r="D491">
            <v>39016704.136363693</v>
          </cell>
        </row>
        <row r="492">
          <cell r="A492">
            <v>1150242</v>
          </cell>
          <cell r="B492" t="str">
            <v>ADINATA</v>
          </cell>
          <cell r="C492">
            <v>-280000</v>
          </cell>
          <cell r="D492">
            <v>727984191.50000012</v>
          </cell>
        </row>
        <row r="493">
          <cell r="A493">
            <v>1150270</v>
          </cell>
          <cell r="B493" t="str">
            <v>MUSLIM SUKSES</v>
          </cell>
          <cell r="C493">
            <v>629372.90909090906</v>
          </cell>
          <cell r="D493">
            <v>1605474.5454545454</v>
          </cell>
        </row>
        <row r="494">
          <cell r="A494">
            <v>1150273</v>
          </cell>
          <cell r="B494" t="str">
            <v>MUSLIM JAYA</v>
          </cell>
          <cell r="C494">
            <v>240377.27272727274</v>
          </cell>
          <cell r="D494">
            <v>-821148.45454545435</v>
          </cell>
        </row>
        <row r="495">
          <cell r="A495">
            <v>1150289</v>
          </cell>
          <cell r="B495" t="str">
            <v>APT. FARMAGA</v>
          </cell>
          <cell r="C495">
            <v>-223954.54545454541</v>
          </cell>
          <cell r="D495">
            <v>271305.00000000017</v>
          </cell>
        </row>
        <row r="496">
          <cell r="A496">
            <v>1150309</v>
          </cell>
          <cell r="B496" t="str">
            <v>BENING KOSMETIK</v>
          </cell>
          <cell r="C496">
            <v>593037609.40909088</v>
          </cell>
          <cell r="D496">
            <v>114769015.81818181</v>
          </cell>
        </row>
        <row r="497">
          <cell r="A497">
            <v>1150313</v>
          </cell>
          <cell r="B497" t="str">
            <v>TO. BENUA FARMA</v>
          </cell>
          <cell r="C497">
            <v>-179063.18181818182</v>
          </cell>
          <cell r="D497">
            <v>-158697.95454545453</v>
          </cell>
        </row>
        <row r="498">
          <cell r="A498">
            <v>1150330</v>
          </cell>
          <cell r="B498" t="str">
            <v>APT. BERKAH</v>
          </cell>
          <cell r="C498">
            <v>1240892.7272727273</v>
          </cell>
          <cell r="D498">
            <v>1123690.9090909092</v>
          </cell>
        </row>
        <row r="499">
          <cell r="A499">
            <v>1150346</v>
          </cell>
          <cell r="B499" t="str">
            <v>APT. LUTFI FARMA</v>
          </cell>
          <cell r="C499">
            <v>428586.13636363635</v>
          </cell>
          <cell r="D499">
            <v>592177.27272727271</v>
          </cell>
        </row>
        <row r="500">
          <cell r="A500">
            <v>1150351</v>
          </cell>
          <cell r="B500" t="str">
            <v>WIDYA FARMA</v>
          </cell>
          <cell r="C500">
            <v>1343727.2727272727</v>
          </cell>
          <cell r="D500">
            <v>1752412.5</v>
          </cell>
        </row>
        <row r="501">
          <cell r="A501">
            <v>1150374</v>
          </cell>
          <cell r="B501" t="str">
            <v>APT. MUTIARA GUNUNG</v>
          </cell>
          <cell r="C501">
            <v>-190718.18181818182</v>
          </cell>
          <cell r="D501">
            <v>133200</v>
          </cell>
        </row>
        <row r="502">
          <cell r="A502">
            <v>1150400</v>
          </cell>
          <cell r="B502" t="str">
            <v>ZAIDAN FARMA LIMBUNGAN</v>
          </cell>
          <cell r="C502">
            <v>1613507.5454545452</v>
          </cell>
          <cell r="D502">
            <v>2409937.1818181816</v>
          </cell>
        </row>
        <row r="503">
          <cell r="A503">
            <v>1150441</v>
          </cell>
          <cell r="B503" t="str">
            <v>INNER BEAUTY</v>
          </cell>
          <cell r="C503">
            <v>393886.36363636365</v>
          </cell>
          <cell r="D503">
            <v>915114.18181818177</v>
          </cell>
        </row>
        <row r="504">
          <cell r="A504">
            <v>1150450</v>
          </cell>
          <cell r="B504" t="str">
            <v>SUMBER SEHAT</v>
          </cell>
          <cell r="C504">
            <v>317863.63636363635</v>
          </cell>
          <cell r="D504">
            <v>408681.81818181823</v>
          </cell>
        </row>
        <row r="505">
          <cell r="A505">
            <v>1150493</v>
          </cell>
          <cell r="B505" t="str">
            <v>NANDA FARMA</v>
          </cell>
          <cell r="C505">
            <v>3440925.0000000005</v>
          </cell>
          <cell r="D505">
            <v>4361138.1818181816</v>
          </cell>
        </row>
        <row r="506">
          <cell r="A506">
            <v>1150502</v>
          </cell>
          <cell r="B506" t="str">
            <v>APT. RAHMAN</v>
          </cell>
          <cell r="C506">
            <v>-185420.45454545453</v>
          </cell>
          <cell r="D506">
            <v>-132443.18181818182</v>
          </cell>
        </row>
        <row r="507">
          <cell r="A507">
            <v>1160214</v>
          </cell>
          <cell r="B507" t="str">
            <v>ANGKASA 2 MART</v>
          </cell>
          <cell r="C507">
            <v>3414102.5227272729</v>
          </cell>
          <cell r="D507">
            <v>2639906.3181818184</v>
          </cell>
        </row>
        <row r="508">
          <cell r="A508">
            <v>1220014</v>
          </cell>
          <cell r="B508" t="str">
            <v>MALAYA</v>
          </cell>
          <cell r="C508">
            <v>1238850</v>
          </cell>
          <cell r="D508">
            <v>1969351.0909090906</v>
          </cell>
        </row>
        <row r="509">
          <cell r="A509">
            <v>1224021</v>
          </cell>
          <cell r="B509" t="str">
            <v>CEMPAKA COSMETIC</v>
          </cell>
          <cell r="C509">
            <v>-998645.90909090906</v>
          </cell>
          <cell r="D509">
            <v>9619418.6363636367</v>
          </cell>
        </row>
        <row r="510">
          <cell r="A510">
            <v>1224023</v>
          </cell>
          <cell r="B510" t="str">
            <v>JELITA COSMETIK</v>
          </cell>
          <cell r="C510">
            <v>-529774.90909090906</v>
          </cell>
          <cell r="D510">
            <v>1552431.8181818184</v>
          </cell>
        </row>
        <row r="511">
          <cell r="A511">
            <v>1224024</v>
          </cell>
          <cell r="B511" t="str">
            <v>ISTANA COSMETIK</v>
          </cell>
          <cell r="C511">
            <v>422633065.31818193</v>
          </cell>
          <cell r="D511">
            <v>356226395.63636363</v>
          </cell>
        </row>
        <row r="512">
          <cell r="A512">
            <v>1240091</v>
          </cell>
          <cell r="B512" t="str">
            <v>ACHIKA JAYA</v>
          </cell>
          <cell r="C512">
            <v>787116.13636363647</v>
          </cell>
          <cell r="D512">
            <v>1566192.2727272727</v>
          </cell>
        </row>
        <row r="513">
          <cell r="A513">
            <v>1240116</v>
          </cell>
          <cell r="B513" t="str">
            <v>NISA</v>
          </cell>
          <cell r="C513">
            <v>21683481.136363637</v>
          </cell>
          <cell r="D513">
            <v>682337.72727272729</v>
          </cell>
        </row>
        <row r="514">
          <cell r="A514">
            <v>1240132</v>
          </cell>
          <cell r="B514" t="str">
            <v>PELANGI</v>
          </cell>
          <cell r="C514">
            <v>113400</v>
          </cell>
          <cell r="D514">
            <v>66600.000000000015</v>
          </cell>
        </row>
        <row r="515">
          <cell r="A515">
            <v>1240133</v>
          </cell>
          <cell r="B515" t="str">
            <v>MM. SHIVA</v>
          </cell>
          <cell r="C515">
            <v>723140.86363636365</v>
          </cell>
          <cell r="D515">
            <v>2636440.7272727275</v>
          </cell>
        </row>
        <row r="516">
          <cell r="A516">
            <v>1241415</v>
          </cell>
          <cell r="B516" t="str">
            <v>HASBI SWL</v>
          </cell>
          <cell r="C516">
            <v>721063.63636363635</v>
          </cell>
          <cell r="D516">
            <v>3549371.5909090913</v>
          </cell>
        </row>
        <row r="517">
          <cell r="A517">
            <v>1243276</v>
          </cell>
          <cell r="B517" t="str">
            <v>APT. KHANZA</v>
          </cell>
          <cell r="C517">
            <v>4493683.6363636367</v>
          </cell>
          <cell r="D517">
            <v>177000</v>
          </cell>
        </row>
        <row r="518">
          <cell r="A518">
            <v>1265667</v>
          </cell>
          <cell r="B518" t="str">
            <v>ZHAFIRA 25</v>
          </cell>
          <cell r="C518">
            <v>464159.54545454541</v>
          </cell>
          <cell r="D518">
            <v>582467.95454545447</v>
          </cell>
        </row>
        <row r="519">
          <cell r="A519">
            <v>1265760</v>
          </cell>
          <cell r="B519" t="str">
            <v>APOTIK LABORA</v>
          </cell>
          <cell r="C519">
            <v>6122149.6363636367</v>
          </cell>
          <cell r="D519">
            <v>3627086.1818181812</v>
          </cell>
        </row>
        <row r="520">
          <cell r="A520">
            <v>1310020</v>
          </cell>
          <cell r="B520" t="str">
            <v>AMIN BAROKAH</v>
          </cell>
          <cell r="C520">
            <v>168954.54545454544</v>
          </cell>
          <cell r="D520">
            <v>380863.63636363629</v>
          </cell>
        </row>
        <row r="521">
          <cell r="A521">
            <v>1320003</v>
          </cell>
          <cell r="B521" t="str">
            <v>BAZ MART</v>
          </cell>
          <cell r="C521">
            <v>70000</v>
          </cell>
          <cell r="D521">
            <v>1355504.3181818181</v>
          </cell>
        </row>
        <row r="522">
          <cell r="A522">
            <v>1330017</v>
          </cell>
          <cell r="B522" t="str">
            <v>JAYA ABADI</v>
          </cell>
          <cell r="C522">
            <v>-26488.636363636364</v>
          </cell>
          <cell r="D522">
            <v>539803.63636363647</v>
          </cell>
        </row>
        <row r="523">
          <cell r="A523">
            <v>1340206</v>
          </cell>
          <cell r="B523" t="str">
            <v>LON JAYA</v>
          </cell>
          <cell r="C523">
            <v>1508343</v>
          </cell>
          <cell r="D523">
            <v>3342983.0454545449</v>
          </cell>
        </row>
        <row r="524">
          <cell r="A524">
            <v>1342860</v>
          </cell>
          <cell r="B524" t="str">
            <v>NURHADI MART</v>
          </cell>
          <cell r="C524">
            <v>1684521.8181818184</v>
          </cell>
          <cell r="D524">
            <v>1371454.5454545452</v>
          </cell>
        </row>
        <row r="525">
          <cell r="A525">
            <v>1402561</v>
          </cell>
          <cell r="B525" t="str">
            <v>GROSIR AULIA</v>
          </cell>
          <cell r="C525">
            <v>-14561257.842727274</v>
          </cell>
          <cell r="D525">
            <v>147585969.40909082</v>
          </cell>
        </row>
        <row r="526">
          <cell r="A526">
            <v>1402576</v>
          </cell>
          <cell r="B526" t="str">
            <v>APT. JAMI</v>
          </cell>
          <cell r="C526">
            <v>317863.63636363635</v>
          </cell>
          <cell r="D526">
            <v>4705374.5454545468</v>
          </cell>
        </row>
        <row r="527">
          <cell r="A527">
            <v>1420003</v>
          </cell>
          <cell r="B527" t="str">
            <v>BEDEPE SWALAYAN</v>
          </cell>
          <cell r="C527">
            <v>317863.63636363635</v>
          </cell>
          <cell r="D527">
            <v>264886.36363636365</v>
          </cell>
        </row>
        <row r="528">
          <cell r="A528">
            <v>1420006</v>
          </cell>
          <cell r="B528" t="str">
            <v>HAPPY MART</v>
          </cell>
          <cell r="C528">
            <v>2946356.3636363638</v>
          </cell>
          <cell r="D528">
            <v>1224029.8181818179</v>
          </cell>
        </row>
        <row r="529">
          <cell r="A529">
            <v>1420008</v>
          </cell>
          <cell r="B529" t="str">
            <v>BUNDA SWALAYAN I</v>
          </cell>
          <cell r="C529">
            <v>78406.363636363632</v>
          </cell>
          <cell r="D529">
            <v>75600</v>
          </cell>
        </row>
        <row r="530">
          <cell r="A530">
            <v>1420020</v>
          </cell>
          <cell r="B530" t="str">
            <v>FARIZ MART</v>
          </cell>
          <cell r="C530">
            <v>-38143.636363636368</v>
          </cell>
          <cell r="D530">
            <v>1194590.4545454546</v>
          </cell>
        </row>
        <row r="531">
          <cell r="A531">
            <v>1420038</v>
          </cell>
          <cell r="B531" t="str">
            <v>RM MART</v>
          </cell>
          <cell r="C531">
            <v>2527018.2272727275</v>
          </cell>
          <cell r="D531">
            <v>3471156.9545454555</v>
          </cell>
        </row>
        <row r="532">
          <cell r="A532">
            <v>1420053</v>
          </cell>
          <cell r="B532" t="str">
            <v>BUNDA SWALAYAN</v>
          </cell>
          <cell r="C532">
            <v>483477.27272727271</v>
          </cell>
          <cell r="D532">
            <v>47260486.363636367</v>
          </cell>
        </row>
        <row r="533">
          <cell r="A533">
            <v>1430067</v>
          </cell>
          <cell r="B533" t="str">
            <v>ANGKASA 5 MART</v>
          </cell>
          <cell r="C533">
            <v>169742.04545454547</v>
          </cell>
          <cell r="D533">
            <v>151200</v>
          </cell>
        </row>
        <row r="534">
          <cell r="A534">
            <v>1430112</v>
          </cell>
          <cell r="B534" t="str">
            <v>APOTIK MITRA FARMA</v>
          </cell>
          <cell r="C534">
            <v>2700130.2272727275</v>
          </cell>
          <cell r="D534">
            <v>425937.27272727271</v>
          </cell>
        </row>
        <row r="535">
          <cell r="A535">
            <v>1430120</v>
          </cell>
          <cell r="B535" t="str">
            <v>APT. PASAR KAMIS</v>
          </cell>
          <cell r="C535">
            <v>862760.45454545447</v>
          </cell>
          <cell r="D535">
            <v>317863.63636363635</v>
          </cell>
        </row>
        <row r="536">
          <cell r="A536">
            <v>1430183</v>
          </cell>
          <cell r="B536" t="str">
            <v>RJ MART</v>
          </cell>
          <cell r="C536">
            <v>-881541.818181818</v>
          </cell>
          <cell r="D536">
            <v>1255485</v>
          </cell>
        </row>
        <row r="537">
          <cell r="A537">
            <v>1431559</v>
          </cell>
          <cell r="B537" t="str">
            <v>APT. KASIH</v>
          </cell>
          <cell r="C537">
            <v>-187071.81818181818</v>
          </cell>
          <cell r="D537">
            <v>47894007.272727259</v>
          </cell>
        </row>
        <row r="538">
          <cell r="A538">
            <v>1431571</v>
          </cell>
          <cell r="B538" t="str">
            <v>INDRAGIRI MART</v>
          </cell>
          <cell r="C538">
            <v>310925</v>
          </cell>
          <cell r="D538">
            <v>1102934.0909090908</v>
          </cell>
        </row>
        <row r="539">
          <cell r="A539">
            <v>1431583</v>
          </cell>
          <cell r="B539" t="str">
            <v>BUNGA RAYA SWALAYAN</v>
          </cell>
          <cell r="C539">
            <v>157442.04545454547</v>
          </cell>
          <cell r="D539">
            <v>166151.04545454547</v>
          </cell>
        </row>
        <row r="540">
          <cell r="A540">
            <v>1431598</v>
          </cell>
          <cell r="B540" t="str">
            <v>APOTIK TANGOR</v>
          </cell>
          <cell r="C540">
            <v>212045.31818181818</v>
          </cell>
          <cell r="D540">
            <v>44400.000000000007</v>
          </cell>
        </row>
        <row r="541">
          <cell r="A541">
            <v>1431599</v>
          </cell>
          <cell r="B541" t="str">
            <v>CV. JAYA ABADI</v>
          </cell>
          <cell r="C541">
            <v>211040481.90909088</v>
          </cell>
          <cell r="D541">
            <v>271432014.31818181</v>
          </cell>
        </row>
        <row r="542">
          <cell r="A542">
            <v>1431621</v>
          </cell>
          <cell r="B542" t="str">
            <v>PT. HAWAI RITAILINDO</v>
          </cell>
          <cell r="C542">
            <v>7310191.3636363633</v>
          </cell>
          <cell r="D542">
            <v>8277168.6363636367</v>
          </cell>
        </row>
        <row r="543">
          <cell r="A543">
            <v>1431623</v>
          </cell>
          <cell r="B543" t="str">
            <v>PT. BERSAMA GLAMINDO JAYA ( MISS GLAM )</v>
          </cell>
          <cell r="C543">
            <v>132503091.95454544</v>
          </cell>
          <cell r="D543">
            <v>71076731.818181828</v>
          </cell>
        </row>
        <row r="544">
          <cell r="A544">
            <v>1431624</v>
          </cell>
          <cell r="B544" t="str">
            <v>CV. TIGA M SUKSES ABADI</v>
          </cell>
          <cell r="C544">
            <v>1923635.6818181816</v>
          </cell>
          <cell r="D544">
            <v>2011602.7272727275</v>
          </cell>
        </row>
        <row r="545">
          <cell r="A545">
            <v>1431652</v>
          </cell>
          <cell r="B545" t="str">
            <v>APT. TANZA</v>
          </cell>
          <cell r="C545">
            <v>-175178.18181818182</v>
          </cell>
          <cell r="D545">
            <v>133200</v>
          </cell>
        </row>
        <row r="546">
          <cell r="A546">
            <v>1431665</v>
          </cell>
          <cell r="B546" t="str">
            <v>TK. QIYYA</v>
          </cell>
          <cell r="C546">
            <v>482681.81818181818</v>
          </cell>
          <cell r="D546">
            <v>1676160</v>
          </cell>
        </row>
        <row r="547">
          <cell r="A547">
            <v>1431683</v>
          </cell>
          <cell r="B547" t="str">
            <v>APOTIK MUTIA AWAN</v>
          </cell>
          <cell r="C547">
            <v>-180340.68181818182</v>
          </cell>
          <cell r="D547">
            <v>20591675.454545461</v>
          </cell>
        </row>
        <row r="548">
          <cell r="A548">
            <v>1431684</v>
          </cell>
          <cell r="B548" t="str">
            <v>APT. DAINA FARMA</v>
          </cell>
          <cell r="C548">
            <v>-224000</v>
          </cell>
          <cell r="D548">
            <v>63000</v>
          </cell>
        </row>
        <row r="549">
          <cell r="A549">
            <v>1431695</v>
          </cell>
          <cell r="B549" t="str">
            <v>RPS KOSMETIK</v>
          </cell>
          <cell r="C549">
            <v>-6570559.0909090918</v>
          </cell>
          <cell r="D549">
            <v>1516532.0454545456</v>
          </cell>
        </row>
        <row r="550">
          <cell r="A550">
            <v>1431699</v>
          </cell>
          <cell r="B550" t="str">
            <v>APOTIK SHANUM</v>
          </cell>
          <cell r="C550">
            <v>-296672.72727272729</v>
          </cell>
          <cell r="D550">
            <v>1501649.9999999998</v>
          </cell>
        </row>
        <row r="551">
          <cell r="A551">
            <v>1431704</v>
          </cell>
          <cell r="B551" t="str">
            <v>KHARISMA KOSMETIK</v>
          </cell>
          <cell r="C551">
            <v>-21861065.454545457</v>
          </cell>
          <cell r="D551">
            <v>83715</v>
          </cell>
        </row>
        <row r="552">
          <cell r="A552">
            <v>1431752</v>
          </cell>
          <cell r="B552" t="str">
            <v>ANGKASA MART KUBANG</v>
          </cell>
          <cell r="C552">
            <v>374036.72727272729</v>
          </cell>
          <cell r="D552">
            <v>617999.31818181812</v>
          </cell>
        </row>
        <row r="553">
          <cell r="A553">
            <v>1431765</v>
          </cell>
          <cell r="B553" t="str">
            <v>GHANAYA KOSMETIK</v>
          </cell>
          <cell r="C553">
            <v>-22200.000000000004</v>
          </cell>
          <cell r="D553">
            <v>-138270.68181818179</v>
          </cell>
        </row>
        <row r="554">
          <cell r="A554">
            <v>1431782</v>
          </cell>
          <cell r="B554" t="str">
            <v>APT. PRATAMA 2</v>
          </cell>
          <cell r="C554">
            <v>6053950.9090909092</v>
          </cell>
          <cell r="D554">
            <v>12929564.181818187</v>
          </cell>
        </row>
        <row r="555">
          <cell r="A555">
            <v>1431791</v>
          </cell>
          <cell r="B555" t="str">
            <v>RAMBE KOSMETIK</v>
          </cell>
          <cell r="C555">
            <v>26008728.090909094</v>
          </cell>
          <cell r="D555">
            <v>33203960.499999996</v>
          </cell>
        </row>
        <row r="556">
          <cell r="A556">
            <v>1431807</v>
          </cell>
          <cell r="B556" t="str">
            <v>TOKO PALUGADA</v>
          </cell>
          <cell r="C556">
            <v>-4488977.8181818184</v>
          </cell>
          <cell r="D556">
            <v>28061039.818181824</v>
          </cell>
        </row>
        <row r="557">
          <cell r="A557">
            <v>1431821</v>
          </cell>
          <cell r="B557" t="str">
            <v>MALAYA MART</v>
          </cell>
          <cell r="C557">
            <v>1584398.8636363638</v>
          </cell>
          <cell r="D557">
            <v>1704244.2954545456</v>
          </cell>
        </row>
        <row r="558">
          <cell r="A558">
            <v>1431845</v>
          </cell>
          <cell r="B558" t="str">
            <v>TOSERBA MADANI</v>
          </cell>
          <cell r="C558">
            <v>-171646.36363636362</v>
          </cell>
          <cell r="D558">
            <v>135807.95454545453</v>
          </cell>
        </row>
        <row r="559">
          <cell r="A559">
            <v>1431846</v>
          </cell>
          <cell r="B559" t="str">
            <v>GLOSSY KOSMETIK</v>
          </cell>
          <cell r="C559">
            <v>-230325.00000000003</v>
          </cell>
          <cell r="D559">
            <v>46050759.81818182</v>
          </cell>
        </row>
        <row r="560">
          <cell r="A560">
            <v>1431858</v>
          </cell>
          <cell r="B560" t="str">
            <v>HY FLOW</v>
          </cell>
          <cell r="C560">
            <v>374884.54545454279</v>
          </cell>
          <cell r="D560">
            <v>-1987707.2727272729</v>
          </cell>
        </row>
        <row r="561">
          <cell r="A561">
            <v>1431868</v>
          </cell>
          <cell r="B561" t="str">
            <v>C4 MART</v>
          </cell>
          <cell r="C561">
            <v>705160.22727272729</v>
          </cell>
          <cell r="D561">
            <v>32271694.965000007</v>
          </cell>
        </row>
        <row r="562">
          <cell r="A562">
            <v>1431877</v>
          </cell>
          <cell r="B562" t="str">
            <v>CV. RIAU GEMILANG MANDIRI</v>
          </cell>
          <cell r="C562">
            <v>-609024.20454545459</v>
          </cell>
          <cell r="D562">
            <v>7520635.9090909101</v>
          </cell>
        </row>
        <row r="563">
          <cell r="A563">
            <v>1431887</v>
          </cell>
          <cell r="B563" t="str">
            <v>HOLY KOSMETIK</v>
          </cell>
          <cell r="C563">
            <v>68897793.636363655</v>
          </cell>
          <cell r="D563">
            <v>149158472.36363637</v>
          </cell>
        </row>
        <row r="564">
          <cell r="A564">
            <v>1431894</v>
          </cell>
          <cell r="B564" t="str">
            <v>APT. FEBRI FARMA</v>
          </cell>
          <cell r="C564">
            <v>-310194.54545454541</v>
          </cell>
          <cell r="D564">
            <v>252020.45454545453</v>
          </cell>
        </row>
        <row r="565">
          <cell r="A565">
            <v>1431895</v>
          </cell>
          <cell r="B565" t="str">
            <v>APT. MEGA FARMA</v>
          </cell>
          <cell r="C565">
            <v>-185318.18181818182</v>
          </cell>
          <cell r="D565">
            <v>54416149.090909116</v>
          </cell>
        </row>
        <row r="566">
          <cell r="A566">
            <v>1431907</v>
          </cell>
          <cell r="B566" t="str">
            <v>KARTIN SHOP</v>
          </cell>
          <cell r="C566">
            <v>39010868.772727273</v>
          </cell>
          <cell r="D566">
            <v>24931848.000000004</v>
          </cell>
        </row>
        <row r="567">
          <cell r="A567">
            <v>1431918</v>
          </cell>
          <cell r="B567" t="str">
            <v>APT. CINTA SEHAT 2</v>
          </cell>
          <cell r="C567">
            <v>-317868</v>
          </cell>
          <cell r="D567">
            <v>1035327.2727272725</v>
          </cell>
        </row>
        <row r="568">
          <cell r="A568">
            <v>1431926</v>
          </cell>
          <cell r="B568" t="str">
            <v>APT. ZHAFRAN</v>
          </cell>
          <cell r="C568">
            <v>196000</v>
          </cell>
          <cell r="D568">
            <v>23318243.181818191</v>
          </cell>
        </row>
        <row r="569">
          <cell r="A569">
            <v>1431933</v>
          </cell>
          <cell r="B569" t="str">
            <v>TK. VIO</v>
          </cell>
          <cell r="C569">
            <v>660000</v>
          </cell>
          <cell r="D569">
            <v>216589.09090909091</v>
          </cell>
        </row>
        <row r="570">
          <cell r="A570">
            <v>1431939</v>
          </cell>
          <cell r="B570" t="str">
            <v>CHANTIQ KOSMETIK</v>
          </cell>
          <cell r="C570">
            <v>1005085.9090909089</v>
          </cell>
          <cell r="D570">
            <v>1194709.0909090908</v>
          </cell>
        </row>
        <row r="571">
          <cell r="A571">
            <v>1431943</v>
          </cell>
          <cell r="B571" t="str">
            <v>BYLIAS BEAUTY</v>
          </cell>
          <cell r="C571">
            <v>-5659885.4090909092</v>
          </cell>
          <cell r="D571">
            <v>6512780.9090909101</v>
          </cell>
        </row>
        <row r="572">
          <cell r="A572">
            <v>1431944</v>
          </cell>
          <cell r="B572" t="str">
            <v>TO. SURANTA FARMA</v>
          </cell>
          <cell r="C572">
            <v>-205551.81818181821</v>
          </cell>
          <cell r="D572">
            <v>990579.54545454541</v>
          </cell>
        </row>
        <row r="573">
          <cell r="A573">
            <v>1431951</v>
          </cell>
          <cell r="B573" t="str">
            <v>DHUAFA MART</v>
          </cell>
          <cell r="C573">
            <v>451563.77272727265</v>
          </cell>
          <cell r="D573">
            <v>6152674.5454545468</v>
          </cell>
        </row>
        <row r="574">
          <cell r="A574">
            <v>1431954</v>
          </cell>
          <cell r="B574" t="str">
            <v>TO. MANJUR MANDIRI</v>
          </cell>
          <cell r="C574">
            <v>-492158.86363636371</v>
          </cell>
          <cell r="D574">
            <v>458342.04545454547</v>
          </cell>
        </row>
        <row r="575">
          <cell r="A575">
            <v>1431957</v>
          </cell>
          <cell r="B575" t="str">
            <v>ANASUI COSMETIK</v>
          </cell>
          <cell r="C575">
            <v>-7859881.923181816</v>
          </cell>
          <cell r="D575">
            <v>24250426.363636363</v>
          </cell>
        </row>
        <row r="576">
          <cell r="A576">
            <v>1431959</v>
          </cell>
          <cell r="B576" t="str">
            <v>TO. AYU FARMA</v>
          </cell>
          <cell r="C576">
            <v>-1616826.25</v>
          </cell>
          <cell r="D576">
            <v>6567700.9090909101</v>
          </cell>
        </row>
        <row r="577">
          <cell r="A577">
            <v>1431960</v>
          </cell>
          <cell r="B577" t="str">
            <v>ANUGERAH COS SUKA RAMAI</v>
          </cell>
          <cell r="C577">
            <v>974863.63636363635</v>
          </cell>
          <cell r="D577">
            <v>-2947329.5454545459</v>
          </cell>
        </row>
        <row r="578">
          <cell r="A578">
            <v>1431962</v>
          </cell>
          <cell r="B578" t="str">
            <v>FADEL KOSMETIK SUKARAMAI</v>
          </cell>
          <cell r="C578">
            <v>1487359.0909090908</v>
          </cell>
        </row>
        <row r="579">
          <cell r="A579">
            <v>1431967</v>
          </cell>
          <cell r="B579" t="str">
            <v>TK. BU IDA</v>
          </cell>
          <cell r="C579">
            <v>-379670.81818181812</v>
          </cell>
          <cell r="D579">
            <v>12769172.727272728</v>
          </cell>
        </row>
        <row r="580">
          <cell r="A580">
            <v>1431974</v>
          </cell>
          <cell r="B580" t="str">
            <v>TO. YUKI FARMA MELATI</v>
          </cell>
          <cell r="C580">
            <v>-168467.72727272726</v>
          </cell>
          <cell r="D580">
            <v>2171364.5454545454</v>
          </cell>
        </row>
        <row r="581">
          <cell r="A581">
            <v>1431976</v>
          </cell>
          <cell r="B581" t="str">
            <v>IDOLA WANITA KUBANG</v>
          </cell>
          <cell r="C581">
            <v>-6047282.7272727294</v>
          </cell>
          <cell r="D581">
            <v>-18864147.272727273</v>
          </cell>
        </row>
        <row r="582">
          <cell r="A582">
            <v>1431983</v>
          </cell>
          <cell r="B582" t="str">
            <v>APT. INDONESIA SEHAT</v>
          </cell>
          <cell r="C582">
            <v>-199264.54545454544</v>
          </cell>
          <cell r="D582">
            <v>19327887.272727273</v>
          </cell>
        </row>
        <row r="583">
          <cell r="A583">
            <v>1431990</v>
          </cell>
          <cell r="B583" t="str">
            <v>IZZAT FARMA</v>
          </cell>
          <cell r="C583">
            <v>636293.18181818188</v>
          </cell>
          <cell r="D583">
            <v>540081.36363636365</v>
          </cell>
        </row>
        <row r="584">
          <cell r="A584">
            <v>1431993</v>
          </cell>
          <cell r="B584" t="str">
            <v>APT. ESA FARMA 2</v>
          </cell>
          <cell r="C584">
            <v>224250</v>
          </cell>
          <cell r="D584">
            <v>301697.72727272724</v>
          </cell>
        </row>
        <row r="585">
          <cell r="A585">
            <v>1432007</v>
          </cell>
          <cell r="B585" t="str">
            <v>APT. MC MELATI</v>
          </cell>
          <cell r="C585">
            <v>-167884.09090909094</v>
          </cell>
          <cell r="D585">
            <v>3464472.6818181816</v>
          </cell>
        </row>
        <row r="586">
          <cell r="A586">
            <v>1432022</v>
          </cell>
          <cell r="B586" t="str">
            <v>APT. PERINTIS</v>
          </cell>
          <cell r="C586">
            <v>-149395.90909090912</v>
          </cell>
          <cell r="D586">
            <v>-97377.272727272735</v>
          </cell>
        </row>
        <row r="587">
          <cell r="A587">
            <v>1432037</v>
          </cell>
          <cell r="B587" t="str">
            <v>APT. SHANUM MEDIKA</v>
          </cell>
          <cell r="C587">
            <v>-336670.56818181818</v>
          </cell>
        </row>
        <row r="588">
          <cell r="A588">
            <v>1432038</v>
          </cell>
          <cell r="B588" t="str">
            <v>APOTIK ABADI</v>
          </cell>
          <cell r="C588">
            <v>-66600</v>
          </cell>
          <cell r="D588">
            <v>637846.36363636353</v>
          </cell>
        </row>
        <row r="589">
          <cell r="A589">
            <v>1432045</v>
          </cell>
          <cell r="B589" t="str">
            <v>MICHAEL JAYA FARMA</v>
          </cell>
          <cell r="C589">
            <v>297961.77272727276</v>
          </cell>
          <cell r="D589">
            <v>1530879.5454545452</v>
          </cell>
        </row>
        <row r="590">
          <cell r="A590">
            <v>1432050</v>
          </cell>
          <cell r="B590" t="str">
            <v>TO. HIDAYAH SUKA KARYA</v>
          </cell>
          <cell r="C590">
            <v>-169742.04545454547</v>
          </cell>
          <cell r="D590">
            <v>-42000</v>
          </cell>
        </row>
        <row r="591">
          <cell r="A591">
            <v>1432056</v>
          </cell>
          <cell r="B591" t="str">
            <v>APT. NAUVAL FARMA</v>
          </cell>
          <cell r="C591">
            <v>310731.81818181818</v>
          </cell>
          <cell r="D591">
            <v>825681.818181818</v>
          </cell>
        </row>
        <row r="592">
          <cell r="A592">
            <v>1432057</v>
          </cell>
          <cell r="B592" t="str">
            <v>FADILLA JAYA</v>
          </cell>
          <cell r="C592">
            <v>-6889175.0909090918</v>
          </cell>
          <cell r="D592">
            <v>1862378.1818181816</v>
          </cell>
        </row>
        <row r="593">
          <cell r="A593">
            <v>1432063</v>
          </cell>
          <cell r="B593" t="str">
            <v>APT. WIJAYA FARMA</v>
          </cell>
          <cell r="C593">
            <v>1684929.5454545456</v>
          </cell>
          <cell r="D593">
            <v>1110512.7272727273</v>
          </cell>
        </row>
        <row r="594">
          <cell r="A594">
            <v>1432073</v>
          </cell>
          <cell r="B594" t="str">
            <v>APT. PURNAMA KARTAMA</v>
          </cell>
          <cell r="C594">
            <v>171646.36363636362</v>
          </cell>
          <cell r="D594">
            <v>48527777.181818172</v>
          </cell>
        </row>
        <row r="595">
          <cell r="A595">
            <v>1432087</v>
          </cell>
          <cell r="B595" t="str">
            <v>GBU STORE</v>
          </cell>
          <cell r="C595">
            <v>-6223877.5454545468</v>
          </cell>
          <cell r="D595">
            <v>7821639.3181818184</v>
          </cell>
        </row>
        <row r="596">
          <cell r="A596">
            <v>1432093</v>
          </cell>
          <cell r="B596" t="str">
            <v>ALIYA FARMA</v>
          </cell>
          <cell r="C596">
            <v>690823.63636363635</v>
          </cell>
          <cell r="D596">
            <v>471109.09090909094</v>
          </cell>
        </row>
        <row r="597">
          <cell r="A597">
            <v>1432103</v>
          </cell>
          <cell r="B597" t="str">
            <v>APT. UMMU FARMA</v>
          </cell>
          <cell r="C597">
            <v>-8632.8409090909408</v>
          </cell>
          <cell r="D597">
            <v>-126954.54545454544</v>
          </cell>
        </row>
        <row r="598">
          <cell r="A598">
            <v>1432106</v>
          </cell>
          <cell r="B598" t="str">
            <v>APOTIK UMRAN</v>
          </cell>
          <cell r="C598">
            <v>-122200</v>
          </cell>
          <cell r="D598">
            <v>45454.5</v>
          </cell>
        </row>
        <row r="599">
          <cell r="A599">
            <v>1432115</v>
          </cell>
          <cell r="B599" t="str">
            <v>BEST SELLER SHOP PKU</v>
          </cell>
          <cell r="C599">
            <v>-538735.90909090906</v>
          </cell>
          <cell r="D599">
            <v>68340.681818181823</v>
          </cell>
        </row>
        <row r="600">
          <cell r="A600">
            <v>1432123</v>
          </cell>
          <cell r="B600" t="str">
            <v>APT. JEDY JAYA FARMA</v>
          </cell>
          <cell r="C600">
            <v>-254644.09090909088</v>
          </cell>
          <cell r="D600">
            <v>68340.681818181823</v>
          </cell>
        </row>
        <row r="601">
          <cell r="A601">
            <v>1432127</v>
          </cell>
          <cell r="B601" t="str">
            <v>APT. AKZA AISAH</v>
          </cell>
          <cell r="C601">
            <v>-196000</v>
          </cell>
          <cell r="D601">
            <v>79465.909090909088</v>
          </cell>
        </row>
        <row r="602">
          <cell r="A602">
            <v>1432128</v>
          </cell>
          <cell r="B602" t="str">
            <v>CAHAYA FARMA TEROPONG</v>
          </cell>
          <cell r="C602">
            <v>169930.90909090912</v>
          </cell>
          <cell r="D602">
            <v>52977.272727272728</v>
          </cell>
        </row>
        <row r="603">
          <cell r="A603">
            <v>1432130</v>
          </cell>
          <cell r="B603" t="str">
            <v>APT. FAMELA FARMA</v>
          </cell>
          <cell r="C603">
            <v>360362.72727272729</v>
          </cell>
          <cell r="D603">
            <v>1071173.0909090911</v>
          </cell>
        </row>
        <row r="604">
          <cell r="A604">
            <v>1432131</v>
          </cell>
          <cell r="B604" t="str">
            <v>ASSALAM MART</v>
          </cell>
          <cell r="C604">
            <v>562035</v>
          </cell>
          <cell r="D604">
            <v>189501.13636363635</v>
          </cell>
        </row>
        <row r="605">
          <cell r="A605">
            <v>1432132</v>
          </cell>
          <cell r="B605" t="str">
            <v>APT. MITRA SEHAT 2</v>
          </cell>
          <cell r="C605">
            <v>-185420.45454545453</v>
          </cell>
          <cell r="D605">
            <v>52977.272727272728</v>
          </cell>
        </row>
        <row r="606">
          <cell r="A606">
            <v>1432137</v>
          </cell>
          <cell r="B606" t="str">
            <v>NANA SHOP</v>
          </cell>
          <cell r="C606">
            <v>-33229465.90909091</v>
          </cell>
          <cell r="D606">
            <v>52977.272727272728</v>
          </cell>
        </row>
        <row r="607">
          <cell r="A607">
            <v>1432139</v>
          </cell>
          <cell r="B607" t="str">
            <v>CIARA KOSMETIK</v>
          </cell>
          <cell r="C607">
            <v>-132251.72727272709</v>
          </cell>
          <cell r="D607">
            <v>105954.54545454544</v>
          </cell>
        </row>
        <row r="608">
          <cell r="A608">
            <v>1432140</v>
          </cell>
          <cell r="B608" t="str">
            <v>APOTIK TUNJO</v>
          </cell>
          <cell r="C608">
            <v>-185420.45454545453</v>
          </cell>
          <cell r="D608">
            <v>-194754.54545454547</v>
          </cell>
        </row>
        <row r="609">
          <cell r="A609">
            <v>1432147</v>
          </cell>
          <cell r="B609" t="str">
            <v>PT. KEDAI BAHAN RETAILINDO</v>
          </cell>
          <cell r="C609">
            <v>1896768.4090909096</v>
          </cell>
          <cell r="D609">
            <v>1495314.4090909089</v>
          </cell>
        </row>
        <row r="610">
          <cell r="A610">
            <v>1432152</v>
          </cell>
          <cell r="B610" t="str">
            <v>KESADARAN MART</v>
          </cell>
          <cell r="C610">
            <v>-158931.81818181818</v>
          </cell>
          <cell r="D610">
            <v>2098242.9545454541</v>
          </cell>
        </row>
        <row r="611">
          <cell r="A611">
            <v>1432155</v>
          </cell>
          <cell r="B611" t="str">
            <v>NAYLA COSMETIK</v>
          </cell>
          <cell r="C611">
            <v>-18361548.636363637</v>
          </cell>
          <cell r="D611">
            <v>970748.18181818177</v>
          </cell>
        </row>
        <row r="612">
          <cell r="A612">
            <v>1432171</v>
          </cell>
          <cell r="B612" t="str">
            <v>MEDIKA FARMA 6</v>
          </cell>
          <cell r="C612">
            <v>979020</v>
          </cell>
          <cell r="D612">
            <v>887860.50000000012</v>
          </cell>
        </row>
        <row r="613">
          <cell r="A613">
            <v>1432178</v>
          </cell>
          <cell r="B613" t="str">
            <v>VIT MART</v>
          </cell>
          <cell r="C613">
            <v>1390278.5454545454</v>
          </cell>
          <cell r="D613">
            <v>2098658.8636363638</v>
          </cell>
        </row>
        <row r="614">
          <cell r="A614">
            <v>1432184</v>
          </cell>
          <cell r="B614" t="str">
            <v>ANGKASA MART 18</v>
          </cell>
          <cell r="C614">
            <v>175369.09090909091</v>
          </cell>
          <cell r="D614">
            <v>175727.04545454544</v>
          </cell>
        </row>
        <row r="615">
          <cell r="A615">
            <v>1432185</v>
          </cell>
          <cell r="B615" t="str">
            <v>MS GLOW</v>
          </cell>
          <cell r="C615">
            <v>-12494160</v>
          </cell>
          <cell r="D615">
            <v>6769325.4545454551</v>
          </cell>
        </row>
        <row r="616">
          <cell r="A616">
            <v>1432195</v>
          </cell>
          <cell r="B616" t="str">
            <v>UTANG KARYAWAN</v>
          </cell>
          <cell r="C616">
            <v>8131896.7168181818</v>
          </cell>
          <cell r="D616">
            <v>4829226.3863636376</v>
          </cell>
        </row>
        <row r="617">
          <cell r="A617">
            <v>1432199</v>
          </cell>
          <cell r="B617" t="str">
            <v>CC KOSMETIK</v>
          </cell>
          <cell r="C617">
            <v>-256445</v>
          </cell>
        </row>
        <row r="618">
          <cell r="A618">
            <v>1432204</v>
          </cell>
          <cell r="B618" t="str">
            <v>SIN LUXURIOUS BEAUTY</v>
          </cell>
          <cell r="C618">
            <v>61107770.909090906</v>
          </cell>
          <cell r="D618">
            <v>10174658.181818185</v>
          </cell>
        </row>
        <row r="619">
          <cell r="A619">
            <v>1432207</v>
          </cell>
          <cell r="B619" t="str">
            <v>NANDA FARMA 2</v>
          </cell>
          <cell r="C619">
            <v>649000</v>
          </cell>
          <cell r="D619">
            <v>1988180.5909090911</v>
          </cell>
        </row>
        <row r="620">
          <cell r="A620">
            <v>1432209</v>
          </cell>
          <cell r="B620" t="str">
            <v>MENTARI COSMETIK</v>
          </cell>
          <cell r="C620">
            <v>-265769.31818181818</v>
          </cell>
          <cell r="D620">
            <v>733104.5454545453</v>
          </cell>
        </row>
        <row r="621">
          <cell r="A621">
            <v>1432212</v>
          </cell>
          <cell r="B621" t="str">
            <v>CV. BUDIMAN ARIFIN AHMAD</v>
          </cell>
          <cell r="C621">
            <v>3184483.0454545459</v>
          </cell>
          <cell r="D621">
            <v>6627002.4545454541</v>
          </cell>
        </row>
        <row r="622">
          <cell r="A622">
            <v>1432217</v>
          </cell>
          <cell r="B622" t="str">
            <v>MM. MINI SUPER</v>
          </cell>
          <cell r="C622">
            <v>-317863.63636363635</v>
          </cell>
          <cell r="D622">
            <v>2251200</v>
          </cell>
        </row>
        <row r="623">
          <cell r="A623">
            <v>1432222</v>
          </cell>
          <cell r="B623" t="str">
            <v>SALAM MART</v>
          </cell>
          <cell r="C623">
            <v>562265.45454545459</v>
          </cell>
          <cell r="D623">
            <v>309286.36363636365</v>
          </cell>
        </row>
        <row r="624">
          <cell r="A624">
            <v>1432240</v>
          </cell>
          <cell r="B624" t="str">
            <v>TO. ARAFAH 5</v>
          </cell>
          <cell r="C624">
            <v>725590.22727272729</v>
          </cell>
          <cell r="D624">
            <v>1189973.8636363635</v>
          </cell>
        </row>
        <row r="625">
          <cell r="A625">
            <v>1432245</v>
          </cell>
          <cell r="B625" t="str">
            <v>TO. MARTOGI</v>
          </cell>
          <cell r="C625">
            <v>405805.90909090906</v>
          </cell>
          <cell r="D625">
            <v>383400</v>
          </cell>
        </row>
        <row r="626">
          <cell r="A626">
            <v>1432252</v>
          </cell>
          <cell r="B626" t="str">
            <v>FAMILY MART SUKA MULYA</v>
          </cell>
          <cell r="C626">
            <v>581763.63636363647</v>
          </cell>
          <cell r="D626">
            <v>1260048.4545454544</v>
          </cell>
        </row>
        <row r="627">
          <cell r="A627">
            <v>1432260</v>
          </cell>
          <cell r="B627" t="str">
            <v>GAFA MART</v>
          </cell>
          <cell r="C627">
            <v>-274909.09090909088</v>
          </cell>
          <cell r="D627">
            <v>1648877.7272727273</v>
          </cell>
        </row>
        <row r="628">
          <cell r="A628">
            <v>1432276</v>
          </cell>
          <cell r="B628" t="str">
            <v>TOKO DZAKI</v>
          </cell>
          <cell r="C628">
            <v>530303.95454545459</v>
          </cell>
          <cell r="D628">
            <v>368873.18181818182</v>
          </cell>
        </row>
        <row r="629">
          <cell r="A629">
            <v>1432288</v>
          </cell>
          <cell r="B629" t="str">
            <v>JINAAN STORE</v>
          </cell>
          <cell r="C629">
            <v>26078969.136363644</v>
          </cell>
          <cell r="D629">
            <v>20578380.272727273</v>
          </cell>
        </row>
        <row r="630">
          <cell r="A630">
            <v>1432295</v>
          </cell>
          <cell r="B630" t="str">
            <v>APOTIK MAHKOTA INDAH</v>
          </cell>
          <cell r="C630">
            <v>-360420.45454545453</v>
          </cell>
          <cell r="D630">
            <v>-190099.09090909094</v>
          </cell>
        </row>
        <row r="631">
          <cell r="A631">
            <v>1432315</v>
          </cell>
          <cell r="B631" t="str">
            <v>ARRAFA MART BANGKINANG</v>
          </cell>
          <cell r="C631">
            <v>1514143.7727272725</v>
          </cell>
          <cell r="D631">
            <v>884067.04545454553</v>
          </cell>
        </row>
        <row r="632">
          <cell r="A632">
            <v>1432327</v>
          </cell>
          <cell r="B632" t="str">
            <v>FAMONA KOSMETIK</v>
          </cell>
          <cell r="C632">
            <v>-227398.63636363635</v>
          </cell>
          <cell r="D632">
            <v>17737295.454545453</v>
          </cell>
        </row>
        <row r="633">
          <cell r="A633">
            <v>1432349</v>
          </cell>
          <cell r="B633" t="str">
            <v>TO. LAM JAYA</v>
          </cell>
          <cell r="C633">
            <v>-439493.18181818182</v>
          </cell>
          <cell r="D633">
            <v>262804.54545454547</v>
          </cell>
        </row>
        <row r="634">
          <cell r="A634">
            <v>1432373</v>
          </cell>
          <cell r="B634" t="str">
            <v>AFRIMA MART</v>
          </cell>
          <cell r="C634">
            <v>336405.68181818182</v>
          </cell>
          <cell r="D634">
            <v>466578.40909090912</v>
          </cell>
        </row>
        <row r="635">
          <cell r="A635">
            <v>1432378</v>
          </cell>
          <cell r="B635" t="str">
            <v>RAJA FARMA 2</v>
          </cell>
          <cell r="C635">
            <v>-794.65909090910645</v>
          </cell>
          <cell r="D635">
            <v>5420578.4090909092</v>
          </cell>
        </row>
        <row r="636">
          <cell r="A636">
            <v>1432394</v>
          </cell>
          <cell r="B636" t="str">
            <v>APOTIK ILONA</v>
          </cell>
          <cell r="C636">
            <v>185420.45454545453</v>
          </cell>
          <cell r="D636">
            <v>1216373.1818181821</v>
          </cell>
        </row>
        <row r="637">
          <cell r="A637">
            <v>1432403</v>
          </cell>
          <cell r="B637" t="str">
            <v>RATU KOSMETIK</v>
          </cell>
          <cell r="C637">
            <v>-2387650.0909090904</v>
          </cell>
          <cell r="D637">
            <v>352350</v>
          </cell>
        </row>
        <row r="638">
          <cell r="A638">
            <v>1432422</v>
          </cell>
          <cell r="B638" t="str">
            <v>TO. BINTANG</v>
          </cell>
          <cell r="C638">
            <v>459640.90909090906</v>
          </cell>
          <cell r="D638">
            <v>1186127.7272727271</v>
          </cell>
        </row>
        <row r="639">
          <cell r="A639">
            <v>1432429</v>
          </cell>
          <cell r="B639" t="str">
            <v>ANGKASA MART 16</v>
          </cell>
          <cell r="C639">
            <v>296147.72727272735</v>
          </cell>
          <cell r="D639">
            <v>283383.00000000006</v>
          </cell>
        </row>
        <row r="640">
          <cell r="A640">
            <v>1432434</v>
          </cell>
          <cell r="B640" t="str">
            <v>APOTIK AMINA FARMA 2</v>
          </cell>
          <cell r="C640">
            <v>-196000</v>
          </cell>
          <cell r="D640">
            <v>638905.90909090906</v>
          </cell>
        </row>
        <row r="641">
          <cell r="A641">
            <v>1432435</v>
          </cell>
          <cell r="B641" t="str">
            <v>CV. TIGA M SUKSES ABADI</v>
          </cell>
          <cell r="C641">
            <v>169142.04545454547</v>
          </cell>
          <cell r="D641">
            <v>1533076.5000000002</v>
          </cell>
        </row>
        <row r="642">
          <cell r="A642">
            <v>1432436</v>
          </cell>
          <cell r="B642" t="str">
            <v>CV. TIGA M SUKSES ABADI</v>
          </cell>
          <cell r="C642">
            <v>839064.54545454541</v>
          </cell>
          <cell r="D642">
            <v>2580183</v>
          </cell>
        </row>
        <row r="643">
          <cell r="A643">
            <v>1432445</v>
          </cell>
          <cell r="B643" t="str">
            <v>CV. TIGA M SUKSES ABADI</v>
          </cell>
          <cell r="C643">
            <v>758906.81818181812</v>
          </cell>
          <cell r="D643">
            <v>1262909.1818181819</v>
          </cell>
        </row>
        <row r="644">
          <cell r="A644">
            <v>1432460</v>
          </cell>
          <cell r="B644" t="str">
            <v>APT. YULIA FARMA</v>
          </cell>
          <cell r="C644">
            <v>185420.45454545453</v>
          </cell>
          <cell r="D644">
            <v>35742921.818181813</v>
          </cell>
        </row>
        <row r="645">
          <cell r="A645">
            <v>1432461</v>
          </cell>
          <cell r="B645" t="str">
            <v>TOSERBA ASSALAM.</v>
          </cell>
          <cell r="C645">
            <v>-560000</v>
          </cell>
          <cell r="D645">
            <v>11789754.545454543</v>
          </cell>
        </row>
        <row r="646">
          <cell r="A646">
            <v>1432474</v>
          </cell>
          <cell r="B646" t="str">
            <v>PT. KIMBERLY KOSMETIKA INDONESIA</v>
          </cell>
          <cell r="C646">
            <v>3114008.5036363644</v>
          </cell>
          <cell r="D646">
            <v>2678565.6818181821</v>
          </cell>
        </row>
        <row r="647">
          <cell r="A647">
            <v>1432476</v>
          </cell>
          <cell r="B647" t="str">
            <v>MISS GLAIM TEMBILAHAN</v>
          </cell>
          <cell r="C647">
            <v>25776245.5</v>
          </cell>
          <cell r="D647">
            <v>25447664.818181828</v>
          </cell>
        </row>
        <row r="648">
          <cell r="A648">
            <v>1432478</v>
          </cell>
          <cell r="B648" t="str">
            <v>APT. AASIYAH JAYA</v>
          </cell>
          <cell r="C648">
            <v>172554.54545454547</v>
          </cell>
          <cell r="D648">
            <v>-255361.36363636365</v>
          </cell>
        </row>
        <row r="649">
          <cell r="A649">
            <v>1440241</v>
          </cell>
          <cell r="B649" t="str">
            <v>QILKY</v>
          </cell>
          <cell r="C649">
            <v>94500</v>
          </cell>
          <cell r="D649">
            <v>4163761.3636363638</v>
          </cell>
        </row>
        <row r="650">
          <cell r="A650">
            <v>1440242</v>
          </cell>
          <cell r="B650" t="str">
            <v>TK. RIDHO</v>
          </cell>
          <cell r="C650">
            <v>245200.00000000003</v>
          </cell>
          <cell r="D650">
            <v>75600</v>
          </cell>
        </row>
        <row r="651">
          <cell r="A651">
            <v>1450273</v>
          </cell>
          <cell r="B651" t="str">
            <v>ATAN KOSMETIK</v>
          </cell>
          <cell r="C651">
            <v>1350819.5454545452</v>
          </cell>
          <cell r="D651">
            <v>686263.63636363635</v>
          </cell>
        </row>
        <row r="652">
          <cell r="A652">
            <v>1460007</v>
          </cell>
          <cell r="B652" t="str">
            <v>WANDA OKA</v>
          </cell>
          <cell r="C652">
            <v>1153062.9545454546</v>
          </cell>
          <cell r="D652">
            <v>661459.09090909071</v>
          </cell>
        </row>
        <row r="653">
          <cell r="A653">
            <v>1520003</v>
          </cell>
          <cell r="B653" t="str">
            <v>D&amp;D</v>
          </cell>
          <cell r="C653">
            <v>222126.13636363644</v>
          </cell>
          <cell r="D653">
            <v>154577.27272727276</v>
          </cell>
        </row>
        <row r="654">
          <cell r="A654">
            <v>1520010</v>
          </cell>
          <cell r="B654" t="str">
            <v>LUCKY</v>
          </cell>
          <cell r="C654">
            <v>1898961.9545454544</v>
          </cell>
          <cell r="D654">
            <v>2376642.9545454546</v>
          </cell>
        </row>
        <row r="655">
          <cell r="A655">
            <v>1520028</v>
          </cell>
          <cell r="B655" t="str">
            <v>PEPSI JAYA MANDIRI</v>
          </cell>
          <cell r="C655">
            <v>953590.90909090894</v>
          </cell>
          <cell r="D655">
            <v>3384773.1818181821</v>
          </cell>
        </row>
        <row r="656">
          <cell r="A656">
            <v>1540614</v>
          </cell>
          <cell r="B656" t="str">
            <v>TO. ROMA FARMA</v>
          </cell>
          <cell r="C656">
            <v>1274054.2272727273</v>
          </cell>
          <cell r="D656">
            <v>1678782.9545454546</v>
          </cell>
        </row>
        <row r="657">
          <cell r="A657">
            <v>1542635</v>
          </cell>
          <cell r="B657" t="str">
            <v>APT. ANTARA</v>
          </cell>
          <cell r="C657">
            <v>885231.81818181812</v>
          </cell>
          <cell r="D657">
            <v>1023068.1818181819</v>
          </cell>
        </row>
        <row r="658">
          <cell r="A658">
            <v>1560030</v>
          </cell>
          <cell r="B658" t="str">
            <v>CAHAYA HATI MART</v>
          </cell>
          <cell r="C658">
            <v>205100</v>
          </cell>
          <cell r="D658">
            <v>-205022.04545454547</v>
          </cell>
        </row>
        <row r="659">
          <cell r="A659">
            <v>1560032</v>
          </cell>
          <cell r="B659" t="str">
            <v>APOTIK MENTARI FARMA</v>
          </cell>
          <cell r="C659">
            <v>-132443.18181818182</v>
          </cell>
        </row>
        <row r="660">
          <cell r="A660">
            <v>1560041</v>
          </cell>
          <cell r="B660" t="str">
            <v>PT. BERSAMA GLAMINDO JAYA ( MISS GLAM )</v>
          </cell>
          <cell r="C660">
            <v>130737450.86363634</v>
          </cell>
          <cell r="D660">
            <v>106571874.18181819</v>
          </cell>
        </row>
        <row r="661">
          <cell r="A661">
            <v>1560086</v>
          </cell>
          <cell r="B661" t="str">
            <v>8 MART</v>
          </cell>
          <cell r="C661">
            <v>-44500.909090909088</v>
          </cell>
          <cell r="D661">
            <v>497168.18181818182</v>
          </cell>
        </row>
        <row r="662">
          <cell r="A662">
            <v>2046192</v>
          </cell>
          <cell r="B662" t="str">
            <v>TK. ORLIN</v>
          </cell>
          <cell r="C662">
            <v>199800.00000000006</v>
          </cell>
          <cell r="D662">
            <v>317863.63636363629</v>
          </cell>
        </row>
        <row r="663">
          <cell r="A663">
            <v>2110003</v>
          </cell>
          <cell r="B663" t="str">
            <v>PT. MANDIRI SWADAYA PERKASA</v>
          </cell>
          <cell r="C663">
            <v>2683177.7727272729</v>
          </cell>
          <cell r="D663">
            <v>1690940.4545454553</v>
          </cell>
        </row>
        <row r="664">
          <cell r="A664">
            <v>2120001</v>
          </cell>
          <cell r="B664" t="str">
            <v>GALAXI</v>
          </cell>
          <cell r="C664">
            <v>1379958.2727272727</v>
          </cell>
          <cell r="D664">
            <v>2207866.3636363638</v>
          </cell>
        </row>
        <row r="665">
          <cell r="A665">
            <v>2120009</v>
          </cell>
          <cell r="B665" t="str">
            <v>CV. SARIGUNA SWALAYAN</v>
          </cell>
          <cell r="C665">
            <v>553168.63636363635</v>
          </cell>
          <cell r="D665">
            <v>1323306.2727272727</v>
          </cell>
        </row>
        <row r="666">
          <cell r="A666">
            <v>2130009</v>
          </cell>
          <cell r="B666" t="str">
            <v>GRS. JAYA PRIMA</v>
          </cell>
          <cell r="C666">
            <v>95029719.545454562</v>
          </cell>
          <cell r="D666">
            <v>19427443.63636364</v>
          </cell>
        </row>
        <row r="667">
          <cell r="A667">
            <v>2130010</v>
          </cell>
          <cell r="B667" t="str">
            <v>GRS. JIHAN</v>
          </cell>
          <cell r="C667">
            <v>3301759.0909090908</v>
          </cell>
          <cell r="D667">
            <v>3785127.2727272715</v>
          </cell>
        </row>
        <row r="668">
          <cell r="A668">
            <v>2140001</v>
          </cell>
          <cell r="B668" t="str">
            <v>AIDIL MEKAR</v>
          </cell>
          <cell r="C668">
            <v>132443.18181818182</v>
          </cell>
        </row>
        <row r="669">
          <cell r="A669">
            <v>2140005</v>
          </cell>
          <cell r="B669" t="str">
            <v>ALIKA FARMA</v>
          </cell>
          <cell r="C669">
            <v>295613.18181818177</v>
          </cell>
          <cell r="D669">
            <v>343249.77272727271</v>
          </cell>
        </row>
        <row r="670">
          <cell r="A670">
            <v>2140016</v>
          </cell>
          <cell r="B670" t="str">
            <v>APT. ANDA</v>
          </cell>
          <cell r="C670">
            <v>824762.72727272718</v>
          </cell>
          <cell r="D670">
            <v>507294.54545454535</v>
          </cell>
        </row>
        <row r="671">
          <cell r="A671">
            <v>2140018</v>
          </cell>
          <cell r="B671" t="str">
            <v>TK. ARMA</v>
          </cell>
          <cell r="C671">
            <v>123815.45454545456</v>
          </cell>
          <cell r="D671">
            <v>85671.363636363647</v>
          </cell>
        </row>
        <row r="672">
          <cell r="A672">
            <v>2140022</v>
          </cell>
          <cell r="B672" t="str">
            <v>APT. DATABO</v>
          </cell>
          <cell r="C672">
            <v>2942595.0000000009</v>
          </cell>
          <cell r="D672">
            <v>3570300.0000000005</v>
          </cell>
        </row>
        <row r="673">
          <cell r="A673">
            <v>2140023</v>
          </cell>
          <cell r="B673" t="str">
            <v>APT. MANDAU</v>
          </cell>
          <cell r="C673">
            <v>415554.54545454547</v>
          </cell>
        </row>
        <row r="674">
          <cell r="A674">
            <v>2140031</v>
          </cell>
          <cell r="B674" t="str">
            <v>CASH</v>
          </cell>
          <cell r="C674">
            <v>313427.72727272729</v>
          </cell>
          <cell r="D674">
            <v>237888.63636363638</v>
          </cell>
        </row>
        <row r="675">
          <cell r="A675">
            <v>2140038</v>
          </cell>
          <cell r="B675" t="str">
            <v>ECY ANJ</v>
          </cell>
          <cell r="C675">
            <v>75000</v>
          </cell>
          <cell r="D675">
            <v>162913.40909090909</v>
          </cell>
        </row>
        <row r="676">
          <cell r="A676">
            <v>2140051</v>
          </cell>
          <cell r="B676" t="str">
            <v>ISTANA FARFUM</v>
          </cell>
          <cell r="C676">
            <v>12056203.636363635</v>
          </cell>
          <cell r="D676">
            <v>17208826.363636367</v>
          </cell>
        </row>
        <row r="677">
          <cell r="A677">
            <v>2140053</v>
          </cell>
          <cell r="B677" t="str">
            <v>KULIM FARMA</v>
          </cell>
          <cell r="C677">
            <v>500760.00000000006</v>
          </cell>
          <cell r="D677">
            <v>449845.00000000006</v>
          </cell>
        </row>
        <row r="678">
          <cell r="A678">
            <v>2140059</v>
          </cell>
          <cell r="B678" t="str">
            <v>MITRA FARMA</v>
          </cell>
          <cell r="C678">
            <v>855004.09090909094</v>
          </cell>
          <cell r="D678">
            <v>817534.09090909082</v>
          </cell>
        </row>
        <row r="679">
          <cell r="A679">
            <v>2140065</v>
          </cell>
          <cell r="B679" t="str">
            <v>PUTRA ANJ</v>
          </cell>
          <cell r="C679">
            <v>21000</v>
          </cell>
        </row>
        <row r="680">
          <cell r="A680">
            <v>2140069</v>
          </cell>
          <cell r="B680" t="str">
            <v>RIA ANJ</v>
          </cell>
          <cell r="C680">
            <v>267965.90909090912</v>
          </cell>
          <cell r="D680">
            <v>225492.90909090912</v>
          </cell>
        </row>
        <row r="681">
          <cell r="A681">
            <v>2140094</v>
          </cell>
          <cell r="B681" t="str">
            <v>TK. ANNISA COSMETIK</v>
          </cell>
          <cell r="C681">
            <v>6762199.6363636386</v>
          </cell>
          <cell r="D681">
            <v>7627374.5454545459</v>
          </cell>
        </row>
        <row r="682">
          <cell r="A682">
            <v>2140115</v>
          </cell>
          <cell r="B682" t="str">
            <v>TK. BUNDA</v>
          </cell>
          <cell r="C682">
            <v>72450</v>
          </cell>
          <cell r="D682">
            <v>4814645.0454545468</v>
          </cell>
        </row>
        <row r="683">
          <cell r="A683">
            <v>2140119</v>
          </cell>
          <cell r="B683" t="str">
            <v>TK. DAFA</v>
          </cell>
          <cell r="C683">
            <v>150985.22727272729</v>
          </cell>
          <cell r="D683">
            <v>313354.54545454541</v>
          </cell>
        </row>
        <row r="684">
          <cell r="A684">
            <v>2140120</v>
          </cell>
          <cell r="B684" t="str">
            <v>TK. DELMAR</v>
          </cell>
          <cell r="C684">
            <v>812947.72727272718</v>
          </cell>
          <cell r="D684">
            <v>1602507.9545454541</v>
          </cell>
        </row>
        <row r="685">
          <cell r="A685">
            <v>2140237</v>
          </cell>
          <cell r="B685" t="str">
            <v>TK. YOLANDA FARMA</v>
          </cell>
          <cell r="C685">
            <v>1017693.4090909088</v>
          </cell>
          <cell r="D685">
            <v>782513.18181818177</v>
          </cell>
        </row>
        <row r="686">
          <cell r="A686">
            <v>2140275</v>
          </cell>
          <cell r="B686" t="str">
            <v>AULIA COSMETIC</v>
          </cell>
          <cell r="C686">
            <v>132443.18181818182</v>
          </cell>
          <cell r="D686">
            <v>286036.81818181818</v>
          </cell>
        </row>
        <row r="687">
          <cell r="A687">
            <v>2140338</v>
          </cell>
          <cell r="B687" t="str">
            <v>APT. N24</v>
          </cell>
          <cell r="C687">
            <v>129389</v>
          </cell>
          <cell r="D687">
            <v>132443.90909090909</v>
          </cell>
        </row>
        <row r="688">
          <cell r="A688">
            <v>2140494</v>
          </cell>
          <cell r="B688" t="str">
            <v>TK. USMAN</v>
          </cell>
          <cell r="C688">
            <v>132443.18181818182</v>
          </cell>
          <cell r="D688">
            <v>2342196.8181818184</v>
          </cell>
        </row>
        <row r="689">
          <cell r="A689">
            <v>2140520</v>
          </cell>
          <cell r="B689" t="str">
            <v>ANJ AGUS</v>
          </cell>
          <cell r="C689">
            <v>43900</v>
          </cell>
          <cell r="D689">
            <v>155753.18181818182</v>
          </cell>
        </row>
        <row r="690">
          <cell r="A690">
            <v>2140521</v>
          </cell>
          <cell r="B690" t="str">
            <v>TK. LILIS</v>
          </cell>
          <cell r="C690">
            <v>596374.18181818177</v>
          </cell>
          <cell r="D690">
            <v>311420.45454545453</v>
          </cell>
        </row>
        <row r="691">
          <cell r="A691">
            <v>2140535</v>
          </cell>
          <cell r="B691" t="str">
            <v>TK. EVI</v>
          </cell>
          <cell r="C691">
            <v>131587.90909090909</v>
          </cell>
          <cell r="D691">
            <v>61983.409090909081</v>
          </cell>
        </row>
        <row r="692">
          <cell r="A692">
            <v>2140566</v>
          </cell>
          <cell r="B692" t="str">
            <v>TK. WIJAYA FARMA</v>
          </cell>
          <cell r="C692">
            <v>704067.95454545459</v>
          </cell>
          <cell r="D692">
            <v>252171.81818181818</v>
          </cell>
        </row>
        <row r="693">
          <cell r="A693">
            <v>2140582</v>
          </cell>
          <cell r="B693" t="str">
            <v>APT. SAUDARA</v>
          </cell>
          <cell r="C693">
            <v>518413.63636363624</v>
          </cell>
          <cell r="D693">
            <v>357293.86363636365</v>
          </cell>
        </row>
        <row r="694">
          <cell r="A694">
            <v>2140789</v>
          </cell>
          <cell r="B694" t="str">
            <v>TK. JASA MEDIKA</v>
          </cell>
          <cell r="C694">
            <v>266954.54545454547</v>
          </cell>
          <cell r="D694">
            <v>270334</v>
          </cell>
        </row>
        <row r="695">
          <cell r="A695">
            <v>2140802</v>
          </cell>
          <cell r="B695" t="str">
            <v>ANJ ADE PAMUNGKAS</v>
          </cell>
          <cell r="C695">
            <v>490236.36363636365</v>
          </cell>
          <cell r="D695">
            <v>79465.909090909088</v>
          </cell>
        </row>
        <row r="696">
          <cell r="A696">
            <v>2140805</v>
          </cell>
          <cell r="B696" t="str">
            <v>TK. RONA TIO</v>
          </cell>
          <cell r="C696">
            <v>485363.63636363629</v>
          </cell>
          <cell r="D696">
            <v>531688.04545454541</v>
          </cell>
        </row>
        <row r="697">
          <cell r="A697">
            <v>2140845</v>
          </cell>
          <cell r="B697" t="str">
            <v>TK. DUA BINTANG</v>
          </cell>
          <cell r="C697">
            <v>2347988.0454545459</v>
          </cell>
          <cell r="D697">
            <v>2495919.7727272729</v>
          </cell>
        </row>
        <row r="698">
          <cell r="A698">
            <v>2140849</v>
          </cell>
          <cell r="B698" t="str">
            <v>TK. SAMOSIR</v>
          </cell>
          <cell r="C698">
            <v>627634.09090909094</v>
          </cell>
          <cell r="D698">
            <v>323415.45454545453</v>
          </cell>
        </row>
        <row r="699">
          <cell r="A699">
            <v>2140890</v>
          </cell>
          <cell r="B699" t="str">
            <v>ANJ WANDA</v>
          </cell>
          <cell r="C699">
            <v>139960.45454545453</v>
          </cell>
          <cell r="D699">
            <v>248560.90909090909</v>
          </cell>
        </row>
        <row r="700">
          <cell r="A700">
            <v>2140895</v>
          </cell>
          <cell r="B700" t="str">
            <v>TK. TIO JAYA</v>
          </cell>
          <cell r="C700">
            <v>5341477.6818181826</v>
          </cell>
          <cell r="D700">
            <v>4385794.7727272743</v>
          </cell>
        </row>
        <row r="701">
          <cell r="A701">
            <v>2140931</v>
          </cell>
          <cell r="B701" t="str">
            <v>TK. AMI</v>
          </cell>
          <cell r="C701">
            <v>132443.18181818182</v>
          </cell>
          <cell r="D701">
            <v>1568125.2272727271</v>
          </cell>
        </row>
        <row r="702">
          <cell r="A702">
            <v>2140942</v>
          </cell>
          <cell r="B702" t="str">
            <v>TK. YONO</v>
          </cell>
          <cell r="C702">
            <v>129665.45454545456</v>
          </cell>
          <cell r="D702">
            <v>2554817.727272728</v>
          </cell>
        </row>
        <row r="703">
          <cell r="A703">
            <v>2140948</v>
          </cell>
          <cell r="B703" t="str">
            <v>TK. SEHATI DURI</v>
          </cell>
          <cell r="C703">
            <v>123865.9090909091</v>
          </cell>
          <cell r="D703">
            <v>154350</v>
          </cell>
        </row>
        <row r="704">
          <cell r="A704">
            <v>2140959</v>
          </cell>
          <cell r="B704" t="str">
            <v>ANJ RAIS</v>
          </cell>
          <cell r="C704">
            <v>25000</v>
          </cell>
          <cell r="D704">
            <v>99500</v>
          </cell>
        </row>
        <row r="705">
          <cell r="A705">
            <v>2140960</v>
          </cell>
          <cell r="B705" t="str">
            <v>ANJ SIDIQ</v>
          </cell>
          <cell r="C705">
            <v>52977.272727272728</v>
          </cell>
          <cell r="D705">
            <v>159310.22727272729</v>
          </cell>
        </row>
        <row r="706">
          <cell r="A706">
            <v>2140966</v>
          </cell>
          <cell r="B706" t="str">
            <v>TK. IQBAL</v>
          </cell>
          <cell r="C706">
            <v>476796.909090909</v>
          </cell>
          <cell r="D706">
            <v>15582008.181818184</v>
          </cell>
        </row>
        <row r="707">
          <cell r="A707">
            <v>2140995</v>
          </cell>
          <cell r="B707" t="str">
            <v>ANJ FAHMI</v>
          </cell>
          <cell r="C707">
            <v>22200</v>
          </cell>
          <cell r="D707">
            <v>2347288.6363636358</v>
          </cell>
        </row>
        <row r="708">
          <cell r="A708">
            <v>2141040</v>
          </cell>
          <cell r="B708" t="str">
            <v>TK. RAYA FARMA</v>
          </cell>
          <cell r="C708">
            <v>197075.45454545453</v>
          </cell>
          <cell r="D708">
            <v>143413.63636363635</v>
          </cell>
        </row>
        <row r="709">
          <cell r="A709">
            <v>2141043</v>
          </cell>
          <cell r="B709" t="str">
            <v>TK. TEGALSARI</v>
          </cell>
          <cell r="C709">
            <v>114430.90909090909</v>
          </cell>
          <cell r="D709">
            <v>133200</v>
          </cell>
        </row>
        <row r="710">
          <cell r="A710">
            <v>2141099</v>
          </cell>
          <cell r="B710" t="str">
            <v>TK. OBAT FATMA FARMA</v>
          </cell>
          <cell r="C710">
            <v>121847.72727272728</v>
          </cell>
          <cell r="D710">
            <v>-109363.63636363637</v>
          </cell>
        </row>
        <row r="711">
          <cell r="A711">
            <v>2141119</v>
          </cell>
          <cell r="B711" t="str">
            <v>TK. OBAT DEVITA</v>
          </cell>
          <cell r="C711">
            <v>294942.27272727271</v>
          </cell>
          <cell r="D711">
            <v>1324723.6363636362</v>
          </cell>
        </row>
        <row r="712">
          <cell r="A712">
            <v>2141129</v>
          </cell>
          <cell r="B712" t="str">
            <v>APT. SAUDARA</v>
          </cell>
          <cell r="C712">
            <v>392863.63636363635</v>
          </cell>
          <cell r="D712">
            <v>3216845.4545454551</v>
          </cell>
        </row>
        <row r="713">
          <cell r="A713">
            <v>2141130</v>
          </cell>
          <cell r="B713" t="str">
            <v>REKONSILIASI SO</v>
          </cell>
          <cell r="C713">
            <v>159024.54545454544</v>
          </cell>
          <cell r="D713">
            <v>51345.681818181823</v>
          </cell>
        </row>
        <row r="714">
          <cell r="A714">
            <v>2141131</v>
          </cell>
          <cell r="B714" t="str">
            <v>TK. NAJMA</v>
          </cell>
          <cell r="C714">
            <v>202650</v>
          </cell>
          <cell r="D714">
            <v>682840.90909090906</v>
          </cell>
        </row>
        <row r="715">
          <cell r="A715">
            <v>2141132</v>
          </cell>
          <cell r="B715" t="str">
            <v>TK. SINAGA SEBANGA</v>
          </cell>
          <cell r="C715">
            <v>363322.5</v>
          </cell>
          <cell r="D715">
            <v>305420.45454545453</v>
          </cell>
        </row>
        <row r="716">
          <cell r="A716">
            <v>2141137</v>
          </cell>
          <cell r="B716" t="str">
            <v>TK. IRA</v>
          </cell>
          <cell r="C716">
            <v>295040.45454545459</v>
          </cell>
        </row>
        <row r="717">
          <cell r="A717">
            <v>2141138</v>
          </cell>
          <cell r="B717" t="str">
            <v>MUBARAK COSMETIK</v>
          </cell>
          <cell r="C717">
            <v>2076122.0454545456</v>
          </cell>
          <cell r="D717">
            <v>2369964.9090909092</v>
          </cell>
        </row>
        <row r="718">
          <cell r="A718">
            <v>2141143</v>
          </cell>
          <cell r="B718" t="str">
            <v>REINISHA BEAUTY STORE</v>
          </cell>
          <cell r="C718">
            <v>2021703.9090909092</v>
          </cell>
          <cell r="D718">
            <v>5987020.9090909092</v>
          </cell>
        </row>
        <row r="719">
          <cell r="A719">
            <v>2141144</v>
          </cell>
          <cell r="B719" t="str">
            <v>JAYA FARMA SEBANGA</v>
          </cell>
          <cell r="C719">
            <v>567155.45454545459</v>
          </cell>
          <cell r="D719">
            <v>685232.72727272729</v>
          </cell>
        </row>
        <row r="720">
          <cell r="A720">
            <v>2141146</v>
          </cell>
          <cell r="B720" t="str">
            <v>BEAUTYFORIA</v>
          </cell>
          <cell r="C720">
            <v>1025229.5454545455</v>
          </cell>
          <cell r="D720">
            <v>4618658.1818181816</v>
          </cell>
        </row>
        <row r="721">
          <cell r="A721">
            <v>2141148</v>
          </cell>
          <cell r="B721" t="str">
            <v>SABRINA STORE</v>
          </cell>
          <cell r="C721">
            <v>19404104.590909097</v>
          </cell>
          <cell r="D721">
            <v>12689885.545454549</v>
          </cell>
        </row>
        <row r="722">
          <cell r="A722">
            <v>2141157</v>
          </cell>
          <cell r="B722" t="str">
            <v>APT. MUTIARA</v>
          </cell>
          <cell r="C722">
            <v>265974.54545454541</v>
          </cell>
          <cell r="D722">
            <v>123865.90909090909</v>
          </cell>
        </row>
        <row r="723">
          <cell r="A723">
            <v>2141158</v>
          </cell>
          <cell r="B723" t="str">
            <v>TK. IKA FARHMA</v>
          </cell>
          <cell r="C723">
            <v>995794.09090909071</v>
          </cell>
          <cell r="D723">
            <v>474369.09090909088</v>
          </cell>
        </row>
        <row r="724">
          <cell r="A724">
            <v>2141159</v>
          </cell>
          <cell r="B724" t="str">
            <v>TK. OBAT KASIH</v>
          </cell>
          <cell r="C724">
            <v>225900.00000000003</v>
          </cell>
          <cell r="D724">
            <v>459993.18181818177</v>
          </cell>
        </row>
        <row r="725">
          <cell r="A725">
            <v>2141160</v>
          </cell>
          <cell r="B725" t="str">
            <v>APT. ISTANA</v>
          </cell>
          <cell r="C725">
            <v>151200</v>
          </cell>
          <cell r="D725">
            <v>7271604.5454545459</v>
          </cell>
        </row>
        <row r="726">
          <cell r="A726">
            <v>2141165</v>
          </cell>
          <cell r="B726" t="str">
            <v>MARIGOLD</v>
          </cell>
          <cell r="C726">
            <v>841208.86363636376</v>
          </cell>
          <cell r="D726">
            <v>674817.68181818188</v>
          </cell>
        </row>
        <row r="727">
          <cell r="A727">
            <v>2141166</v>
          </cell>
          <cell r="B727" t="str">
            <v>TK. JESSLYN</v>
          </cell>
          <cell r="C727">
            <v>73260</v>
          </cell>
          <cell r="D727">
            <v>350400</v>
          </cell>
        </row>
        <row r="728">
          <cell r="A728">
            <v>2141233</v>
          </cell>
          <cell r="B728" t="str">
            <v>JM COSMETIC</v>
          </cell>
          <cell r="C728">
            <v>686585.45454545459</v>
          </cell>
          <cell r="D728">
            <v>335522.72727272729</v>
          </cell>
        </row>
        <row r="729">
          <cell r="A729">
            <v>2141235</v>
          </cell>
          <cell r="B729" t="str">
            <v>TK. CALYSTA</v>
          </cell>
          <cell r="C729">
            <v>210735</v>
          </cell>
          <cell r="D729">
            <v>873186.818181818</v>
          </cell>
        </row>
        <row r="730">
          <cell r="A730">
            <v>2220005</v>
          </cell>
          <cell r="B730" t="str">
            <v>FAMILY RUPATINDO NIAGA</v>
          </cell>
          <cell r="C730">
            <v>384463.63636363641</v>
          </cell>
          <cell r="D730">
            <v>9830653.6363636367</v>
          </cell>
        </row>
        <row r="731">
          <cell r="A731">
            <v>2220006</v>
          </cell>
          <cell r="B731" t="str">
            <v>HARI-HARI SWL</v>
          </cell>
          <cell r="C731">
            <v>1525929.5454545454</v>
          </cell>
          <cell r="D731">
            <v>1298060.0454545456</v>
          </cell>
        </row>
        <row r="732">
          <cell r="A732">
            <v>2220007</v>
          </cell>
          <cell r="B732" t="str">
            <v>CV. INDOJAYA MART</v>
          </cell>
          <cell r="C732">
            <v>1173649.0909090911</v>
          </cell>
          <cell r="D732">
            <v>939394.27272727271</v>
          </cell>
        </row>
        <row r="733">
          <cell r="A733">
            <v>2220013</v>
          </cell>
          <cell r="B733" t="str">
            <v>MM. PLANET MART</v>
          </cell>
          <cell r="C733">
            <v>240795</v>
          </cell>
          <cell r="D733">
            <v>224093.86363636365</v>
          </cell>
        </row>
        <row r="734">
          <cell r="A734">
            <v>2220017</v>
          </cell>
          <cell r="B734" t="str">
            <v>CV. BESTA SWALAYAN MANDIRI</v>
          </cell>
          <cell r="C734">
            <v>224400</v>
          </cell>
          <cell r="D734">
            <v>367200.40909090912</v>
          </cell>
        </row>
        <row r="735">
          <cell r="A735">
            <v>2220019</v>
          </cell>
          <cell r="B735" t="str">
            <v>CV. BATAM MEGA PERKASA</v>
          </cell>
          <cell r="C735">
            <v>2125103.1818181821</v>
          </cell>
          <cell r="D735">
            <v>983626.36363636365</v>
          </cell>
        </row>
        <row r="736">
          <cell r="A736">
            <v>2230004</v>
          </cell>
          <cell r="B736" t="str">
            <v>GRS. DUMAI 88</v>
          </cell>
          <cell r="C736">
            <v>-97478.181818181823</v>
          </cell>
          <cell r="D736">
            <v>3196800</v>
          </cell>
        </row>
        <row r="737">
          <cell r="A737">
            <v>2230005</v>
          </cell>
          <cell r="B737" t="str">
            <v>GRS. RAYHAN 2006</v>
          </cell>
          <cell r="C737">
            <v>456504.54545454541</v>
          </cell>
          <cell r="D737">
            <v>2354687.7272727275</v>
          </cell>
        </row>
        <row r="738">
          <cell r="A738">
            <v>2240012</v>
          </cell>
          <cell r="B738" t="str">
            <v>APT. MULIA</v>
          </cell>
          <cell r="C738">
            <v>3615864.5454545459</v>
          </cell>
          <cell r="D738">
            <v>3986009.9999999995</v>
          </cell>
        </row>
        <row r="739">
          <cell r="A739">
            <v>2240015</v>
          </cell>
          <cell r="B739" t="str">
            <v>ARINA BARU</v>
          </cell>
          <cell r="C739">
            <v>2048425.6818181821</v>
          </cell>
          <cell r="D739">
            <v>4159220.4545454555</v>
          </cell>
        </row>
        <row r="740">
          <cell r="A740">
            <v>2240016</v>
          </cell>
          <cell r="B740" t="str">
            <v>ARINA FARMA</v>
          </cell>
          <cell r="C740">
            <v>5596853.4090909101</v>
          </cell>
          <cell r="D740">
            <v>3623376.8181818188</v>
          </cell>
        </row>
        <row r="741">
          <cell r="A741">
            <v>2240062</v>
          </cell>
          <cell r="B741" t="str">
            <v>SEHAT UTAMA</v>
          </cell>
          <cell r="C741">
            <v>370840.90909090912</v>
          </cell>
          <cell r="D741">
            <v>1917070.2272727271</v>
          </cell>
        </row>
        <row r="742">
          <cell r="A742">
            <v>2240068</v>
          </cell>
          <cell r="B742" t="str">
            <v>SNACK PELITA</v>
          </cell>
          <cell r="C742">
            <v>9100840.1363636386</v>
          </cell>
          <cell r="D742">
            <v>-55626.13636363636</v>
          </cell>
        </row>
        <row r="743">
          <cell r="A743">
            <v>2240070</v>
          </cell>
          <cell r="B743" t="str">
            <v>SUKA JAYA</v>
          </cell>
          <cell r="C743">
            <v>5864161.3636363652</v>
          </cell>
          <cell r="D743">
            <v>10640697.090909094</v>
          </cell>
        </row>
        <row r="744">
          <cell r="A744">
            <v>2240075</v>
          </cell>
          <cell r="B744" t="str">
            <v>TK. ABDILLAH</v>
          </cell>
          <cell r="C744">
            <v>151200</v>
          </cell>
          <cell r="D744">
            <v>149395.90909090909</v>
          </cell>
        </row>
        <row r="745">
          <cell r="A745">
            <v>2240086</v>
          </cell>
          <cell r="B745" t="str">
            <v>TK. ALVERO FARMA</v>
          </cell>
          <cell r="C745">
            <v>953590.90909090894</v>
          </cell>
          <cell r="D745">
            <v>373489.77272727276</v>
          </cell>
        </row>
        <row r="746">
          <cell r="A746">
            <v>2240097</v>
          </cell>
          <cell r="B746" t="str">
            <v>TK. BOMBAT</v>
          </cell>
          <cell r="C746">
            <v>121500</v>
          </cell>
          <cell r="D746">
            <v>20549940.000000004</v>
          </cell>
        </row>
        <row r="747">
          <cell r="A747">
            <v>2240110</v>
          </cell>
          <cell r="B747" t="str">
            <v>TK. DONI</v>
          </cell>
          <cell r="C747">
            <v>197529.54545454547</v>
          </cell>
          <cell r="D747">
            <v>591226.36363636353</v>
          </cell>
        </row>
        <row r="748">
          <cell r="A748">
            <v>2240111</v>
          </cell>
          <cell r="B748" t="str">
            <v>TK. DUMAI 88 BARU</v>
          </cell>
          <cell r="C748">
            <v>6570545.8636363652</v>
          </cell>
          <cell r="D748">
            <v>4254903.3636363652</v>
          </cell>
        </row>
        <row r="749">
          <cell r="A749">
            <v>2240145</v>
          </cell>
          <cell r="B749" t="str">
            <v>TK. MESRA JAYA</v>
          </cell>
          <cell r="C749">
            <v>170100</v>
          </cell>
          <cell r="D749">
            <v>506100</v>
          </cell>
        </row>
        <row r="750">
          <cell r="A750">
            <v>2240155</v>
          </cell>
          <cell r="B750" t="str">
            <v>TK. PUTRA MANDIRI</v>
          </cell>
          <cell r="C750">
            <v>6065034.5454545459</v>
          </cell>
          <cell r="D750">
            <v>6081597.2727272753</v>
          </cell>
        </row>
        <row r="751">
          <cell r="A751">
            <v>2240170</v>
          </cell>
          <cell r="B751" t="str">
            <v>TK. SUNARTO</v>
          </cell>
          <cell r="C751">
            <v>1822919.7727272725</v>
          </cell>
          <cell r="D751">
            <v>898177.49999999988</v>
          </cell>
        </row>
        <row r="752">
          <cell r="A752">
            <v>2240176</v>
          </cell>
          <cell r="B752" t="str">
            <v>TK. ULFA FARMA</v>
          </cell>
          <cell r="C752">
            <v>2207216.8181818188</v>
          </cell>
          <cell r="D752">
            <v>3958006.3636363633</v>
          </cell>
        </row>
        <row r="753">
          <cell r="A753">
            <v>2240246</v>
          </cell>
          <cell r="B753" t="str">
            <v>TK. BINTANG PUTIH</v>
          </cell>
          <cell r="C753">
            <v>374563.63636363635</v>
          </cell>
          <cell r="D753">
            <v>635727.27272727271</v>
          </cell>
        </row>
        <row r="754">
          <cell r="A754">
            <v>2240247</v>
          </cell>
          <cell r="B754" t="str">
            <v>TK. SAUDARA CABANG SENTOSA</v>
          </cell>
          <cell r="C754">
            <v>133200.00000000003</v>
          </cell>
          <cell r="D754">
            <v>844705.90909090906</v>
          </cell>
        </row>
        <row r="755">
          <cell r="A755">
            <v>2240267</v>
          </cell>
          <cell r="B755" t="str">
            <v>TK. ABC</v>
          </cell>
          <cell r="C755">
            <v>151200</v>
          </cell>
          <cell r="D755">
            <v>-150000</v>
          </cell>
        </row>
        <row r="756">
          <cell r="A756">
            <v>2240330</v>
          </cell>
          <cell r="B756" t="str">
            <v>TK. SKH</v>
          </cell>
          <cell r="C756">
            <v>466169.72727272729</v>
          </cell>
          <cell r="D756">
            <v>749004.54545454541</v>
          </cell>
        </row>
        <row r="757">
          <cell r="A757">
            <v>2240340</v>
          </cell>
          <cell r="B757" t="str">
            <v>TK. SAMAR</v>
          </cell>
          <cell r="C757">
            <v>367813.63636363635</v>
          </cell>
          <cell r="D757">
            <v>133636.36363636365</v>
          </cell>
        </row>
        <row r="758">
          <cell r="A758">
            <v>2240410</v>
          </cell>
          <cell r="B758" t="str">
            <v>TK. AIDIL FARMA</v>
          </cell>
          <cell r="C758">
            <v>1165504.3636363633</v>
          </cell>
          <cell r="D758">
            <v>1145843.1818181816</v>
          </cell>
        </row>
        <row r="759">
          <cell r="A759">
            <v>2240479</v>
          </cell>
          <cell r="B759" t="str">
            <v>TK. AURA COSMETIK</v>
          </cell>
          <cell r="C759">
            <v>401567.72727272724</v>
          </cell>
          <cell r="D759">
            <v>283958.18181818182</v>
          </cell>
        </row>
        <row r="760">
          <cell r="A760">
            <v>2240490</v>
          </cell>
          <cell r="B760" t="str">
            <v>TO. NURUL</v>
          </cell>
          <cell r="C760">
            <v>1897650.2727272725</v>
          </cell>
          <cell r="D760">
            <v>150354.54545454544</v>
          </cell>
        </row>
        <row r="761">
          <cell r="A761">
            <v>2240540</v>
          </cell>
          <cell r="B761" t="str">
            <v>TK. NINSO</v>
          </cell>
          <cell r="C761">
            <v>228861.81818181818</v>
          </cell>
          <cell r="D761">
            <v>3674945.454545456</v>
          </cell>
        </row>
        <row r="762">
          <cell r="A762">
            <v>2240639</v>
          </cell>
          <cell r="B762" t="str">
            <v>TK. 9 NAGA MAS</v>
          </cell>
          <cell r="C762">
            <v>264150.00000000006</v>
          </cell>
          <cell r="D762">
            <v>425937.27272727271</v>
          </cell>
        </row>
        <row r="763">
          <cell r="A763">
            <v>2240640</v>
          </cell>
          <cell r="B763" t="str">
            <v>MAKE UP STORE</v>
          </cell>
          <cell r="C763">
            <v>6675079.8181818202</v>
          </cell>
          <cell r="D763">
            <v>66600</v>
          </cell>
        </row>
        <row r="764">
          <cell r="A764">
            <v>2240645</v>
          </cell>
          <cell r="B764" t="str">
            <v>APT. MULIA MEDIKA</v>
          </cell>
          <cell r="C764">
            <v>1020714.5454545455</v>
          </cell>
          <cell r="D764">
            <v>698770.22727272718</v>
          </cell>
        </row>
        <row r="765">
          <cell r="A765">
            <v>2240963</v>
          </cell>
          <cell r="B765" t="str">
            <v>TK. PRIMA SEHAT</v>
          </cell>
          <cell r="C765">
            <v>1036669.3636363635</v>
          </cell>
          <cell r="D765">
            <v>2340578.1818181821</v>
          </cell>
        </row>
        <row r="766">
          <cell r="A766">
            <v>2241038</v>
          </cell>
          <cell r="B766" t="str">
            <v>APT. GOHIMA</v>
          </cell>
          <cell r="C766">
            <v>1523821.8181818186</v>
          </cell>
          <cell r="D766">
            <v>2761660.9090909101</v>
          </cell>
        </row>
        <row r="767">
          <cell r="A767">
            <v>2241039</v>
          </cell>
          <cell r="B767" t="str">
            <v>TK. INDAH</v>
          </cell>
          <cell r="C767">
            <v>2393109.0909090913</v>
          </cell>
          <cell r="D767">
            <v>498818.18181818177</v>
          </cell>
        </row>
        <row r="768">
          <cell r="A768">
            <v>2241042</v>
          </cell>
          <cell r="B768" t="str">
            <v>APT. LABORA</v>
          </cell>
          <cell r="C768">
            <v>397329.54545454541</v>
          </cell>
          <cell r="D768">
            <v>2161159.0909090913</v>
          </cell>
        </row>
        <row r="769">
          <cell r="A769">
            <v>2241049</v>
          </cell>
          <cell r="B769" t="str">
            <v>TK. JJ MART</v>
          </cell>
          <cell r="C769">
            <v>1092041.5909090911</v>
          </cell>
          <cell r="D769">
            <v>136165.90909090909</v>
          </cell>
        </row>
        <row r="770">
          <cell r="A770">
            <v>2241052</v>
          </cell>
          <cell r="B770" t="str">
            <v>TK. JAYA</v>
          </cell>
          <cell r="C770">
            <v>4332484.6363636386</v>
          </cell>
          <cell r="D770">
            <v>1188998.1818181819</v>
          </cell>
        </row>
        <row r="771">
          <cell r="A771">
            <v>2241054</v>
          </cell>
          <cell r="B771" t="str">
            <v>CV. BATAM MEGA PERKASA</v>
          </cell>
          <cell r="C771">
            <v>1639800</v>
          </cell>
          <cell r="D771">
            <v>565891.81818181812</v>
          </cell>
        </row>
        <row r="772">
          <cell r="A772">
            <v>2241056</v>
          </cell>
          <cell r="B772" t="str">
            <v>TOSERBA SEMANGAT</v>
          </cell>
          <cell r="C772">
            <v>-285855.27272727276</v>
          </cell>
          <cell r="D772">
            <v>887563.63636363635</v>
          </cell>
        </row>
        <row r="773">
          <cell r="A773">
            <v>2241057</v>
          </cell>
          <cell r="B773" t="str">
            <v>MISS GLAM DUMAI</v>
          </cell>
          <cell r="C773">
            <v>52744786.545454532</v>
          </cell>
          <cell r="D773">
            <v>19784994.045454547</v>
          </cell>
        </row>
        <row r="774">
          <cell r="A774">
            <v>2241058</v>
          </cell>
          <cell r="B774" t="str">
            <v>TK. OLSHOP</v>
          </cell>
          <cell r="C774">
            <v>17784539.454545464</v>
          </cell>
          <cell r="D774">
            <v>158931.81818181818</v>
          </cell>
        </row>
        <row r="775">
          <cell r="A775" t="str">
            <v>130-NAZMATK</v>
          </cell>
          <cell r="B775" t="str">
            <v>TK. OSHOP DUMAI</v>
          </cell>
          <cell r="C775">
            <v>3583275.0000000009</v>
          </cell>
          <cell r="D775">
            <v>12102460.90909091</v>
          </cell>
        </row>
        <row r="776">
          <cell r="A776">
            <v>2241059</v>
          </cell>
          <cell r="B776" t="str">
            <v>MIRACLE BEAUTY STORE</v>
          </cell>
          <cell r="C776">
            <v>5186031.9999999963</v>
          </cell>
          <cell r="D776">
            <v>1059021.3636363638</v>
          </cell>
        </row>
        <row r="777">
          <cell r="A777">
            <v>2310001</v>
          </cell>
          <cell r="B777" t="str">
            <v>CV. MAKMUR JAYA ABADI SEMPURNA</v>
          </cell>
          <cell r="C777">
            <v>2864335.0909090918</v>
          </cell>
          <cell r="D777">
            <v>2709642.2727272734</v>
          </cell>
        </row>
        <row r="778">
          <cell r="A778">
            <v>2320014</v>
          </cell>
          <cell r="B778" t="str">
            <v>B MART</v>
          </cell>
          <cell r="C778">
            <v>211909.09090909091</v>
          </cell>
          <cell r="D778">
            <v>274220.45454545453</v>
          </cell>
        </row>
        <row r="779">
          <cell r="A779">
            <v>2330019</v>
          </cell>
          <cell r="B779" t="str">
            <v>TK. ANEKA HIKMAH</v>
          </cell>
          <cell r="C779">
            <v>199800.00000000006</v>
          </cell>
          <cell r="D779">
            <v>288000</v>
          </cell>
        </row>
        <row r="780">
          <cell r="A780">
            <v>2340009</v>
          </cell>
          <cell r="B780" t="str">
            <v>MULIA MAJU</v>
          </cell>
          <cell r="C780">
            <v>604243.63636363624</v>
          </cell>
          <cell r="D780">
            <v>314837.09090909094</v>
          </cell>
        </row>
        <row r="781">
          <cell r="A781">
            <v>2340051</v>
          </cell>
          <cell r="B781" t="str">
            <v>TK. TITIPAN ILAHI</v>
          </cell>
          <cell r="C781">
            <v>6302386.9090909101</v>
          </cell>
          <cell r="D781">
            <v>8152801.6363636386</v>
          </cell>
        </row>
        <row r="782">
          <cell r="A782">
            <v>2340053</v>
          </cell>
          <cell r="B782" t="str">
            <v>TK. ARAFAH</v>
          </cell>
          <cell r="C782">
            <v>688704.5454545453</v>
          </cell>
          <cell r="D782">
            <v>3854989.9999999995</v>
          </cell>
        </row>
        <row r="783">
          <cell r="A783">
            <v>2340057</v>
          </cell>
          <cell r="B783" t="str">
            <v>TK. VITA FARMA</v>
          </cell>
          <cell r="C783">
            <v>889596.81818181812</v>
          </cell>
          <cell r="D783">
            <v>1342745.4545454548</v>
          </cell>
        </row>
        <row r="784">
          <cell r="A784">
            <v>2340061</v>
          </cell>
          <cell r="B784" t="str">
            <v>TK. MARTUNAS FARMA</v>
          </cell>
          <cell r="C784">
            <v>137740.90909090909</v>
          </cell>
          <cell r="D784">
            <v>449247.27272727265</v>
          </cell>
        </row>
        <row r="785">
          <cell r="A785">
            <v>2340099</v>
          </cell>
          <cell r="B785" t="str">
            <v>TK. BUANA SWALAYAN</v>
          </cell>
          <cell r="C785">
            <v>141525</v>
          </cell>
          <cell r="D785">
            <v>130853.86363636365</v>
          </cell>
        </row>
        <row r="786">
          <cell r="A786">
            <v>2340107</v>
          </cell>
          <cell r="B786" t="str">
            <v>TK. VITA MARSADA</v>
          </cell>
          <cell r="C786">
            <v>1690483.0909090908</v>
          </cell>
          <cell r="D786">
            <v>734161.36363636365</v>
          </cell>
        </row>
        <row r="787">
          <cell r="A787">
            <v>2340120</v>
          </cell>
          <cell r="B787" t="str">
            <v>TK. MURAH</v>
          </cell>
          <cell r="C787">
            <v>317868</v>
          </cell>
          <cell r="D787">
            <v>9591363.6363636367</v>
          </cell>
        </row>
        <row r="788">
          <cell r="A788">
            <v>2340126</v>
          </cell>
          <cell r="B788" t="str">
            <v>TO. SEJAHTERA</v>
          </cell>
          <cell r="C788">
            <v>-22200.000000000004</v>
          </cell>
          <cell r="D788">
            <v>1297446.363636364</v>
          </cell>
        </row>
        <row r="789">
          <cell r="A789">
            <v>2340182</v>
          </cell>
          <cell r="B789" t="str">
            <v>TK. RAJU PONSEL</v>
          </cell>
          <cell r="C789">
            <v>246874.09090909088</v>
          </cell>
          <cell r="D789">
            <v>158931.81818181818</v>
          </cell>
        </row>
        <row r="790">
          <cell r="A790">
            <v>2340189</v>
          </cell>
          <cell r="B790" t="str">
            <v>TK. SINAR VITA</v>
          </cell>
          <cell r="C790">
            <v>827727.27272727259</v>
          </cell>
          <cell r="D790">
            <v>18779383.636363633</v>
          </cell>
        </row>
        <row r="791">
          <cell r="A791">
            <v>2340218</v>
          </cell>
          <cell r="B791" t="str">
            <v>TK. MURAHH</v>
          </cell>
          <cell r="C791">
            <v>228861.81818181818</v>
          </cell>
          <cell r="D791">
            <v>1684595.4545454544</v>
          </cell>
        </row>
        <row r="792">
          <cell r="A792">
            <v>2340252</v>
          </cell>
          <cell r="B792" t="str">
            <v>TK. PODOMORO</v>
          </cell>
          <cell r="C792">
            <v>112636.36363636363</v>
          </cell>
          <cell r="D792">
            <v>133200</v>
          </cell>
        </row>
        <row r="793">
          <cell r="A793">
            <v>2340270</v>
          </cell>
          <cell r="B793" t="str">
            <v>TK. BUMDES KANDIS</v>
          </cell>
          <cell r="C793">
            <v>310131.81818181812</v>
          </cell>
          <cell r="D793">
            <v>245386.90909090906</v>
          </cell>
        </row>
        <row r="794">
          <cell r="A794">
            <v>2340274</v>
          </cell>
          <cell r="B794" t="str">
            <v>TK. KUD LESTARI JAYA</v>
          </cell>
          <cell r="C794">
            <v>114430.90909090909</v>
          </cell>
          <cell r="D794">
            <v>1830372.2727272729</v>
          </cell>
        </row>
        <row r="795">
          <cell r="A795">
            <v>2340275</v>
          </cell>
          <cell r="B795" t="str">
            <v>TK. MARTUNAS JAYA</v>
          </cell>
          <cell r="C795">
            <v>264886.36363636365</v>
          </cell>
          <cell r="D795">
            <v>306954.54545454541</v>
          </cell>
        </row>
        <row r="796">
          <cell r="A796">
            <v>2340279</v>
          </cell>
          <cell r="B796" t="str">
            <v>TK. GLOBAL</v>
          </cell>
          <cell r="C796">
            <v>856592.45454545447</v>
          </cell>
          <cell r="D796">
            <v>810125.45454545435</v>
          </cell>
        </row>
        <row r="797">
          <cell r="A797">
            <v>2340346</v>
          </cell>
          <cell r="B797" t="str">
            <v>TK. MULIA MAJU 2</v>
          </cell>
          <cell r="C797">
            <v>271568.90909090906</v>
          </cell>
          <cell r="D797">
            <v>188599.09090909094</v>
          </cell>
        </row>
        <row r="798">
          <cell r="A798">
            <v>2340347</v>
          </cell>
          <cell r="B798" t="str">
            <v>TK. AMANAH</v>
          </cell>
          <cell r="C798">
            <v>4545848.5909090908</v>
          </cell>
          <cell r="D798">
            <v>1112763.8181818184</v>
          </cell>
        </row>
        <row r="799">
          <cell r="A799">
            <v>2340351</v>
          </cell>
          <cell r="B799" t="str">
            <v>JAYA FARMA PINGGIR</v>
          </cell>
          <cell r="C799">
            <v>137236.36363636365</v>
          </cell>
          <cell r="D799">
            <v>122226.13636363638</v>
          </cell>
        </row>
        <row r="800">
          <cell r="A800">
            <v>2340365</v>
          </cell>
          <cell r="B800" t="str">
            <v>APT. LAMGABE</v>
          </cell>
          <cell r="C800">
            <v>133200.00000000003</v>
          </cell>
          <cell r="D800">
            <v>146065.90909090912</v>
          </cell>
        </row>
        <row r="801">
          <cell r="A801">
            <v>2340366</v>
          </cell>
          <cell r="B801" t="str">
            <v>TK. OBAT SERASI</v>
          </cell>
          <cell r="C801">
            <v>242635.90909090912</v>
          </cell>
          <cell r="D801">
            <v>22863049.090909086</v>
          </cell>
        </row>
        <row r="802">
          <cell r="A802">
            <v>2340367</v>
          </cell>
          <cell r="B802" t="str">
            <v>APT. KASIH FARMA PINGGIR</v>
          </cell>
          <cell r="C802">
            <v>317863.63636363635</v>
          </cell>
          <cell r="D802">
            <v>654799.09090909094</v>
          </cell>
        </row>
        <row r="803">
          <cell r="A803">
            <v>2340374</v>
          </cell>
          <cell r="B803" t="str">
            <v>APT. TUNAS LAM JAYA</v>
          </cell>
          <cell r="C803">
            <v>317863.63636363629</v>
          </cell>
          <cell r="D803">
            <v>283958.18181818182</v>
          </cell>
        </row>
        <row r="804">
          <cell r="A804">
            <v>2340377</v>
          </cell>
          <cell r="B804" t="str">
            <v>TO. GIO FARMA</v>
          </cell>
          <cell r="C804">
            <v>132291.81818181818</v>
          </cell>
          <cell r="D804">
            <v>4419163.1818181835</v>
          </cell>
        </row>
        <row r="805">
          <cell r="A805">
            <v>2340387</v>
          </cell>
          <cell r="B805" t="str">
            <v>TK. NAFISAH</v>
          </cell>
          <cell r="C805">
            <v>1053316.9545454544</v>
          </cell>
          <cell r="D805">
            <v>463361.68181818182</v>
          </cell>
        </row>
        <row r="806">
          <cell r="A806">
            <v>2420001</v>
          </cell>
          <cell r="B806" t="str">
            <v>BINTANG MART</v>
          </cell>
          <cell r="C806">
            <v>111000.00000000001</v>
          </cell>
          <cell r="D806">
            <v>255954.54545454544</v>
          </cell>
        </row>
        <row r="807">
          <cell r="A807">
            <v>2420003</v>
          </cell>
          <cell r="B807" t="str">
            <v>HIDUP JAYA</v>
          </cell>
          <cell r="C807">
            <v>584485.63636363635</v>
          </cell>
          <cell r="D807">
            <v>4391044.0909090899</v>
          </cell>
        </row>
        <row r="808">
          <cell r="A808">
            <v>2420008</v>
          </cell>
          <cell r="B808" t="str">
            <v>SUNLIE</v>
          </cell>
          <cell r="C808">
            <v>1149508.6363636362</v>
          </cell>
          <cell r="D808">
            <v>3302278.6363636362</v>
          </cell>
        </row>
        <row r="809">
          <cell r="A809">
            <v>2420013</v>
          </cell>
          <cell r="B809" t="str">
            <v>MM. SANDI LAROS</v>
          </cell>
          <cell r="C809">
            <v>503200</v>
          </cell>
          <cell r="D809">
            <v>583733.86363636353</v>
          </cell>
        </row>
        <row r="810">
          <cell r="A810">
            <v>2440005</v>
          </cell>
          <cell r="B810" t="str">
            <v>APT. RIFQI FARMA</v>
          </cell>
          <cell r="C810">
            <v>679925.45454545447</v>
          </cell>
          <cell r="D810">
            <v>1545701.0454545452</v>
          </cell>
        </row>
        <row r="811">
          <cell r="A811">
            <v>2440012</v>
          </cell>
          <cell r="B811" t="str">
            <v>GOZA FARMA</v>
          </cell>
          <cell r="C811">
            <v>9014715.2727272753</v>
          </cell>
          <cell r="D811">
            <v>9485222.7272727303</v>
          </cell>
        </row>
        <row r="812">
          <cell r="A812">
            <v>2440019</v>
          </cell>
          <cell r="B812" t="str">
            <v>SENTOSA</v>
          </cell>
          <cell r="C812">
            <v>845618.18181818188</v>
          </cell>
          <cell r="D812">
            <v>1725081.8181818184</v>
          </cell>
        </row>
        <row r="813">
          <cell r="A813">
            <v>2440029</v>
          </cell>
          <cell r="B813" t="str">
            <v>TK. BERKAH</v>
          </cell>
          <cell r="C813">
            <v>2777705.727272728</v>
          </cell>
          <cell r="D813">
            <v>3719525.4545454555</v>
          </cell>
        </row>
        <row r="814">
          <cell r="A814">
            <v>2440087</v>
          </cell>
          <cell r="B814" t="str">
            <v>TK. HOK LIE</v>
          </cell>
          <cell r="C814">
            <v>317863.63636363635</v>
          </cell>
          <cell r="D814">
            <v>495463.63636363629</v>
          </cell>
        </row>
        <row r="815">
          <cell r="A815">
            <v>2440090</v>
          </cell>
          <cell r="B815" t="str">
            <v>TK. J FITRI</v>
          </cell>
          <cell r="C815">
            <v>317863.63636363635</v>
          </cell>
          <cell r="D815">
            <v>150000</v>
          </cell>
        </row>
        <row r="816">
          <cell r="A816">
            <v>2440108</v>
          </cell>
          <cell r="B816" t="str">
            <v>TK. MITRA FARMA</v>
          </cell>
          <cell r="C816">
            <v>133200</v>
          </cell>
          <cell r="D816">
            <v>888336.36363636365</v>
          </cell>
        </row>
        <row r="817">
          <cell r="A817">
            <v>2440119</v>
          </cell>
          <cell r="B817" t="str">
            <v>TK. JAYA FARMA</v>
          </cell>
          <cell r="C817">
            <v>366804.54545454553</v>
          </cell>
          <cell r="D817">
            <v>683018.18181818177</v>
          </cell>
        </row>
        <row r="818">
          <cell r="A818">
            <v>2440125</v>
          </cell>
          <cell r="B818" t="str">
            <v>TK. DOR MAR LUGA FARMA</v>
          </cell>
          <cell r="C818">
            <v>1801515.4090909092</v>
          </cell>
          <cell r="D818">
            <v>1843066.363636364</v>
          </cell>
        </row>
        <row r="819">
          <cell r="A819">
            <v>2440139</v>
          </cell>
          <cell r="B819" t="str">
            <v>TK. SAFNI</v>
          </cell>
          <cell r="C819">
            <v>129600.00000000001</v>
          </cell>
          <cell r="D819">
            <v>1369345.9090909092</v>
          </cell>
        </row>
        <row r="820">
          <cell r="A820">
            <v>2440160</v>
          </cell>
          <cell r="B820" t="str">
            <v>DAPOT FARMA</v>
          </cell>
          <cell r="C820">
            <v>2150512.5000000005</v>
          </cell>
          <cell r="D820">
            <v>3860359.0909090918</v>
          </cell>
        </row>
        <row r="821">
          <cell r="A821">
            <v>2440162</v>
          </cell>
          <cell r="B821" t="str">
            <v>TK. SINTONG JAYA</v>
          </cell>
          <cell r="C821">
            <v>1229466.6363636362</v>
          </cell>
          <cell r="D821">
            <v>655109.09090909082</v>
          </cell>
        </row>
        <row r="822">
          <cell r="A822">
            <v>2440173</v>
          </cell>
          <cell r="B822" t="str">
            <v>TK. RISKI FARMA</v>
          </cell>
          <cell r="C822">
            <v>677554.09090909082</v>
          </cell>
          <cell r="D822">
            <v>457723.63636363641</v>
          </cell>
        </row>
        <row r="823">
          <cell r="A823">
            <v>2440174</v>
          </cell>
          <cell r="B823" t="str">
            <v>TK. BILQISS</v>
          </cell>
          <cell r="C823">
            <v>-26488.636363636364</v>
          </cell>
          <cell r="D823">
            <v>301497.95454545453</v>
          </cell>
        </row>
        <row r="824">
          <cell r="A824">
            <v>2440185</v>
          </cell>
          <cell r="B824" t="str">
            <v>TK. AMMARA</v>
          </cell>
          <cell r="C824">
            <v>486818.18181818177</v>
          </cell>
          <cell r="D824">
            <v>566284.09090909082</v>
          </cell>
        </row>
        <row r="825">
          <cell r="A825">
            <v>2440189</v>
          </cell>
          <cell r="B825" t="str">
            <v>TK. SAFNI BARU</v>
          </cell>
          <cell r="C825">
            <v>111000.00000000001</v>
          </cell>
          <cell r="D825">
            <v>178600</v>
          </cell>
        </row>
        <row r="826">
          <cell r="A826">
            <v>2440196</v>
          </cell>
          <cell r="B826" t="str">
            <v>TK. IRWAN</v>
          </cell>
          <cell r="C826">
            <v>109500</v>
          </cell>
          <cell r="D826">
            <v>250772.72727272726</v>
          </cell>
        </row>
        <row r="827">
          <cell r="A827">
            <v>2440203</v>
          </cell>
          <cell r="B827" t="str">
            <v>TK. HANUAR HABIB</v>
          </cell>
          <cell r="C827">
            <v>317863.63636363629</v>
          </cell>
          <cell r="D827">
            <v>6953359.2727272734</v>
          </cell>
        </row>
        <row r="828">
          <cell r="A828">
            <v>2440207</v>
          </cell>
          <cell r="B828" t="str">
            <v>TK. CAHAYA BINTANG</v>
          </cell>
          <cell r="C828">
            <v>2535600.0000000005</v>
          </cell>
          <cell r="D828">
            <v>284563.63636363647</v>
          </cell>
        </row>
        <row r="829">
          <cell r="A829">
            <v>2440249</v>
          </cell>
          <cell r="B829" t="str">
            <v>TK. ZUL KIFLI</v>
          </cell>
          <cell r="C829">
            <v>128205</v>
          </cell>
          <cell r="D829">
            <v>111252.27272727275</v>
          </cell>
        </row>
        <row r="830">
          <cell r="A830">
            <v>2440256</v>
          </cell>
          <cell r="B830" t="str">
            <v>TK. BELEMBUK</v>
          </cell>
          <cell r="C830">
            <v>502574.54545454547</v>
          </cell>
          <cell r="D830">
            <v>633454.54545454541</v>
          </cell>
        </row>
        <row r="831">
          <cell r="A831">
            <v>2440261</v>
          </cell>
          <cell r="B831" t="str">
            <v>SEHAT BERSAMA</v>
          </cell>
          <cell r="C831">
            <v>6009231.1363636367</v>
          </cell>
          <cell r="D831">
            <v>3624642.4090909092</v>
          </cell>
        </row>
        <row r="832">
          <cell r="A832">
            <v>2440309</v>
          </cell>
          <cell r="B832" t="str">
            <v>APT. RAY</v>
          </cell>
          <cell r="C832">
            <v>767413.63636363635</v>
          </cell>
          <cell r="D832">
            <v>609268.63636363635</v>
          </cell>
        </row>
        <row r="833">
          <cell r="A833">
            <v>2440327</v>
          </cell>
          <cell r="B833" t="str">
            <v>TK. TOLHAS PONSEL</v>
          </cell>
          <cell r="C833">
            <v>141272.72727272726</v>
          </cell>
          <cell r="D833">
            <v>366600</v>
          </cell>
        </row>
        <row r="834">
          <cell r="A834">
            <v>2440336</v>
          </cell>
          <cell r="B834" t="str">
            <v>TK. OBAT SERASI</v>
          </cell>
          <cell r="C834">
            <v>355937.95454545453</v>
          </cell>
          <cell r="D834">
            <v>614171.13636363635</v>
          </cell>
        </row>
        <row r="835">
          <cell r="A835">
            <v>2440371</v>
          </cell>
          <cell r="B835" t="str">
            <v>BIDAN HERIATI</v>
          </cell>
          <cell r="C835">
            <v>317863.63636363629</v>
          </cell>
          <cell r="D835">
            <v>191272.72727272726</v>
          </cell>
        </row>
        <row r="836">
          <cell r="A836">
            <v>2440373</v>
          </cell>
          <cell r="B836" t="str">
            <v>TK. DOR MAR LUGA FARMA 2</v>
          </cell>
          <cell r="C836">
            <v>1855718.1818181816</v>
          </cell>
          <cell r="D836">
            <v>1021759.7727272727</v>
          </cell>
        </row>
        <row r="837">
          <cell r="A837">
            <v>2440375</v>
          </cell>
          <cell r="B837" t="str">
            <v>TK. RIAN BANGKO</v>
          </cell>
          <cell r="C837">
            <v>752492.04545454541</v>
          </cell>
          <cell r="D837">
            <v>205465.90909090909</v>
          </cell>
        </row>
        <row r="838">
          <cell r="A838">
            <v>2440405</v>
          </cell>
          <cell r="B838" t="str">
            <v>TK. AZ-ZAHRA</v>
          </cell>
          <cell r="C838">
            <v>336000</v>
          </cell>
          <cell r="D838">
            <v>355663.63636363635</v>
          </cell>
        </row>
        <row r="839">
          <cell r="A839">
            <v>2440406</v>
          </cell>
          <cell r="B839" t="str">
            <v>TK. KHANSA</v>
          </cell>
          <cell r="C839">
            <v>265950</v>
          </cell>
          <cell r="D839">
            <v>574813.63636363647</v>
          </cell>
        </row>
        <row r="840">
          <cell r="A840">
            <v>2440422</v>
          </cell>
          <cell r="B840" t="str">
            <v>APT. DIFA JAYA</v>
          </cell>
          <cell r="C840">
            <v>1062638.1818181816</v>
          </cell>
          <cell r="D840">
            <v>1369048.1818181821</v>
          </cell>
        </row>
        <row r="841">
          <cell r="A841">
            <v>2440427</v>
          </cell>
          <cell r="B841" t="str">
            <v>BIDAN TRI WAHYUNI</v>
          </cell>
          <cell r="C841">
            <v>462763.63636363635</v>
          </cell>
          <cell r="D841">
            <v>133200.00000000003</v>
          </cell>
        </row>
        <row r="842">
          <cell r="A842">
            <v>2440431</v>
          </cell>
          <cell r="B842" t="str">
            <v>TK. BERKAH RISKI FARMA</v>
          </cell>
          <cell r="C842">
            <v>810170.45454545459</v>
          </cell>
          <cell r="D842">
            <v>135318.18181818182</v>
          </cell>
        </row>
        <row r="843">
          <cell r="A843">
            <v>2440433</v>
          </cell>
          <cell r="B843" t="str">
            <v>TK. MARDIANA</v>
          </cell>
          <cell r="C843">
            <v>118215.00000000003</v>
          </cell>
          <cell r="D843">
            <v>299015.45454545459</v>
          </cell>
        </row>
        <row r="844">
          <cell r="A844">
            <v>2440434</v>
          </cell>
          <cell r="B844" t="str">
            <v>TK. REZEKI FARMA 2</v>
          </cell>
          <cell r="C844">
            <v>1557900.0000000002</v>
          </cell>
          <cell r="D844">
            <v>476795.45454545447</v>
          </cell>
        </row>
        <row r="845">
          <cell r="A845">
            <v>2440435</v>
          </cell>
          <cell r="B845" t="str">
            <v>TK. RIZKA</v>
          </cell>
          <cell r="C845">
            <v>141979.09090909091</v>
          </cell>
          <cell r="D845">
            <v>4231821.8181818184</v>
          </cell>
        </row>
        <row r="846">
          <cell r="A846">
            <v>2440442</v>
          </cell>
          <cell r="B846" t="str">
            <v>TK. RAMBE</v>
          </cell>
          <cell r="C846">
            <v>325800</v>
          </cell>
          <cell r="D846">
            <v>1616400</v>
          </cell>
        </row>
        <row r="847">
          <cell r="A847">
            <v>2440445</v>
          </cell>
          <cell r="B847" t="str">
            <v>TK. BERKAH</v>
          </cell>
          <cell r="C847">
            <v>136681.36363636362</v>
          </cell>
          <cell r="D847">
            <v>417450</v>
          </cell>
        </row>
        <row r="848">
          <cell r="A848">
            <v>2440447</v>
          </cell>
          <cell r="B848" t="str">
            <v>TK. R3 GEMILANG</v>
          </cell>
          <cell r="C848">
            <v>494339.99999999988</v>
          </cell>
          <cell r="D848">
            <v>450306.81818181812</v>
          </cell>
        </row>
        <row r="849">
          <cell r="A849">
            <v>2440448</v>
          </cell>
          <cell r="B849" t="str">
            <v>TK. RIA FARMA</v>
          </cell>
          <cell r="C849">
            <v>1173136.3636363633</v>
          </cell>
          <cell r="D849">
            <v>1090044.5454545454</v>
          </cell>
        </row>
        <row r="850">
          <cell r="A850">
            <v>2440450</v>
          </cell>
          <cell r="B850" t="str">
            <v>TO. ANUGERAH</v>
          </cell>
          <cell r="C850">
            <v>479747.04545454547</v>
          </cell>
          <cell r="D850">
            <v>635727.27272727259</v>
          </cell>
        </row>
        <row r="851">
          <cell r="A851">
            <v>2440452</v>
          </cell>
          <cell r="B851" t="str">
            <v>TK. SION</v>
          </cell>
          <cell r="C851">
            <v>317863.63636363635</v>
          </cell>
          <cell r="D851">
            <v>141272.72727272726</v>
          </cell>
        </row>
        <row r="852">
          <cell r="A852">
            <v>2440454</v>
          </cell>
          <cell r="B852" t="str">
            <v>TK. DEBANG JAYA</v>
          </cell>
          <cell r="C852">
            <v>270789.54545454547</v>
          </cell>
          <cell r="D852">
            <v>604385.90909090906</v>
          </cell>
        </row>
        <row r="853">
          <cell r="A853">
            <v>2440455</v>
          </cell>
          <cell r="B853" t="str">
            <v>DALANTA FARMA</v>
          </cell>
          <cell r="C853">
            <v>904508.18181818188</v>
          </cell>
          <cell r="D853">
            <v>287968.63636363635</v>
          </cell>
        </row>
        <row r="854">
          <cell r="A854">
            <v>2440457</v>
          </cell>
          <cell r="B854" t="str">
            <v>TK. TIO</v>
          </cell>
          <cell r="C854">
            <v>1076322.5454545454</v>
          </cell>
          <cell r="D854">
            <v>739050</v>
          </cell>
        </row>
        <row r="855">
          <cell r="A855">
            <v>2440458</v>
          </cell>
          <cell r="B855" t="str">
            <v>TK. ISTANA COSMETIK</v>
          </cell>
          <cell r="C855">
            <v>7009181.5909090918</v>
          </cell>
          <cell r="D855">
            <v>18510369.136363637</v>
          </cell>
        </row>
        <row r="856">
          <cell r="A856">
            <v>2440459</v>
          </cell>
          <cell r="B856" t="str">
            <v>APT. MR MEDICA</v>
          </cell>
          <cell r="C856">
            <v>317863.63636363635</v>
          </cell>
          <cell r="D856">
            <v>423818.18181818188</v>
          </cell>
        </row>
        <row r="857">
          <cell r="A857">
            <v>2440464</v>
          </cell>
          <cell r="B857" t="str">
            <v>ANCEL FARMA</v>
          </cell>
          <cell r="C857">
            <v>606551.81818181823</v>
          </cell>
          <cell r="D857">
            <v>635463.63636363647</v>
          </cell>
        </row>
        <row r="858">
          <cell r="A858">
            <v>2440465</v>
          </cell>
          <cell r="B858" t="str">
            <v>TK. AME</v>
          </cell>
          <cell r="C858">
            <v>566400</v>
          </cell>
          <cell r="D858">
            <v>900000</v>
          </cell>
        </row>
        <row r="859">
          <cell r="A859">
            <v>2440467</v>
          </cell>
          <cell r="B859" t="str">
            <v>APT. SINAR JAYA</v>
          </cell>
          <cell r="C859">
            <v>6590976.8181818174</v>
          </cell>
          <cell r="D859">
            <v>2002773.4090909094</v>
          </cell>
        </row>
        <row r="860">
          <cell r="A860">
            <v>2440479</v>
          </cell>
          <cell r="B860" t="str">
            <v>TK. SRI</v>
          </cell>
          <cell r="C860">
            <v>294792.40909090906</v>
          </cell>
          <cell r="D860">
            <v>951615.00000000012</v>
          </cell>
        </row>
        <row r="861">
          <cell r="A861">
            <v>2440484</v>
          </cell>
          <cell r="B861" t="str">
            <v>APT. AISYAH</v>
          </cell>
          <cell r="C861">
            <v>281215.45454545459</v>
          </cell>
          <cell r="D861">
            <v>599899.99999999988</v>
          </cell>
        </row>
        <row r="862">
          <cell r="A862">
            <v>2440486</v>
          </cell>
          <cell r="B862" t="str">
            <v>TK. OBAT MANDIRI</v>
          </cell>
          <cell r="C862">
            <v>859727.27272727247</v>
          </cell>
          <cell r="D862">
            <v>1160221.3636363635</v>
          </cell>
        </row>
        <row r="863">
          <cell r="A863">
            <v>2440491</v>
          </cell>
          <cell r="B863" t="str">
            <v>APT. RAFFA FARMA</v>
          </cell>
          <cell r="C863">
            <v>2244651.2727272734</v>
          </cell>
          <cell r="D863">
            <v>401944.09090909094</v>
          </cell>
        </row>
        <row r="864">
          <cell r="A864">
            <v>2520002</v>
          </cell>
          <cell r="B864" t="str">
            <v>SAMUDRA SWALAYAN</v>
          </cell>
          <cell r="C864">
            <v>3969556.4999999995</v>
          </cell>
          <cell r="D864">
            <v>5807511.4090909092</v>
          </cell>
        </row>
        <row r="865">
          <cell r="A865">
            <v>2520004</v>
          </cell>
          <cell r="B865" t="str">
            <v>SWALAYAN PELITA 2</v>
          </cell>
          <cell r="C865">
            <v>220385.45454545453</v>
          </cell>
          <cell r="D865">
            <v>256030.90909090912</v>
          </cell>
        </row>
        <row r="866">
          <cell r="A866">
            <v>2520007</v>
          </cell>
          <cell r="B866" t="str">
            <v>MM. AR RAHMAN</v>
          </cell>
          <cell r="C866">
            <v>1383723.4090909092</v>
          </cell>
          <cell r="D866">
            <v>3313953.4090909101</v>
          </cell>
        </row>
        <row r="867">
          <cell r="A867">
            <v>2520013</v>
          </cell>
          <cell r="B867" t="str">
            <v>TK. ULNABARU</v>
          </cell>
          <cell r="C867">
            <v>520239.27272727282</v>
          </cell>
          <cell r="D867">
            <v>542863.63636363624</v>
          </cell>
        </row>
        <row r="868">
          <cell r="A868">
            <v>2530018</v>
          </cell>
          <cell r="B868" t="str">
            <v>GRS. MUTIARA</v>
          </cell>
          <cell r="C868">
            <v>4794510.8181818184</v>
          </cell>
          <cell r="D868">
            <v>7303358.6363636348</v>
          </cell>
        </row>
        <row r="869">
          <cell r="A869">
            <v>2530022</v>
          </cell>
          <cell r="B869" t="str">
            <v>GRS. RAYA</v>
          </cell>
          <cell r="C869">
            <v>239474476.63636363</v>
          </cell>
          <cell r="D869">
            <v>29194800</v>
          </cell>
        </row>
        <row r="870">
          <cell r="A870">
            <v>2530029</v>
          </cell>
          <cell r="B870" t="str">
            <v>USAHA BARU</v>
          </cell>
          <cell r="C870">
            <v>11892344.318181822</v>
          </cell>
          <cell r="D870">
            <v>13670971.636363639</v>
          </cell>
        </row>
        <row r="871">
          <cell r="A871">
            <v>2530037</v>
          </cell>
          <cell r="B871" t="str">
            <v>TK. FIRDAUS FARMA</v>
          </cell>
          <cell r="C871">
            <v>388800</v>
          </cell>
          <cell r="D871">
            <v>216252.27272727276</v>
          </cell>
        </row>
        <row r="872">
          <cell r="A872">
            <v>2540022</v>
          </cell>
          <cell r="B872" t="str">
            <v>BINTANG TERANG</v>
          </cell>
          <cell r="C872">
            <v>1151286.5454545456</v>
          </cell>
          <cell r="D872">
            <v>134940.68181818182</v>
          </cell>
        </row>
        <row r="873">
          <cell r="A873">
            <v>2540087</v>
          </cell>
          <cell r="B873" t="str">
            <v>TK. OBAT ANUGRAH</v>
          </cell>
          <cell r="C873">
            <v>938400</v>
          </cell>
          <cell r="D873">
            <v>675818.18181818177</v>
          </cell>
        </row>
        <row r="874">
          <cell r="A874">
            <v>2540088</v>
          </cell>
          <cell r="B874" t="str">
            <v>TK. OBAT PERMATA</v>
          </cell>
          <cell r="C874">
            <v>4484740.9090909101</v>
          </cell>
          <cell r="D874">
            <v>2378603.1818181821</v>
          </cell>
        </row>
        <row r="875">
          <cell r="A875">
            <v>2540091</v>
          </cell>
          <cell r="B875" t="str">
            <v>TK. OBAT SEHAT</v>
          </cell>
          <cell r="C875">
            <v>317863.63636363635</v>
          </cell>
          <cell r="D875">
            <v>317868</v>
          </cell>
        </row>
        <row r="876">
          <cell r="A876">
            <v>2540131</v>
          </cell>
          <cell r="B876" t="str">
            <v>UD. FAMILI</v>
          </cell>
          <cell r="C876">
            <v>336000</v>
          </cell>
          <cell r="D876">
            <v>355552.27272727276</v>
          </cell>
        </row>
        <row r="877">
          <cell r="A877">
            <v>2540150</v>
          </cell>
          <cell r="B877" t="str">
            <v>TK. PRIMA MEDIKA</v>
          </cell>
          <cell r="C877">
            <v>2694156.1363636367</v>
          </cell>
          <cell r="D877">
            <v>4155186.1363636381</v>
          </cell>
        </row>
        <row r="878">
          <cell r="A878">
            <v>2540165</v>
          </cell>
          <cell r="B878" t="str">
            <v>TK. LIAN HUTAPEA</v>
          </cell>
          <cell r="C878">
            <v>111000.00000000001</v>
          </cell>
          <cell r="D878">
            <v>126000</v>
          </cell>
        </row>
        <row r="879">
          <cell r="A879">
            <v>2540184</v>
          </cell>
          <cell r="B879" t="str">
            <v>TK. HIDUP BARU</v>
          </cell>
          <cell r="C879">
            <v>1054069.0909090908</v>
          </cell>
          <cell r="D879">
            <v>1099354.0909090908</v>
          </cell>
        </row>
        <row r="880">
          <cell r="A880">
            <v>2540253</v>
          </cell>
          <cell r="B880" t="str">
            <v>TK. BERY</v>
          </cell>
          <cell r="C880">
            <v>310168.18181818182</v>
          </cell>
          <cell r="D880">
            <v>1302070.9090909092</v>
          </cell>
        </row>
        <row r="881">
          <cell r="A881">
            <v>2540254</v>
          </cell>
          <cell r="B881" t="str">
            <v>TK. JAYA FARMA BARU 2</v>
          </cell>
          <cell r="C881">
            <v>1167202.0454545456</v>
          </cell>
          <cell r="D881">
            <v>996764.31818181812</v>
          </cell>
        </row>
        <row r="882">
          <cell r="A882">
            <v>2540271</v>
          </cell>
          <cell r="B882" t="str">
            <v>UD. BOBOY</v>
          </cell>
          <cell r="C882">
            <v>266400.00000000006</v>
          </cell>
          <cell r="D882">
            <v>346849.22727272729</v>
          </cell>
        </row>
        <row r="883">
          <cell r="A883">
            <v>2540277</v>
          </cell>
          <cell r="B883" t="str">
            <v>TK. MEY FARMA</v>
          </cell>
          <cell r="C883">
            <v>1731867.2727272732</v>
          </cell>
          <cell r="D883">
            <v>1381647.2727272727</v>
          </cell>
        </row>
        <row r="884">
          <cell r="A884">
            <v>2540328</v>
          </cell>
          <cell r="B884" t="str">
            <v>HUTAPEA</v>
          </cell>
          <cell r="C884">
            <v>111000.00000000001</v>
          </cell>
          <cell r="D884">
            <v>141272.72727272726</v>
          </cell>
        </row>
        <row r="885">
          <cell r="A885">
            <v>2540343</v>
          </cell>
          <cell r="B885" t="str">
            <v>TK. SUKAJADI</v>
          </cell>
          <cell r="C885">
            <v>10556142.954545459</v>
          </cell>
          <cell r="D885">
            <v>5147427.2727272725</v>
          </cell>
        </row>
        <row r="886">
          <cell r="A886">
            <v>2540347</v>
          </cell>
          <cell r="B886" t="str">
            <v>TK. REZEKY FARMA</v>
          </cell>
          <cell r="C886">
            <v>763440.68181818188</v>
          </cell>
        </row>
        <row r="887">
          <cell r="A887">
            <v>2540371</v>
          </cell>
          <cell r="B887" t="str">
            <v>TK. RIAN</v>
          </cell>
          <cell r="C887">
            <v>4108482.5454545463</v>
          </cell>
          <cell r="D887">
            <v>317863.63636363635</v>
          </cell>
        </row>
        <row r="888">
          <cell r="A888">
            <v>2540429</v>
          </cell>
          <cell r="B888" t="str">
            <v>TK. OBAT LIA</v>
          </cell>
          <cell r="C888">
            <v>618984.5454545453</v>
          </cell>
          <cell r="D888">
            <v>1829727.2727272725</v>
          </cell>
        </row>
        <row r="889">
          <cell r="A889">
            <v>2540433</v>
          </cell>
          <cell r="B889" t="str">
            <v>BINTANG FARMA</v>
          </cell>
          <cell r="C889">
            <v>364058.18181818182</v>
          </cell>
          <cell r="D889">
            <v>897295.45454545459</v>
          </cell>
        </row>
        <row r="890">
          <cell r="A890">
            <v>2540444</v>
          </cell>
          <cell r="B890" t="str">
            <v>TK. OBAT MELATI</v>
          </cell>
          <cell r="C890">
            <v>2640446.9090909092</v>
          </cell>
          <cell r="D890">
            <v>3052670.4545454541</v>
          </cell>
        </row>
        <row r="891">
          <cell r="A891">
            <v>2540536</v>
          </cell>
          <cell r="B891" t="str">
            <v>TK. RENI PUJUD</v>
          </cell>
          <cell r="C891">
            <v>277676.59090909094</v>
          </cell>
          <cell r="D891">
            <v>201600</v>
          </cell>
        </row>
        <row r="892">
          <cell r="A892">
            <v>2540547</v>
          </cell>
          <cell r="B892" t="str">
            <v>TK. REZEQI MART</v>
          </cell>
          <cell r="C892">
            <v>441560.45454545459</v>
          </cell>
          <cell r="D892">
            <v>282619.77272727271</v>
          </cell>
        </row>
        <row r="893">
          <cell r="A893">
            <v>2540553</v>
          </cell>
          <cell r="B893" t="str">
            <v>TK. DEWI FARMA</v>
          </cell>
          <cell r="C893">
            <v>599947.15909090906</v>
          </cell>
          <cell r="D893">
            <v>336000</v>
          </cell>
        </row>
        <row r="894">
          <cell r="A894">
            <v>2540557</v>
          </cell>
          <cell r="B894" t="str">
            <v>TK. ARSHIYA</v>
          </cell>
          <cell r="C894">
            <v>493172.99999999988</v>
          </cell>
          <cell r="D894">
            <v>5747050.9090909101</v>
          </cell>
        </row>
        <row r="895">
          <cell r="A895">
            <v>2540562</v>
          </cell>
          <cell r="B895" t="str">
            <v>TK. CAHAYA KASIH</v>
          </cell>
          <cell r="C895">
            <v>317863.63636363635</v>
          </cell>
          <cell r="D895">
            <v>1476838.6363636362</v>
          </cell>
        </row>
        <row r="896">
          <cell r="A896">
            <v>2540565</v>
          </cell>
          <cell r="B896" t="str">
            <v>APT. MELATI</v>
          </cell>
          <cell r="C896">
            <v>2078081.7272727273</v>
          </cell>
          <cell r="D896">
            <v>7834650.2727272762</v>
          </cell>
        </row>
        <row r="897">
          <cell r="A897">
            <v>2540572</v>
          </cell>
          <cell r="B897" t="str">
            <v>TK. RAJA AGHNIA</v>
          </cell>
          <cell r="C897">
            <v>523583.40909090906</v>
          </cell>
          <cell r="D897">
            <v>141272.72727272726</v>
          </cell>
        </row>
        <row r="898">
          <cell r="A898">
            <v>2540579</v>
          </cell>
          <cell r="B898" t="str">
            <v>TK. PEBI</v>
          </cell>
          <cell r="C898">
            <v>166500.00000000006</v>
          </cell>
          <cell r="D898">
            <v>177000</v>
          </cell>
        </row>
        <row r="899">
          <cell r="A899">
            <v>2540580</v>
          </cell>
          <cell r="B899" t="str">
            <v>TK. MINI MARKET</v>
          </cell>
          <cell r="C899">
            <v>168954.54545454544</v>
          </cell>
          <cell r="D899">
            <v>471109.09090909094</v>
          </cell>
        </row>
        <row r="900">
          <cell r="A900">
            <v>2540582</v>
          </cell>
          <cell r="B900" t="str">
            <v>TK. ABIYAN KOSMETIK</v>
          </cell>
          <cell r="C900">
            <v>279568.63636363635</v>
          </cell>
          <cell r="D900">
            <v>496926.81818181818</v>
          </cell>
        </row>
        <row r="901">
          <cell r="A901">
            <v>2540583</v>
          </cell>
          <cell r="B901" t="str">
            <v>TK. PELITA FARMA</v>
          </cell>
          <cell r="C901">
            <v>599972.72727272729</v>
          </cell>
          <cell r="D901">
            <v>488954.54545454553</v>
          </cell>
        </row>
        <row r="902">
          <cell r="A902">
            <v>2540589</v>
          </cell>
          <cell r="B902" t="str">
            <v>APT. RATU FARMA</v>
          </cell>
          <cell r="C902">
            <v>300000</v>
          </cell>
          <cell r="D902">
            <v>211909.09090909088</v>
          </cell>
        </row>
        <row r="903">
          <cell r="A903">
            <v>2540593</v>
          </cell>
          <cell r="B903" t="str">
            <v>TK. OBAT HERI</v>
          </cell>
          <cell r="C903">
            <v>314072.72727272729</v>
          </cell>
          <cell r="D903">
            <v>1064843.1818181816</v>
          </cell>
        </row>
        <row r="904">
          <cell r="A904">
            <v>2540595</v>
          </cell>
          <cell r="B904" t="str">
            <v>TK. OBAT RIAU JAYA</v>
          </cell>
          <cell r="C904">
            <v>389535.95454545453</v>
          </cell>
          <cell r="D904">
            <v>474294.54545454535</v>
          </cell>
        </row>
        <row r="905">
          <cell r="A905">
            <v>2540599</v>
          </cell>
          <cell r="B905" t="str">
            <v>TK. OBAT SEHAT FARMA</v>
          </cell>
          <cell r="C905">
            <v>232116.13636363632</v>
          </cell>
          <cell r="D905">
            <v>1799700</v>
          </cell>
        </row>
        <row r="906">
          <cell r="A906">
            <v>2540601</v>
          </cell>
          <cell r="B906" t="str">
            <v>TK. FAUZI</v>
          </cell>
          <cell r="C906">
            <v>12302420.318181822</v>
          </cell>
          <cell r="D906">
            <v>1453418.1818181816</v>
          </cell>
        </row>
        <row r="907">
          <cell r="A907">
            <v>2540617</v>
          </cell>
          <cell r="B907" t="str">
            <v>TK. DIVO</v>
          </cell>
          <cell r="C907">
            <v>1071319.0909090908</v>
          </cell>
          <cell r="D907">
            <v>282252.27272727282</v>
          </cell>
        </row>
        <row r="908">
          <cell r="A908">
            <v>2540619</v>
          </cell>
          <cell r="B908" t="str">
            <v>TK. RATU COSMETIK</v>
          </cell>
          <cell r="C908">
            <v>635727.27272727259</v>
          </cell>
          <cell r="D908">
            <v>22368070.363636363</v>
          </cell>
        </row>
        <row r="909">
          <cell r="A909">
            <v>2620002</v>
          </cell>
          <cell r="B909" t="str">
            <v>PT. BERKAT BINA KARYA BERSAMA</v>
          </cell>
          <cell r="C909">
            <v>10714864.363636367</v>
          </cell>
          <cell r="D909">
            <v>9312051.5454545449</v>
          </cell>
        </row>
        <row r="910">
          <cell r="A910">
            <v>2620003</v>
          </cell>
          <cell r="B910" t="str">
            <v>TK. NARBUJU MART</v>
          </cell>
          <cell r="C910">
            <v>116398.63636363638</v>
          </cell>
          <cell r="D910">
            <v>246996.81818181818</v>
          </cell>
        </row>
        <row r="911">
          <cell r="A911">
            <v>2620004</v>
          </cell>
          <cell r="B911" t="str">
            <v>PEPSI JAYA</v>
          </cell>
          <cell r="C911">
            <v>10716753.409090916</v>
          </cell>
          <cell r="D911">
            <v>7292569.2272727294</v>
          </cell>
        </row>
        <row r="912">
          <cell r="A912">
            <v>2620006</v>
          </cell>
          <cell r="B912" t="str">
            <v>PACCEKA PLAZA</v>
          </cell>
          <cell r="C912">
            <v>584913.40909090918</v>
          </cell>
          <cell r="D912">
            <v>2387249.7272727271</v>
          </cell>
        </row>
        <row r="913">
          <cell r="A913">
            <v>2620008</v>
          </cell>
          <cell r="B913" t="str">
            <v>GLORI MART</v>
          </cell>
          <cell r="C913">
            <v>1053052.2272727271</v>
          </cell>
          <cell r="D913">
            <v>2400748.0909090918</v>
          </cell>
        </row>
        <row r="914">
          <cell r="A914">
            <v>2620011</v>
          </cell>
          <cell r="B914" t="str">
            <v>WE WE MART</v>
          </cell>
          <cell r="C914">
            <v>238397.72727272726</v>
          </cell>
          <cell r="D914">
            <v>105954.54545454546</v>
          </cell>
        </row>
        <row r="915">
          <cell r="A915">
            <v>2620012</v>
          </cell>
          <cell r="B915" t="str">
            <v>MM. MIDO</v>
          </cell>
          <cell r="C915">
            <v>170100</v>
          </cell>
          <cell r="D915">
            <v>676200</v>
          </cell>
        </row>
        <row r="916">
          <cell r="A916">
            <v>2630002</v>
          </cell>
          <cell r="B916" t="str">
            <v>GRS. LUCY COSMETIC</v>
          </cell>
          <cell r="C916">
            <v>9625174.0909090936</v>
          </cell>
          <cell r="D916">
            <v>5943593.454545456</v>
          </cell>
        </row>
        <row r="917">
          <cell r="A917">
            <v>2630008</v>
          </cell>
          <cell r="B917" t="str">
            <v>GRS. SARAH</v>
          </cell>
          <cell r="C917">
            <v>317863.63636363635</v>
          </cell>
          <cell r="D917">
            <v>516600</v>
          </cell>
        </row>
        <row r="918">
          <cell r="A918">
            <v>2640020</v>
          </cell>
          <cell r="B918" t="str">
            <v>TK. JUNIOR</v>
          </cell>
          <cell r="C918">
            <v>0</v>
          </cell>
          <cell r="D918">
            <v>247933.63636363638</v>
          </cell>
        </row>
        <row r="919">
          <cell r="A919">
            <v>2640024</v>
          </cell>
          <cell r="B919" t="str">
            <v>TK. RAEN FARMA</v>
          </cell>
          <cell r="C919">
            <v>2414982.2727272725</v>
          </cell>
          <cell r="D919">
            <v>1151952.9545454546</v>
          </cell>
        </row>
        <row r="920">
          <cell r="A920">
            <v>2640029</v>
          </cell>
          <cell r="B920" t="str">
            <v>TK. ZONA COSMETIK</v>
          </cell>
          <cell r="C920">
            <v>3477623.8636363647</v>
          </cell>
          <cell r="D920">
            <v>4215121.5909090908</v>
          </cell>
        </row>
        <row r="921">
          <cell r="A921">
            <v>2640049</v>
          </cell>
          <cell r="B921" t="str">
            <v>BINTANG HARMONY</v>
          </cell>
          <cell r="C921">
            <v>133200.00000000003</v>
          </cell>
          <cell r="D921">
            <v>4567145.1818181816</v>
          </cell>
        </row>
        <row r="922">
          <cell r="A922">
            <v>2640053</v>
          </cell>
          <cell r="B922" t="str">
            <v>TK. LATIFA BARU</v>
          </cell>
          <cell r="C922">
            <v>266400.00000000006</v>
          </cell>
          <cell r="D922">
            <v>50000</v>
          </cell>
        </row>
        <row r="923">
          <cell r="A923">
            <v>2640057</v>
          </cell>
          <cell r="B923" t="str">
            <v>CV. ADHIMUKTI JAYA LESTARI</v>
          </cell>
          <cell r="C923">
            <v>311383.63636363635</v>
          </cell>
          <cell r="D923">
            <v>276240.68181818182</v>
          </cell>
        </row>
        <row r="924">
          <cell r="A924">
            <v>2640111</v>
          </cell>
          <cell r="B924" t="str">
            <v>TK. ANTARA</v>
          </cell>
          <cell r="C924">
            <v>180977.04545454547</v>
          </cell>
          <cell r="D924">
            <v>75600</v>
          </cell>
        </row>
        <row r="925">
          <cell r="A925">
            <v>2640162</v>
          </cell>
          <cell r="B925" t="str">
            <v>TK. RATU COSMETIC</v>
          </cell>
          <cell r="C925">
            <v>1079590.9090909092</v>
          </cell>
          <cell r="D925">
            <v>936346.90909090883</v>
          </cell>
        </row>
        <row r="926">
          <cell r="A926">
            <v>2640213</v>
          </cell>
          <cell r="B926" t="str">
            <v>TK. TOBAKU HOUSE</v>
          </cell>
          <cell r="C926">
            <v>450675</v>
          </cell>
          <cell r="D926">
            <v>1534213.6363636362</v>
          </cell>
        </row>
        <row r="927">
          <cell r="A927">
            <v>2640214</v>
          </cell>
          <cell r="B927" t="str">
            <v>TK. KASIH FARMA</v>
          </cell>
          <cell r="C927">
            <v>1431503.1818181816</v>
          </cell>
          <cell r="D927">
            <v>5843361.2727272734</v>
          </cell>
        </row>
        <row r="928">
          <cell r="A928">
            <v>2640215</v>
          </cell>
          <cell r="B928" t="str">
            <v>APT. SIAK KECIL FARMA</v>
          </cell>
          <cell r="C928">
            <v>2495986.3636363633</v>
          </cell>
          <cell r="D928">
            <v>530863.63636363624</v>
          </cell>
        </row>
        <row r="929">
          <cell r="A929">
            <v>2640231</v>
          </cell>
          <cell r="B929" t="str">
            <v>TOBAKU MART</v>
          </cell>
          <cell r="C929">
            <v>674170.90909090906</v>
          </cell>
          <cell r="D929">
            <v>1285399.3636363638</v>
          </cell>
        </row>
        <row r="930">
          <cell r="A930">
            <v>2640232</v>
          </cell>
          <cell r="B930" t="str">
            <v>TK. JISO</v>
          </cell>
          <cell r="C930">
            <v>13908069.181818184</v>
          </cell>
          <cell r="D930">
            <v>6656222.1818181816</v>
          </cell>
        </row>
        <row r="931">
          <cell r="A931">
            <v>2640239</v>
          </cell>
          <cell r="B931" t="str">
            <v>ELIT MARKET</v>
          </cell>
          <cell r="C931">
            <v>199800.00000000006</v>
          </cell>
          <cell r="D931">
            <v>709895.45454545447</v>
          </cell>
        </row>
        <row r="932">
          <cell r="A932">
            <v>3431636</v>
          </cell>
          <cell r="B932" t="str">
            <v>RATU PALUGADA</v>
          </cell>
          <cell r="C932">
            <v>35409805.000000007</v>
          </cell>
          <cell r="D932">
            <v>1996183.6363636362</v>
          </cell>
        </row>
        <row r="933">
          <cell r="A933">
            <v>3431659</v>
          </cell>
          <cell r="B933" t="str">
            <v>SYMPHONY COSMETIC 2</v>
          </cell>
          <cell r="C933">
            <v>3218746.3636363638</v>
          </cell>
          <cell r="D933">
            <v>2929227.2727272729</v>
          </cell>
        </row>
        <row r="934">
          <cell r="A934">
            <v>3431663</v>
          </cell>
          <cell r="B934" t="str">
            <v>APT. CIPTA MUTIARA</v>
          </cell>
          <cell r="C934">
            <v>-13307.386363636386</v>
          </cell>
          <cell r="D934">
            <v>-172554.54545454547</v>
          </cell>
        </row>
        <row r="935">
          <cell r="A935">
            <v>3431677</v>
          </cell>
          <cell r="B935" t="str">
            <v>TOKO PURNAMA</v>
          </cell>
          <cell r="C935">
            <v>-1357000</v>
          </cell>
          <cell r="D935">
            <v>10661215.90909091</v>
          </cell>
        </row>
        <row r="936">
          <cell r="A936">
            <v>3431678</v>
          </cell>
          <cell r="B936" t="str">
            <v>GIRLY COSMETIK</v>
          </cell>
          <cell r="C936">
            <v>-10147717.59090909</v>
          </cell>
          <cell r="D936">
            <v>-42131133.090909094</v>
          </cell>
        </row>
        <row r="937">
          <cell r="A937">
            <v>3431747</v>
          </cell>
          <cell r="B937" t="str">
            <v>TOKO NELLY</v>
          </cell>
          <cell r="C937">
            <v>880390.90909090894</v>
          </cell>
          <cell r="D937">
            <v>907478.90909090894</v>
          </cell>
        </row>
        <row r="938">
          <cell r="A938">
            <v>3431749</v>
          </cell>
          <cell r="B938" t="str">
            <v>SAROHA FARMA</v>
          </cell>
          <cell r="C938">
            <v>4597538.9999999991</v>
          </cell>
          <cell r="D938">
            <v>1664318.1818181814</v>
          </cell>
        </row>
        <row r="939">
          <cell r="A939">
            <v>3431768</v>
          </cell>
          <cell r="B939" t="str">
            <v>TOKO HIDAYAH BEAUTY</v>
          </cell>
          <cell r="C939">
            <v>25269989.090909094</v>
          </cell>
          <cell r="D939">
            <v>69958059.090909079</v>
          </cell>
        </row>
        <row r="940">
          <cell r="A940">
            <v>3431773</v>
          </cell>
          <cell r="B940" t="str">
            <v>JES COSMETIK</v>
          </cell>
          <cell r="C940">
            <v>39045482.863636382</v>
          </cell>
          <cell r="D940">
            <v>3108176.5909090904</v>
          </cell>
        </row>
        <row r="941">
          <cell r="A941">
            <v>3431789</v>
          </cell>
          <cell r="B941" t="str">
            <v>APT. MF RADIANT</v>
          </cell>
          <cell r="C941">
            <v>50000.000000000015</v>
          </cell>
          <cell r="D941">
            <v>-161000</v>
          </cell>
        </row>
        <row r="942">
          <cell r="A942">
            <v>3431819</v>
          </cell>
          <cell r="B942" t="str">
            <v>AYRA KOSMETIK</v>
          </cell>
          <cell r="C942">
            <v>6980178.5454545468</v>
          </cell>
          <cell r="D942">
            <v>8383329.5454545449</v>
          </cell>
        </row>
        <row r="943">
          <cell r="A943">
            <v>3431820</v>
          </cell>
          <cell r="B943" t="str">
            <v>APT. REBEN JAYA</v>
          </cell>
          <cell r="C943">
            <v>2818793.8636363633</v>
          </cell>
          <cell r="D943">
            <v>799200.00000000023</v>
          </cell>
        </row>
        <row r="944">
          <cell r="A944">
            <v>3431831</v>
          </cell>
          <cell r="B944" t="str">
            <v>HAWA COSMETIC</v>
          </cell>
          <cell r="C944">
            <v>4652492.7272727266</v>
          </cell>
          <cell r="D944">
            <v>6089367.5454545468</v>
          </cell>
        </row>
        <row r="945">
          <cell r="A945">
            <v>3431844</v>
          </cell>
          <cell r="B945" t="str">
            <v>TOSERBA L &amp; L</v>
          </cell>
          <cell r="C945">
            <v>322909.09090909088</v>
          </cell>
          <cell r="D945">
            <v>2025970.9090909092</v>
          </cell>
        </row>
        <row r="946">
          <cell r="A946">
            <v>3431874</v>
          </cell>
          <cell r="B946" t="str">
            <v>TOKO KUANSING</v>
          </cell>
          <cell r="C946">
            <v>6636364.6363636386</v>
          </cell>
          <cell r="D946">
            <v>7225707.2727272753</v>
          </cell>
        </row>
        <row r="947">
          <cell r="A947">
            <v>3431882</v>
          </cell>
          <cell r="B947" t="str">
            <v>JAN HA KOSMETIK</v>
          </cell>
          <cell r="C947">
            <v>-18297222.272727266</v>
          </cell>
          <cell r="D947">
            <v>1874866.363636364</v>
          </cell>
        </row>
        <row r="948">
          <cell r="A948">
            <v>3431892</v>
          </cell>
          <cell r="B948" t="str">
            <v>IKY JAYA</v>
          </cell>
          <cell r="C948">
            <v>-18542.045454545456</v>
          </cell>
          <cell r="D948">
            <v>1375026.9545454544</v>
          </cell>
        </row>
        <row r="949">
          <cell r="A949">
            <v>3431920</v>
          </cell>
          <cell r="B949" t="str">
            <v>RAMSHA KOSMETIK</v>
          </cell>
          <cell r="C949">
            <v>-19805242.545454547</v>
          </cell>
          <cell r="D949">
            <v>24241379.999999993</v>
          </cell>
        </row>
        <row r="950">
          <cell r="A950">
            <v>3431926</v>
          </cell>
          <cell r="B950" t="str">
            <v>FH MART</v>
          </cell>
          <cell r="C950">
            <v>1359654.2727272729</v>
          </cell>
          <cell r="D950">
            <v>636463.63636363624</v>
          </cell>
        </row>
        <row r="951">
          <cell r="A951">
            <v>3431972</v>
          </cell>
          <cell r="B951" t="str">
            <v>TK. FIKI KOSMETIK</v>
          </cell>
          <cell r="C951">
            <v>364408.45454545453</v>
          </cell>
          <cell r="D951">
            <v>183979.09090909091</v>
          </cell>
        </row>
        <row r="952">
          <cell r="A952">
            <v>3431978</v>
          </cell>
          <cell r="B952" t="str">
            <v>APT. MANJUR MANDIR</v>
          </cell>
          <cell r="C952">
            <v>520823.86363636365</v>
          </cell>
          <cell r="D952">
            <v>1178750.6363636362</v>
          </cell>
        </row>
        <row r="953">
          <cell r="A953">
            <v>3432014</v>
          </cell>
          <cell r="B953" t="str">
            <v>CANN BEAUTY STORE</v>
          </cell>
          <cell r="C953">
            <v>9466685.4545454569</v>
          </cell>
          <cell r="D953">
            <v>25000</v>
          </cell>
        </row>
        <row r="954">
          <cell r="A954">
            <v>3432025</v>
          </cell>
          <cell r="B954" t="str">
            <v>DICKY SARAGIH</v>
          </cell>
          <cell r="C954">
            <v>714592.04545454565</v>
          </cell>
          <cell r="D954">
            <v>399600</v>
          </cell>
        </row>
        <row r="955">
          <cell r="A955">
            <v>3432030</v>
          </cell>
          <cell r="B955" t="str">
            <v>APT. SEHAT FARMA</v>
          </cell>
          <cell r="C955">
            <v>338367.27272727271</v>
          </cell>
          <cell r="D955">
            <v>266432.72727272729</v>
          </cell>
        </row>
        <row r="956">
          <cell r="A956">
            <v>3432034</v>
          </cell>
          <cell r="B956" t="str">
            <v>ANEKA COSMETIK</v>
          </cell>
          <cell r="C956">
            <v>3463151.3181818179</v>
          </cell>
          <cell r="D956">
            <v>5909446.3636363652</v>
          </cell>
        </row>
        <row r="957">
          <cell r="A957">
            <v>3432049</v>
          </cell>
          <cell r="B957" t="str">
            <v>HARIAN KYIN</v>
          </cell>
          <cell r="C957">
            <v>346861.81818181812</v>
          </cell>
          <cell r="D957">
            <v>77542.045454545456</v>
          </cell>
        </row>
        <row r="958">
          <cell r="A958">
            <v>3432085</v>
          </cell>
          <cell r="B958" t="str">
            <v>TK. ALFAT</v>
          </cell>
          <cell r="C958">
            <v>412692.95454545447</v>
          </cell>
          <cell r="D958">
            <v>1481402.7272727271</v>
          </cell>
        </row>
        <row r="959">
          <cell r="A959">
            <v>3432090</v>
          </cell>
          <cell r="B959" t="str">
            <v>APT. TARIF FARMA</v>
          </cell>
          <cell r="C959">
            <v>72402.272727272735</v>
          </cell>
          <cell r="D959">
            <v>126954.54545454544</v>
          </cell>
        </row>
        <row r="960">
          <cell r="A960">
            <v>3432091</v>
          </cell>
          <cell r="B960" t="str">
            <v>APT. CAHAYA</v>
          </cell>
          <cell r="C960">
            <v>594405</v>
          </cell>
          <cell r="D960">
            <v>590923.63636363635</v>
          </cell>
        </row>
        <row r="961">
          <cell r="A961">
            <v>3432096</v>
          </cell>
          <cell r="B961" t="str">
            <v>APT. 3J FARMA</v>
          </cell>
          <cell r="C961">
            <v>180436.36363636365</v>
          </cell>
          <cell r="D961">
            <v>2915739.2727272725</v>
          </cell>
        </row>
        <row r="962">
          <cell r="A962">
            <v>3432103</v>
          </cell>
          <cell r="B962" t="str">
            <v>BAZ MART 4</v>
          </cell>
          <cell r="C962">
            <v>157705</v>
          </cell>
          <cell r="D962">
            <v>224518.63636363641</v>
          </cell>
        </row>
        <row r="963">
          <cell r="A963">
            <v>3432114</v>
          </cell>
          <cell r="B963" t="str">
            <v>APT. REZEKI FARMA</v>
          </cell>
          <cell r="C963">
            <v>450870.45454545459</v>
          </cell>
          <cell r="D963">
            <v>741681.818181818</v>
          </cell>
        </row>
        <row r="964">
          <cell r="A964">
            <v>3432115</v>
          </cell>
          <cell r="B964" t="str">
            <v>PUTRI KOSMETIK</v>
          </cell>
          <cell r="C964">
            <v>25077936.454545457</v>
          </cell>
        </row>
        <row r="965">
          <cell r="A965">
            <v>3432118</v>
          </cell>
          <cell r="B965" t="str">
            <v>MY COSMETIK 2</v>
          </cell>
          <cell r="C965">
            <v>35940143.727272741</v>
          </cell>
          <cell r="D965">
            <v>5937770</v>
          </cell>
        </row>
        <row r="966">
          <cell r="A966">
            <v>3432120</v>
          </cell>
          <cell r="B966" t="str">
            <v>FB MART</v>
          </cell>
          <cell r="C966">
            <v>1981554.5454545454</v>
          </cell>
          <cell r="D966">
            <v>1365600.0000000002</v>
          </cell>
        </row>
        <row r="967">
          <cell r="A967">
            <v>3432125</v>
          </cell>
          <cell r="B967" t="str">
            <v>YELSI FARMA</v>
          </cell>
          <cell r="C967">
            <v>317297.04545454547</v>
          </cell>
          <cell r="D967">
            <v>508581.81818181812</v>
          </cell>
        </row>
        <row r="968">
          <cell r="A968">
            <v>3432141</v>
          </cell>
          <cell r="B968" t="str">
            <v>SEJAHTERA FARMA</v>
          </cell>
          <cell r="C968">
            <v>402019</v>
          </cell>
          <cell r="D968">
            <v>370840.909090909</v>
          </cell>
        </row>
        <row r="969">
          <cell r="A969">
            <v>3432143</v>
          </cell>
          <cell r="B969" t="str">
            <v>TOKO OBAT ARUMI FARMA</v>
          </cell>
          <cell r="C969">
            <v>1069129.5454545454</v>
          </cell>
          <cell r="D969">
            <v>192102.27272727271</v>
          </cell>
        </row>
        <row r="970">
          <cell r="A970">
            <v>3432144</v>
          </cell>
          <cell r="B970" t="str">
            <v>INTAN COSMETIC</v>
          </cell>
          <cell r="C970">
            <v>42214873.81818185</v>
          </cell>
          <cell r="D970">
            <v>2077768.636363636</v>
          </cell>
        </row>
        <row r="971">
          <cell r="A971">
            <v>3432148</v>
          </cell>
          <cell r="B971" t="str">
            <v>MUARA KOSMETIK</v>
          </cell>
          <cell r="C971">
            <v>42546270.272727259</v>
          </cell>
          <cell r="D971">
            <v>27295613.181818184</v>
          </cell>
        </row>
        <row r="972">
          <cell r="A972">
            <v>3432152</v>
          </cell>
          <cell r="B972" t="str">
            <v>TAMBANG BARU</v>
          </cell>
          <cell r="C972">
            <v>566284.09090909082</v>
          </cell>
          <cell r="D972">
            <v>140000</v>
          </cell>
        </row>
        <row r="973">
          <cell r="A973">
            <v>3432162</v>
          </cell>
          <cell r="B973" t="str">
            <v>APT NEO FARMA</v>
          </cell>
          <cell r="C973">
            <v>621467.72727272729</v>
          </cell>
          <cell r="D973">
            <v>897889.09090909071</v>
          </cell>
        </row>
        <row r="974">
          <cell r="A974">
            <v>10000001</v>
          </cell>
          <cell r="B974" t="str">
            <v>AZ ZAHRA, TK</v>
          </cell>
          <cell r="C974">
            <v>702478.63636363624</v>
          </cell>
          <cell r="D974">
            <v>18927172.045454539</v>
          </cell>
        </row>
        <row r="975">
          <cell r="A975">
            <v>10000029</v>
          </cell>
          <cell r="B975" t="str">
            <v>GROSMART PRIMA</v>
          </cell>
          <cell r="C975">
            <v>1552973.1818181816</v>
          </cell>
          <cell r="D975">
            <v>1141163.1818181816</v>
          </cell>
        </row>
        <row r="976">
          <cell r="A976">
            <v>10000031</v>
          </cell>
          <cell r="B976" t="str">
            <v>MURNI COSMETIC</v>
          </cell>
          <cell r="C976">
            <v>2210211.8181818188</v>
          </cell>
          <cell r="D976">
            <v>362894.31818181818</v>
          </cell>
        </row>
        <row r="977">
          <cell r="A977">
            <v>10000032</v>
          </cell>
          <cell r="B977" t="str">
            <v>NEW VICTORIA</v>
          </cell>
          <cell r="C977">
            <v>25175323.636363629</v>
          </cell>
          <cell r="D977">
            <v>1638435.6818181823</v>
          </cell>
        </row>
        <row r="978">
          <cell r="A978">
            <v>10000036</v>
          </cell>
          <cell r="B978" t="str">
            <v>TOP 100 SEJATI</v>
          </cell>
          <cell r="C978">
            <v>2935249.7727272734</v>
          </cell>
          <cell r="D978">
            <v>7512992.8636363652</v>
          </cell>
        </row>
        <row r="979">
          <cell r="A979">
            <v>10000041</v>
          </cell>
          <cell r="B979" t="str">
            <v>AS MART</v>
          </cell>
          <cell r="C979">
            <v>111252.27272727275</v>
          </cell>
          <cell r="D979">
            <v>570692.86363636365</v>
          </cell>
        </row>
        <row r="980">
          <cell r="A980">
            <v>10000100</v>
          </cell>
          <cell r="B980" t="str">
            <v>SUPERMURAH 8000 CIKITSU</v>
          </cell>
          <cell r="C980">
            <v>3613583.1818181821</v>
          </cell>
          <cell r="D980">
            <v>5512188.4090909101</v>
          </cell>
        </row>
        <row r="981">
          <cell r="A981">
            <v>10000103</v>
          </cell>
          <cell r="B981" t="str">
            <v>BENGKONG INDAH</v>
          </cell>
          <cell r="C981">
            <v>5352642.0000000019</v>
          </cell>
          <cell r="D981">
            <v>6309462.2727272734</v>
          </cell>
        </row>
        <row r="982">
          <cell r="A982">
            <v>10000104</v>
          </cell>
          <cell r="B982" t="str">
            <v>GOGO SUPERMARKET BENGKONG</v>
          </cell>
          <cell r="C982">
            <v>3632504.8181818188</v>
          </cell>
          <cell r="D982">
            <v>6770518.6363636367</v>
          </cell>
        </row>
        <row r="983">
          <cell r="A983">
            <v>10000106</v>
          </cell>
          <cell r="B983" t="str">
            <v>JODOH CENTER BENGKONG</v>
          </cell>
          <cell r="C983">
            <v>1411464.0000000002</v>
          </cell>
          <cell r="D983">
            <v>3349328.1818181826</v>
          </cell>
        </row>
        <row r="984">
          <cell r="A984">
            <v>10000108</v>
          </cell>
          <cell r="B984" t="str">
            <v>MM HARI HARI</v>
          </cell>
          <cell r="C984">
            <v>-8590946.0227272697</v>
          </cell>
          <cell r="D984">
            <v>8840423.6363636367</v>
          </cell>
        </row>
        <row r="985">
          <cell r="A985">
            <v>10000110</v>
          </cell>
          <cell r="B985" t="str">
            <v>TOP 100 BENGKONG</v>
          </cell>
          <cell r="C985">
            <v>1222772.7272727273</v>
          </cell>
          <cell r="D985">
            <v>2538840.6818181816</v>
          </cell>
        </row>
        <row r="986">
          <cell r="A986">
            <v>10000112</v>
          </cell>
          <cell r="B986" t="str">
            <v>GOGO SUPERMARKET GC</v>
          </cell>
          <cell r="C986">
            <v>4277196.8181818184</v>
          </cell>
          <cell r="D986">
            <v>7289437.0454545449</v>
          </cell>
        </row>
        <row r="987">
          <cell r="A987">
            <v>10000113</v>
          </cell>
          <cell r="B987" t="str">
            <v>TOP 100 GRAND BATAM MALL</v>
          </cell>
          <cell r="C987">
            <v>1985021.5909090911</v>
          </cell>
          <cell r="D987">
            <v>5244528.4090909092</v>
          </cell>
        </row>
        <row r="988">
          <cell r="A988">
            <v>10000164</v>
          </cell>
          <cell r="B988" t="str">
            <v>ECO MART</v>
          </cell>
          <cell r="C988">
            <v>2132363.8636363638</v>
          </cell>
          <cell r="D988">
            <v>5361302.7272727266</v>
          </cell>
        </row>
        <row r="989">
          <cell r="A989">
            <v>10000203</v>
          </cell>
          <cell r="B989" t="str">
            <v>EPY MART</v>
          </cell>
          <cell r="C989">
            <v>1166727.2727272725</v>
          </cell>
          <cell r="D989">
            <v>803693.18181818165</v>
          </cell>
        </row>
        <row r="990">
          <cell r="A990">
            <v>10000300</v>
          </cell>
          <cell r="B990" t="str">
            <v>GLOBAL FASHION</v>
          </cell>
          <cell r="C990">
            <v>348434.54545454553</v>
          </cell>
          <cell r="D990">
            <v>652881.81818181823</v>
          </cell>
        </row>
        <row r="991">
          <cell r="A991">
            <v>10000302</v>
          </cell>
          <cell r="B991" t="str">
            <v>VICTORIA</v>
          </cell>
          <cell r="C991">
            <v>493845</v>
          </cell>
          <cell r="D991">
            <v>838810.90909090906</v>
          </cell>
        </row>
        <row r="992">
          <cell r="A992">
            <v>10000309</v>
          </cell>
          <cell r="B992" t="str">
            <v>JODOH CENTER BALOI</v>
          </cell>
          <cell r="C992">
            <v>3724737.5454545463</v>
          </cell>
          <cell r="D992">
            <v>2131891.3636363642</v>
          </cell>
        </row>
        <row r="993">
          <cell r="A993">
            <v>10000310</v>
          </cell>
          <cell r="B993" t="str">
            <v>SARI KOSMETIK</v>
          </cell>
          <cell r="C993">
            <v>469832.72727272735</v>
          </cell>
          <cell r="D993">
            <v>6427995.6818181835</v>
          </cell>
        </row>
        <row r="994">
          <cell r="A994">
            <v>10000347</v>
          </cell>
          <cell r="B994" t="str">
            <v>SAN MART BP</v>
          </cell>
          <cell r="C994">
            <v>4872955.909090911</v>
          </cell>
        </row>
        <row r="995">
          <cell r="A995">
            <v>10000389</v>
          </cell>
          <cell r="B995" t="str">
            <v>AFIFAH STORE</v>
          </cell>
          <cell r="C995">
            <v>614081.36363636365</v>
          </cell>
          <cell r="D995">
            <v>2145307.2727272729</v>
          </cell>
        </row>
        <row r="996">
          <cell r="A996">
            <v>10000395</v>
          </cell>
          <cell r="B996" t="str">
            <v>AKYLA BEAUTY KDA</v>
          </cell>
          <cell r="C996">
            <v>1427783.8636363638</v>
          </cell>
          <cell r="D996">
            <v>-301260.00000000017</v>
          </cell>
        </row>
        <row r="997">
          <cell r="A997">
            <v>10000397</v>
          </cell>
          <cell r="B997" t="str">
            <v>TANCOS KOSMETIK</v>
          </cell>
          <cell r="C997">
            <v>9593152.5000000019</v>
          </cell>
          <cell r="D997">
            <v>24965788.090909094</v>
          </cell>
        </row>
        <row r="998">
          <cell r="A998">
            <v>10000403</v>
          </cell>
          <cell r="B998" t="str">
            <v>SUSI KOSMETIK</v>
          </cell>
          <cell r="C998">
            <v>840976.36363636353</v>
          </cell>
          <cell r="D998">
            <v>715568.86363636365</v>
          </cell>
        </row>
        <row r="999">
          <cell r="A999">
            <v>10000489</v>
          </cell>
          <cell r="B999" t="str">
            <v>SERBA 8000 CENTER PARK</v>
          </cell>
          <cell r="C999">
            <v>376650.00000000006</v>
          </cell>
          <cell r="D999">
            <v>149850.00000000006</v>
          </cell>
        </row>
        <row r="1000">
          <cell r="A1000">
            <v>10000495</v>
          </cell>
          <cell r="B1000" t="str">
            <v>SS HOME STORE</v>
          </cell>
          <cell r="C1000">
            <v>745494.54545454541</v>
          </cell>
          <cell r="D1000">
            <v>854750.45454545447</v>
          </cell>
        </row>
        <row r="1001">
          <cell r="A1001">
            <v>10000499</v>
          </cell>
          <cell r="B1001" t="str">
            <v>7500, TK</v>
          </cell>
          <cell r="C1001">
            <v>3708409.0909090913</v>
          </cell>
          <cell r="D1001">
            <v>1809990.0000000002</v>
          </cell>
        </row>
        <row r="1002">
          <cell r="A1002">
            <v>10000628</v>
          </cell>
          <cell r="B1002" t="str">
            <v>CASH</v>
          </cell>
          <cell r="C1002">
            <v>70989.545454545456</v>
          </cell>
          <cell r="D1002">
            <v>331290.45454545459</v>
          </cell>
        </row>
        <row r="1003">
          <cell r="A1003">
            <v>10000644</v>
          </cell>
          <cell r="B1003" t="str">
            <v>JC SUPERMARKET OBM</v>
          </cell>
          <cell r="C1003">
            <v>3645462.2727272734</v>
          </cell>
          <cell r="D1003">
            <v>856395.40909090906</v>
          </cell>
        </row>
        <row r="1004">
          <cell r="A1004">
            <v>10000647</v>
          </cell>
          <cell r="B1004" t="str">
            <v>LOK JAYA MART</v>
          </cell>
          <cell r="C1004">
            <v>185420.45454545456</v>
          </cell>
          <cell r="D1004">
            <v>92710.227272727308</v>
          </cell>
        </row>
        <row r="1005">
          <cell r="A1005">
            <v>10000654</v>
          </cell>
          <cell r="B1005" t="str">
            <v>TOP 100 NIAGA MAS</v>
          </cell>
          <cell r="C1005">
            <v>4407368.5227272725</v>
          </cell>
          <cell r="D1005">
            <v>684905.45454545459</v>
          </cell>
        </row>
        <row r="1006">
          <cell r="A1006">
            <v>10000655</v>
          </cell>
          <cell r="B1006" t="str">
            <v>PHALOSA, TK</v>
          </cell>
          <cell r="C1006">
            <v>1140294.9999999995</v>
          </cell>
          <cell r="D1006">
            <v>2335412.7272727275</v>
          </cell>
        </row>
        <row r="1007">
          <cell r="A1007">
            <v>10000657</v>
          </cell>
          <cell r="B1007" t="str">
            <v>KALUNA</v>
          </cell>
          <cell r="C1007">
            <v>-774169.54545454867</v>
          </cell>
          <cell r="D1007">
            <v>12826825.409090916</v>
          </cell>
        </row>
        <row r="1008">
          <cell r="A1008">
            <v>10000809</v>
          </cell>
          <cell r="B1008" t="str">
            <v>NEW D QUEEN SPM</v>
          </cell>
          <cell r="C1008">
            <v>416401.36363636359</v>
          </cell>
          <cell r="D1008">
            <v>757589.31818181812</v>
          </cell>
        </row>
        <row r="1009">
          <cell r="A1009">
            <v>10000822</v>
          </cell>
          <cell r="B1009" t="str">
            <v>SAMPLE</v>
          </cell>
          <cell r="C1009">
            <v>23310.000000000004</v>
          </cell>
          <cell r="D1009">
            <v>-23310.000000000004</v>
          </cell>
        </row>
        <row r="1010">
          <cell r="A1010">
            <v>10000823</v>
          </cell>
          <cell r="B1010" t="str">
            <v>TIRTO</v>
          </cell>
          <cell r="C1010">
            <v>310801486.69909078</v>
          </cell>
          <cell r="D1010">
            <v>14273675.90909091</v>
          </cell>
        </row>
        <row r="1011">
          <cell r="A1011">
            <v>10000827</v>
          </cell>
          <cell r="B1011" t="str">
            <v>CV DUTA SEMBAKO MAKMUR</v>
          </cell>
          <cell r="C1011">
            <v>4471707.9545454569</v>
          </cell>
          <cell r="D1011">
            <v>3364206.8181818193</v>
          </cell>
        </row>
        <row r="1012">
          <cell r="A1012">
            <v>10000830</v>
          </cell>
          <cell r="B1012" t="str">
            <v>GROS BOTANIA</v>
          </cell>
          <cell r="C1012">
            <v>1081168.6363636365</v>
          </cell>
          <cell r="D1012">
            <v>618238.63636363647</v>
          </cell>
        </row>
        <row r="1013">
          <cell r="A1013">
            <v>10000840</v>
          </cell>
          <cell r="B1013" t="str">
            <v>SELEBRITY COS</v>
          </cell>
          <cell r="C1013">
            <v>0</v>
          </cell>
        </row>
        <row r="1014">
          <cell r="A1014">
            <v>10000841</v>
          </cell>
          <cell r="B1014" t="str">
            <v>GALAXY STAR, TK</v>
          </cell>
          <cell r="C1014">
            <v>822999.27272727271</v>
          </cell>
          <cell r="D1014">
            <v>1488353.3181818184</v>
          </cell>
        </row>
        <row r="1015">
          <cell r="A1015">
            <v>10000842</v>
          </cell>
          <cell r="B1015" t="str">
            <v>TOP 100 KDA</v>
          </cell>
          <cell r="C1015">
            <v>299700.00000000012</v>
          </cell>
          <cell r="D1015">
            <v>460448.18181818188</v>
          </cell>
        </row>
        <row r="1016">
          <cell r="A1016">
            <v>10000843</v>
          </cell>
          <cell r="B1016" t="str">
            <v>TROLI</v>
          </cell>
          <cell r="C1016">
            <v>341097.95454545459</v>
          </cell>
          <cell r="D1016">
            <v>635727.27272727259</v>
          </cell>
        </row>
        <row r="1017">
          <cell r="A1017">
            <v>10000844</v>
          </cell>
          <cell r="B1017" t="str">
            <v>VITKA COSMOS</v>
          </cell>
          <cell r="C1017">
            <v>770289.54545454541</v>
          </cell>
          <cell r="D1017">
            <v>410573.86363636365</v>
          </cell>
        </row>
        <row r="1018">
          <cell r="A1018">
            <v>10000848</v>
          </cell>
          <cell r="B1018" t="str">
            <v>HARAPAN INDAH BOTANIA</v>
          </cell>
          <cell r="C1018">
            <v>174309.54545454547</v>
          </cell>
          <cell r="D1018">
            <v>181196.59090909088</v>
          </cell>
        </row>
        <row r="1019">
          <cell r="A1019">
            <v>10000849</v>
          </cell>
          <cell r="B1019" t="str">
            <v>HARAPAN INDAH NONGSA</v>
          </cell>
          <cell r="C1019">
            <v>1755443.8636363638</v>
          </cell>
          <cell r="D1019">
            <v>1192205.4545454544</v>
          </cell>
        </row>
        <row r="1020">
          <cell r="A1020">
            <v>10000850</v>
          </cell>
          <cell r="B1020" t="str">
            <v>CV SEMBAKO MUSTAFA LESTARI</v>
          </cell>
          <cell r="C1020">
            <v>4014848.0454545473</v>
          </cell>
          <cell r="D1020">
            <v>1822672.7727272727</v>
          </cell>
        </row>
        <row r="1021">
          <cell r="A1021">
            <v>10000851</v>
          </cell>
          <cell r="B1021" t="str">
            <v>MUSTAFA SERBA 8000</v>
          </cell>
          <cell r="C1021">
            <v>385220.45454545459</v>
          </cell>
          <cell r="D1021">
            <v>1384220.4545454551</v>
          </cell>
        </row>
        <row r="1022">
          <cell r="A1022">
            <v>10000854</v>
          </cell>
          <cell r="B1022" t="str">
            <v>ALIN COSMETIC</v>
          </cell>
          <cell r="C1022">
            <v>1504932.9545454544</v>
          </cell>
          <cell r="D1022">
            <v>2145831.8181818184</v>
          </cell>
        </row>
        <row r="1023">
          <cell r="A1023">
            <v>10000856</v>
          </cell>
          <cell r="B1023" t="str">
            <v>APOTEK R 24</v>
          </cell>
          <cell r="C1023">
            <v>343350</v>
          </cell>
          <cell r="D1023">
            <v>661428.81818181823</v>
          </cell>
        </row>
        <row r="1024">
          <cell r="A1024">
            <v>10000857</v>
          </cell>
          <cell r="B1024" t="str">
            <v>DIVA COSMETIK</v>
          </cell>
          <cell r="C1024">
            <v>530529.54545454541</v>
          </cell>
          <cell r="D1024">
            <v>1971576.8181818184</v>
          </cell>
        </row>
        <row r="1025">
          <cell r="A1025">
            <v>10000860</v>
          </cell>
          <cell r="B1025" t="str">
            <v>JENNY COS</v>
          </cell>
          <cell r="C1025">
            <v>727614.54545454553</v>
          </cell>
          <cell r="D1025">
            <v>508354.09090909094</v>
          </cell>
        </row>
        <row r="1026">
          <cell r="A1026">
            <v>10000863</v>
          </cell>
          <cell r="B1026" t="str">
            <v>REMSI COMSETIC</v>
          </cell>
          <cell r="C1026">
            <v>988555.90909090894</v>
          </cell>
          <cell r="D1026">
            <v>2255015.4545454546</v>
          </cell>
        </row>
        <row r="1027">
          <cell r="A1027">
            <v>10000865</v>
          </cell>
          <cell r="B1027" t="str">
            <v>VANYA COS</v>
          </cell>
          <cell r="C1027">
            <v>7407730.909090912</v>
          </cell>
          <cell r="D1027">
            <v>9412043.8636363652</v>
          </cell>
        </row>
        <row r="1028">
          <cell r="A1028">
            <v>10000875</v>
          </cell>
          <cell r="B1028" t="str">
            <v>AL BAROQAH MART</v>
          </cell>
          <cell r="C1028">
            <v>2571516.8181818184</v>
          </cell>
          <cell r="D1028">
            <v>317863.63636363635</v>
          </cell>
        </row>
        <row r="1029">
          <cell r="A1029">
            <v>10000986</v>
          </cell>
          <cell r="B1029" t="str">
            <v>HERCULES, TK</v>
          </cell>
          <cell r="C1029">
            <v>0</v>
          </cell>
          <cell r="D1029">
            <v>664052.72727272718</v>
          </cell>
        </row>
        <row r="1030">
          <cell r="A1030">
            <v>10001086</v>
          </cell>
          <cell r="B1030" t="str">
            <v>MM MARBUN - PUSAKA BARELA</v>
          </cell>
          <cell r="C1030">
            <v>55626.136363636375</v>
          </cell>
          <cell r="D1030">
            <v>7224523.2272727275</v>
          </cell>
        </row>
        <row r="1031">
          <cell r="A1031">
            <v>10001243</v>
          </cell>
          <cell r="B1031" t="str">
            <v>INTER SUPERMARKET DAN GROSIR</v>
          </cell>
          <cell r="C1031">
            <v>449161.36363636365</v>
          </cell>
          <cell r="D1031">
            <v>1509917.7272727271</v>
          </cell>
        </row>
        <row r="1032">
          <cell r="A1032">
            <v>10001280</v>
          </cell>
          <cell r="B1032" t="str">
            <v>AKYLA BEAUTY</v>
          </cell>
          <cell r="C1032">
            <v>-3519658.6363636367</v>
          </cell>
        </row>
        <row r="1033">
          <cell r="A1033">
            <v>10001283</v>
          </cell>
          <cell r="B1033" t="str">
            <v>BLESS SM</v>
          </cell>
          <cell r="C1033">
            <v>400641.13636363635</v>
          </cell>
        </row>
        <row r="1034">
          <cell r="A1034">
            <v>10001295</v>
          </cell>
          <cell r="B1034" t="str">
            <v>OCEAN MART</v>
          </cell>
          <cell r="C1034">
            <v>1418704.7727272729</v>
          </cell>
          <cell r="D1034">
            <v>1569077.7272727271</v>
          </cell>
        </row>
        <row r="1035">
          <cell r="A1035">
            <v>10001300</v>
          </cell>
          <cell r="B1035" t="str">
            <v>ROYAL SUPERMARKET - DAPUR 12</v>
          </cell>
          <cell r="C1035">
            <v>751095.00000000012</v>
          </cell>
          <cell r="D1035">
            <v>597640.90909090918</v>
          </cell>
        </row>
        <row r="1036">
          <cell r="A1036">
            <v>10001302</v>
          </cell>
          <cell r="B1036" t="str">
            <v>SINAR PELANGI</v>
          </cell>
          <cell r="C1036">
            <v>2371966.3636363642</v>
          </cell>
          <cell r="D1036">
            <v>1832457.2727272736</v>
          </cell>
        </row>
        <row r="1037">
          <cell r="A1037">
            <v>10001304</v>
          </cell>
          <cell r="B1037" t="str">
            <v>SUPER MURAH 8000</v>
          </cell>
          <cell r="C1037">
            <v>6936858.4090909092</v>
          </cell>
          <cell r="D1037">
            <v>3620949.0909090904</v>
          </cell>
        </row>
        <row r="1038">
          <cell r="A1038">
            <v>10001306</v>
          </cell>
          <cell r="B1038" t="str">
            <v>MINI SUPER, TK</v>
          </cell>
          <cell r="C1038">
            <v>1567294.7727272729</v>
          </cell>
          <cell r="D1038">
            <v>4247665.2272727294</v>
          </cell>
        </row>
        <row r="1039">
          <cell r="A1039">
            <v>10001307</v>
          </cell>
          <cell r="B1039" t="str">
            <v>VICTORIA KAVLING LAMA</v>
          </cell>
          <cell r="C1039">
            <v>8728808.020909097</v>
          </cell>
          <cell r="D1039">
            <v>5890017.2727272743</v>
          </cell>
        </row>
        <row r="1040">
          <cell r="A1040">
            <v>10001308</v>
          </cell>
          <cell r="B1040" t="str">
            <v>HARAPAN MK</v>
          </cell>
          <cell r="C1040">
            <v>1772925.6818181819</v>
          </cell>
          <cell r="D1040">
            <v>2938225.7727272725</v>
          </cell>
        </row>
        <row r="1041">
          <cell r="A1041">
            <v>10001310</v>
          </cell>
          <cell r="B1041" t="str">
            <v>SELLY KOSMETIK</v>
          </cell>
          <cell r="C1041">
            <v>852959.77272727271</v>
          </cell>
          <cell r="D1041">
            <v>1204928.1818181819</v>
          </cell>
        </row>
        <row r="1042">
          <cell r="A1042">
            <v>10001311</v>
          </cell>
          <cell r="B1042" t="str">
            <v>SP MART</v>
          </cell>
          <cell r="C1042">
            <v>4517680.2272727285</v>
          </cell>
          <cell r="D1042">
            <v>3154993.6363636367</v>
          </cell>
        </row>
        <row r="1043">
          <cell r="A1043">
            <v>10001314</v>
          </cell>
          <cell r="B1043" t="str">
            <v>DEMART</v>
          </cell>
          <cell r="C1043">
            <v>74925.000000000029</v>
          </cell>
          <cell r="D1043">
            <v>68492.04545454547</v>
          </cell>
        </row>
        <row r="1044">
          <cell r="A1044">
            <v>10001315</v>
          </cell>
          <cell r="B1044" t="str">
            <v>HENI COSMETIC</v>
          </cell>
          <cell r="C1044">
            <v>1832899.0909090913</v>
          </cell>
        </row>
        <row r="1045">
          <cell r="A1045">
            <v>10001321</v>
          </cell>
          <cell r="B1045" t="str">
            <v>RIA COSMETIC</v>
          </cell>
          <cell r="C1045">
            <v>317863.63636363635</v>
          </cell>
          <cell r="D1045">
            <v>1526697.7272727275</v>
          </cell>
        </row>
        <row r="1046">
          <cell r="A1046">
            <v>10001324</v>
          </cell>
          <cell r="B1046" t="str">
            <v>TOP 100 REGENCY</v>
          </cell>
          <cell r="C1046">
            <v>12330589.909090912</v>
          </cell>
          <cell r="D1046">
            <v>15936741.409090908</v>
          </cell>
        </row>
        <row r="1047">
          <cell r="A1047">
            <v>10001327</v>
          </cell>
          <cell r="B1047" t="str">
            <v>VICTORIA PJB</v>
          </cell>
          <cell r="C1047">
            <v>12127159.636363642</v>
          </cell>
          <cell r="D1047">
            <v>12976746.363636361</v>
          </cell>
        </row>
        <row r="1048">
          <cell r="A1048">
            <v>10001332</v>
          </cell>
          <cell r="B1048" t="str">
            <v>TOP 100 TEMBESI</v>
          </cell>
          <cell r="C1048">
            <v>11492436.818181822</v>
          </cell>
          <cell r="D1048">
            <v>13959795.818181816</v>
          </cell>
        </row>
        <row r="1049">
          <cell r="A1049">
            <v>10001334</v>
          </cell>
          <cell r="B1049" t="str">
            <v>ALANG COSMETIC</v>
          </cell>
          <cell r="C1049">
            <v>-74089.772727272721</v>
          </cell>
          <cell r="D1049">
            <v>105954.54545454544</v>
          </cell>
        </row>
        <row r="1050">
          <cell r="A1050">
            <v>10001340</v>
          </cell>
          <cell r="B1050" t="str">
            <v>GRACE COSMETIC JODOH</v>
          </cell>
          <cell r="C1050">
            <v>800274.68181818165</v>
          </cell>
          <cell r="D1050">
            <v>743498.18181818165</v>
          </cell>
        </row>
        <row r="1051">
          <cell r="A1051">
            <v>10001341</v>
          </cell>
          <cell r="B1051" t="str">
            <v>HENY COSMETIC</v>
          </cell>
          <cell r="C1051">
            <v>397329.54545454541</v>
          </cell>
          <cell r="D1051">
            <v>571649.99999999988</v>
          </cell>
        </row>
        <row r="1052">
          <cell r="A1052">
            <v>10001352</v>
          </cell>
          <cell r="B1052" t="str">
            <v>VIVI DC MALL COSMETIC</v>
          </cell>
          <cell r="C1052">
            <v>1825000.9090909092</v>
          </cell>
          <cell r="D1052">
            <v>1949779.3181818181</v>
          </cell>
        </row>
        <row r="1053">
          <cell r="A1053">
            <v>10001353</v>
          </cell>
          <cell r="B1053" t="str">
            <v>YULI COSMETIK (DC MALL)</v>
          </cell>
          <cell r="C1053">
            <v>-2542909.0909090908</v>
          </cell>
        </row>
        <row r="1054">
          <cell r="A1054">
            <v>10001354</v>
          </cell>
          <cell r="B1054" t="str">
            <v>ASNITA JD</v>
          </cell>
          <cell r="C1054">
            <v>54142577.454545476</v>
          </cell>
          <cell r="D1054">
            <v>86249653.999999911</v>
          </cell>
        </row>
        <row r="1055">
          <cell r="A1055">
            <v>10001356</v>
          </cell>
          <cell r="B1055" t="str">
            <v>DC DIAMOND CITY MALL</v>
          </cell>
          <cell r="C1055">
            <v>3028063.9090909101</v>
          </cell>
          <cell r="D1055">
            <v>4165044.8181818188</v>
          </cell>
        </row>
        <row r="1056">
          <cell r="A1056">
            <v>10001358</v>
          </cell>
          <cell r="B1056" t="str">
            <v>JODOH CENTER JODOH</v>
          </cell>
          <cell r="C1056">
            <v>687190.90909090894</v>
          </cell>
          <cell r="D1056">
            <v>2190112.5</v>
          </cell>
        </row>
        <row r="1057">
          <cell r="A1057">
            <v>10001391</v>
          </cell>
          <cell r="B1057" t="str">
            <v>MIRACLE KOSMETIK</v>
          </cell>
          <cell r="C1057">
            <v>4931018.4090909101</v>
          </cell>
          <cell r="D1057">
            <v>2781078.8181818184</v>
          </cell>
        </row>
        <row r="1058">
          <cell r="A1058">
            <v>10001413</v>
          </cell>
          <cell r="B1058" t="str">
            <v>MANURUNG, TK</v>
          </cell>
          <cell r="C1058">
            <v>44400.000000000007</v>
          </cell>
          <cell r="D1058">
            <v>280703.86363636365</v>
          </cell>
        </row>
        <row r="1059">
          <cell r="A1059">
            <v>10001426</v>
          </cell>
          <cell r="B1059" t="str">
            <v>GLOBAL STAR</v>
          </cell>
          <cell r="C1059">
            <v>244200.00000000006</v>
          </cell>
          <cell r="D1059">
            <v>2959137.2727272729</v>
          </cell>
        </row>
        <row r="1060">
          <cell r="A1060">
            <v>10001432</v>
          </cell>
          <cell r="B1060" t="str">
            <v>ROYAL SUPERMARKET - MEGA LEGENDA</v>
          </cell>
          <cell r="C1060">
            <v>1781281.363636364</v>
          </cell>
          <cell r="D1060">
            <v>1184824.7727272727</v>
          </cell>
        </row>
        <row r="1061">
          <cell r="A1061">
            <v>10001462</v>
          </cell>
          <cell r="B1061" t="str">
            <v>BATAM PHOTO(ETINA COSMETIC)</v>
          </cell>
          <cell r="C1061">
            <v>2045982.2727272722</v>
          </cell>
          <cell r="D1061">
            <v>574760.45454545459</v>
          </cell>
        </row>
        <row r="1062">
          <cell r="A1062">
            <v>10001466</v>
          </cell>
          <cell r="B1062" t="str">
            <v>ATI</v>
          </cell>
          <cell r="C1062">
            <v>-66675.681818181823</v>
          </cell>
          <cell r="D1062">
            <v>236574.54545454547</v>
          </cell>
        </row>
        <row r="1063">
          <cell r="A1063">
            <v>10001488</v>
          </cell>
          <cell r="B1063" t="str">
            <v>EDELWIS PRIMA RASA, TK</v>
          </cell>
          <cell r="C1063">
            <v>-48739.090909090912</v>
          </cell>
          <cell r="D1063">
            <v>314533.63636363635</v>
          </cell>
        </row>
        <row r="1064">
          <cell r="A1064">
            <v>10001490</v>
          </cell>
          <cell r="B1064" t="str">
            <v>GLORIOUS, TK</v>
          </cell>
          <cell r="C1064">
            <v>105576.13636363638</v>
          </cell>
          <cell r="D1064">
            <v>861183.40909090918</v>
          </cell>
        </row>
        <row r="1065">
          <cell r="A1065">
            <v>10001511</v>
          </cell>
          <cell r="B1065" t="str">
            <v>SUPER MINI MARKET</v>
          </cell>
          <cell r="C1065">
            <v>-22200.000000000004</v>
          </cell>
          <cell r="D1065">
            <v>997760.45454545435</v>
          </cell>
        </row>
        <row r="1066">
          <cell r="A1066">
            <v>10001514</v>
          </cell>
          <cell r="B1066" t="str">
            <v>KAREN COSMETIC</v>
          </cell>
          <cell r="C1066">
            <v>1665225.0000000012</v>
          </cell>
          <cell r="D1066">
            <v>5576953.6363636376</v>
          </cell>
        </row>
        <row r="1067">
          <cell r="A1067">
            <v>10001516</v>
          </cell>
          <cell r="B1067" t="str">
            <v>LADY LOVE</v>
          </cell>
          <cell r="C1067">
            <v>2152731.1363636358</v>
          </cell>
          <cell r="D1067">
            <v>2305211.5909090904</v>
          </cell>
        </row>
        <row r="1068">
          <cell r="A1068">
            <v>10001526</v>
          </cell>
          <cell r="B1068" t="str">
            <v>7 MART</v>
          </cell>
          <cell r="C1068">
            <v>3345802.5000000014</v>
          </cell>
          <cell r="D1068">
            <v>1498568.1818181819</v>
          </cell>
        </row>
        <row r="1069">
          <cell r="A1069">
            <v>10001531</v>
          </cell>
          <cell r="B1069" t="str">
            <v>BPS NAGOYA</v>
          </cell>
          <cell r="C1069">
            <v>963258.60818181804</v>
          </cell>
          <cell r="D1069">
            <v>6837115.2272727294</v>
          </cell>
        </row>
        <row r="1070">
          <cell r="A1070">
            <v>10001611</v>
          </cell>
          <cell r="B1070" t="str">
            <v>CAHAYA, TK</v>
          </cell>
          <cell r="C1070">
            <v>-36630</v>
          </cell>
          <cell r="D1070">
            <v>3337568.1818181812</v>
          </cell>
        </row>
        <row r="1071">
          <cell r="A1071">
            <v>10001691</v>
          </cell>
          <cell r="B1071" t="str">
            <v>ROYAL SUPERMARKET - PUNGGUR</v>
          </cell>
          <cell r="C1071">
            <v>2544011.5909090908</v>
          </cell>
          <cell r="D1071">
            <v>1487043.4090909087</v>
          </cell>
        </row>
        <row r="1072">
          <cell r="A1072">
            <v>10001697</v>
          </cell>
          <cell r="B1072" t="str">
            <v>LEMON MART</v>
          </cell>
          <cell r="C1072">
            <v>1308538.6363636362</v>
          </cell>
        </row>
        <row r="1073">
          <cell r="A1073">
            <v>10001698</v>
          </cell>
          <cell r="B1073" t="str">
            <v>LJ BEAUTY HOUSE</v>
          </cell>
          <cell r="C1073">
            <v>7938384.5454545477</v>
          </cell>
          <cell r="D1073">
            <v>3669119.9999999995</v>
          </cell>
        </row>
        <row r="1074">
          <cell r="A1074">
            <v>10001708</v>
          </cell>
          <cell r="B1074" t="str">
            <v>SINAR PIAYU KITA</v>
          </cell>
          <cell r="C1074">
            <v>2729745.0000000014</v>
          </cell>
          <cell r="D1074">
            <v>3343054.7727272739</v>
          </cell>
        </row>
        <row r="1075">
          <cell r="A1075">
            <v>10001736</v>
          </cell>
          <cell r="B1075" t="str">
            <v>INDRI KOSMETIK</v>
          </cell>
          <cell r="C1075">
            <v>158931.81818181818</v>
          </cell>
          <cell r="D1075">
            <v>2476100.4545454541</v>
          </cell>
        </row>
        <row r="1076">
          <cell r="A1076">
            <v>10001753</v>
          </cell>
          <cell r="B1076" t="str">
            <v>MINI SS</v>
          </cell>
          <cell r="C1076">
            <v>650984.04545454541</v>
          </cell>
          <cell r="D1076">
            <v>870492.27272727259</v>
          </cell>
        </row>
        <row r="1077">
          <cell r="A1077">
            <v>10001764</v>
          </cell>
          <cell r="B1077" t="str">
            <v>ARNI, TK</v>
          </cell>
          <cell r="C1077">
            <v>55626.136363636375</v>
          </cell>
          <cell r="D1077">
            <v>177600.00000000003</v>
          </cell>
        </row>
        <row r="1078">
          <cell r="A1078">
            <v>10001838</v>
          </cell>
          <cell r="B1078" t="str">
            <v>SINAR BIDA AYU -ACIE</v>
          </cell>
          <cell r="C1078">
            <v>491420.45454545447</v>
          </cell>
          <cell r="D1078">
            <v>445245</v>
          </cell>
        </row>
        <row r="1079">
          <cell r="A1079">
            <v>10001843</v>
          </cell>
          <cell r="B1079" t="str">
            <v>GROSMART PIAYU</v>
          </cell>
          <cell r="C1079">
            <v>1015527.2727272726</v>
          </cell>
          <cell r="D1079">
            <v>1219990.9090909092</v>
          </cell>
        </row>
        <row r="1080">
          <cell r="A1080">
            <v>10001844</v>
          </cell>
          <cell r="B1080" t="str">
            <v>MM NIAGA MART</v>
          </cell>
          <cell r="C1080">
            <v>384060</v>
          </cell>
          <cell r="D1080">
            <v>532200</v>
          </cell>
        </row>
        <row r="1081">
          <cell r="A1081">
            <v>10001845</v>
          </cell>
          <cell r="B1081" t="str">
            <v>MM PERMATA</v>
          </cell>
          <cell r="C1081">
            <v>1639992.2727272725</v>
          </cell>
          <cell r="D1081">
            <v>10180904.31818182</v>
          </cell>
        </row>
        <row r="1082">
          <cell r="A1082">
            <v>10001853</v>
          </cell>
          <cell r="B1082" t="str">
            <v>SINAR INDAH</v>
          </cell>
          <cell r="C1082">
            <v>3725496.3636363624</v>
          </cell>
          <cell r="D1082">
            <v>13068222.954545461</v>
          </cell>
        </row>
        <row r="1083">
          <cell r="A1083">
            <v>10001888</v>
          </cell>
          <cell r="B1083" t="str">
            <v>VR COSMETIC</v>
          </cell>
          <cell r="C1083">
            <v>1535281.3636363633</v>
          </cell>
          <cell r="D1083">
            <v>2259090.6818181816</v>
          </cell>
        </row>
        <row r="1084">
          <cell r="A1084">
            <v>10001891</v>
          </cell>
          <cell r="B1084" t="str">
            <v>SUMBER HARAPAN</v>
          </cell>
          <cell r="C1084">
            <v>4720192.5000000009</v>
          </cell>
          <cell r="D1084">
            <v>4723823.3636363642</v>
          </cell>
        </row>
        <row r="1085">
          <cell r="A1085">
            <v>10001904</v>
          </cell>
          <cell r="B1085" t="str">
            <v>BOY MART</v>
          </cell>
          <cell r="C1085">
            <v>1347536.5909090911</v>
          </cell>
          <cell r="D1085">
            <v>1182452.7272727271</v>
          </cell>
        </row>
        <row r="1086">
          <cell r="A1086">
            <v>10001905</v>
          </cell>
          <cell r="B1086" t="str">
            <v>LOVE MARKET</v>
          </cell>
          <cell r="C1086">
            <v>2418705.0000000005</v>
          </cell>
          <cell r="D1086">
            <v>5965865.909090912</v>
          </cell>
        </row>
        <row r="1087">
          <cell r="A1087">
            <v>10001911</v>
          </cell>
          <cell r="B1087" t="str">
            <v>ROYAL SUPERMARKET - KAMPUNG DURIAN</v>
          </cell>
          <cell r="C1087">
            <v>1069131</v>
          </cell>
          <cell r="D1087">
            <v>1755982.2727272725</v>
          </cell>
        </row>
        <row r="1088">
          <cell r="A1088">
            <v>10001913</v>
          </cell>
          <cell r="B1088" t="str">
            <v>SUNLY</v>
          </cell>
          <cell r="C1088">
            <v>2270827.2272727271</v>
          </cell>
          <cell r="D1088">
            <v>2050885.9090909089</v>
          </cell>
        </row>
        <row r="1089">
          <cell r="A1089">
            <v>10001968</v>
          </cell>
          <cell r="B1089" t="str">
            <v>PRIMART</v>
          </cell>
          <cell r="C1089">
            <v>3219691.227272728</v>
          </cell>
          <cell r="D1089">
            <v>2311270.227272728</v>
          </cell>
        </row>
        <row r="1090">
          <cell r="A1090">
            <v>10001970</v>
          </cell>
          <cell r="B1090" t="str">
            <v>TOP 100 TIBAN</v>
          </cell>
          <cell r="C1090">
            <v>8445913.6363636386</v>
          </cell>
          <cell r="D1090">
            <v>6816845.454545456</v>
          </cell>
        </row>
        <row r="1091">
          <cell r="A1091">
            <v>10002010</v>
          </cell>
          <cell r="B1091" t="str">
            <v>MM TIBAN GLOBAL INDAH</v>
          </cell>
          <cell r="C1091">
            <v>669968.18181818177</v>
          </cell>
          <cell r="D1091">
            <v>501197.72727272729</v>
          </cell>
        </row>
        <row r="1092">
          <cell r="A1092">
            <v>10002064</v>
          </cell>
          <cell r="B1092" t="str">
            <v>ROYAL MINIMARKET - TIBAN PALAPA</v>
          </cell>
          <cell r="C1092">
            <v>3448284.5454545449</v>
          </cell>
          <cell r="D1092">
            <v>12778397.045454551</v>
          </cell>
        </row>
        <row r="1093">
          <cell r="A1093">
            <v>10002065</v>
          </cell>
          <cell r="B1093" t="str">
            <v>ROYAL SUPERMARKET - CIPTA PURI</v>
          </cell>
          <cell r="C1093">
            <v>1680553.6363636362</v>
          </cell>
          <cell r="D1093">
            <v>560413.63636363635</v>
          </cell>
        </row>
        <row r="1094">
          <cell r="A1094">
            <v>10002066</v>
          </cell>
          <cell r="B1094" t="str">
            <v>GOGO SUPERMARKET TIBAN</v>
          </cell>
          <cell r="C1094">
            <v>4431645.2272727275</v>
          </cell>
          <cell r="D1094">
            <v>2292773.6363636372</v>
          </cell>
        </row>
        <row r="1095">
          <cell r="A1095">
            <v>10002068</v>
          </cell>
          <cell r="B1095" t="str">
            <v>MM TIBAN INDAH JAYA</v>
          </cell>
          <cell r="C1095">
            <v>1141588.6363636362</v>
          </cell>
          <cell r="D1095">
            <v>521059.09090909094</v>
          </cell>
        </row>
        <row r="1096">
          <cell r="A1096">
            <v>10002070</v>
          </cell>
          <cell r="B1096" t="str">
            <v>TATI AKSESORIS</v>
          </cell>
          <cell r="C1096">
            <v>8536733.863636367</v>
          </cell>
          <cell r="D1096">
            <v>5073000</v>
          </cell>
        </row>
        <row r="1097">
          <cell r="A1097">
            <v>10002072</v>
          </cell>
          <cell r="B1097" t="str">
            <v>VICTORIA TIBAN</v>
          </cell>
          <cell r="C1097">
            <v>6399679.0909090945</v>
          </cell>
          <cell r="D1097">
            <v>3537291.8181818184</v>
          </cell>
        </row>
        <row r="1098">
          <cell r="A1098">
            <v>10002085</v>
          </cell>
          <cell r="B1098" t="str">
            <v>SYAILENDRA</v>
          </cell>
          <cell r="C1098">
            <v>397329.54545454541</v>
          </cell>
          <cell r="D1098">
            <v>900613.63636363612</v>
          </cell>
        </row>
        <row r="1099">
          <cell r="A1099">
            <v>10002099</v>
          </cell>
          <cell r="B1099" t="str">
            <v>HARUM, TK</v>
          </cell>
          <cell r="C1099">
            <v>-121141.36363636365</v>
          </cell>
          <cell r="D1099">
            <v>595115.45454545459</v>
          </cell>
        </row>
        <row r="1100">
          <cell r="A1100">
            <v>10002119</v>
          </cell>
          <cell r="B1100" t="str">
            <v>MINI MARKET M.M.M</v>
          </cell>
          <cell r="C1100">
            <v>1203822.9545454544</v>
          </cell>
          <cell r="D1100">
            <v>247252.50000000003</v>
          </cell>
        </row>
        <row r="1101">
          <cell r="A1101">
            <v>10002138</v>
          </cell>
          <cell r="B1101" t="str">
            <v>MELVIN</v>
          </cell>
          <cell r="C1101">
            <v>720687.68181818188</v>
          </cell>
          <cell r="D1101">
            <v>354000</v>
          </cell>
        </row>
        <row r="1102">
          <cell r="A1102">
            <v>10002156</v>
          </cell>
          <cell r="B1102" t="str">
            <v>MIA COSMETIC</v>
          </cell>
          <cell r="C1102">
            <v>977455.90909090894</v>
          </cell>
          <cell r="D1102">
            <v>1108691.5909090911</v>
          </cell>
        </row>
        <row r="1103">
          <cell r="A1103">
            <v>10002191</v>
          </cell>
          <cell r="B1103" t="str">
            <v>OCEAN BEAUTY STORE</v>
          </cell>
          <cell r="C1103">
            <v>317863.63636363635</v>
          </cell>
          <cell r="D1103">
            <v>3337433.1818181816</v>
          </cell>
        </row>
        <row r="1104">
          <cell r="A1104">
            <v>10002201</v>
          </cell>
          <cell r="B1104" t="str">
            <v>EMERALD SPM</v>
          </cell>
          <cell r="C1104">
            <v>4564566.8181818202</v>
          </cell>
          <cell r="D1104">
            <v>1827624.5454545461</v>
          </cell>
        </row>
        <row r="1105">
          <cell r="A1105">
            <v>10002202</v>
          </cell>
          <cell r="B1105" t="str">
            <v>QUEEN</v>
          </cell>
          <cell r="C1105">
            <v>647950</v>
          </cell>
          <cell r="D1105">
            <v>586957.90909090906</v>
          </cell>
        </row>
        <row r="1106">
          <cell r="A1106">
            <v>10002203</v>
          </cell>
          <cell r="B1106" t="str">
            <v>KHARISMA COLLECTION</v>
          </cell>
          <cell r="C1106">
            <v>4411947.2727272725</v>
          </cell>
        </row>
        <row r="1107">
          <cell r="A1107">
            <v>10002221</v>
          </cell>
          <cell r="B1107" t="str">
            <v>MINI MART BOTANIA</v>
          </cell>
          <cell r="C1107">
            <v>55626.136363636368</v>
          </cell>
          <cell r="D1107">
            <v>207443.18181818182</v>
          </cell>
        </row>
        <row r="1108">
          <cell r="A1108">
            <v>10002224</v>
          </cell>
          <cell r="B1108" t="str">
            <v>MY BEAUTY STORE</v>
          </cell>
          <cell r="C1108">
            <v>1470238.1818181821</v>
          </cell>
          <cell r="D1108">
            <v>4672930</v>
          </cell>
        </row>
        <row r="1109">
          <cell r="A1109">
            <v>10002428</v>
          </cell>
          <cell r="B1109" t="str">
            <v>GOGO SUPERMARKET MB2</v>
          </cell>
          <cell r="C1109">
            <v>8741599.8181818202</v>
          </cell>
          <cell r="D1109">
            <v>4124737.2727272725</v>
          </cell>
        </row>
        <row r="1110">
          <cell r="A1110">
            <v>10002505</v>
          </cell>
          <cell r="B1110" t="str">
            <v>BEAUTY MART</v>
          </cell>
          <cell r="C1110">
            <v>4474729.5454545449</v>
          </cell>
        </row>
        <row r="1111">
          <cell r="A1111">
            <v>10002533</v>
          </cell>
          <cell r="B1111" t="str">
            <v>ROYAL SUPERMARKET - BATU BESAR</v>
          </cell>
          <cell r="C1111">
            <v>1869842.0454545461</v>
          </cell>
          <cell r="D1111">
            <v>1485360</v>
          </cell>
        </row>
        <row r="1112">
          <cell r="A1112">
            <v>10002575</v>
          </cell>
          <cell r="B1112" t="str">
            <v>AZKALIA COSMETIC</v>
          </cell>
          <cell r="C1112">
            <v>755585.95454545435</v>
          </cell>
          <cell r="D1112">
            <v>2224319.7272727271</v>
          </cell>
        </row>
        <row r="1113">
          <cell r="A1113">
            <v>10002576</v>
          </cell>
          <cell r="B1113" t="str">
            <v>KEZIE COSMETIC/ ACC</v>
          </cell>
          <cell r="C1113">
            <v>-3487333.4090909092</v>
          </cell>
          <cell r="D1113">
            <v>803135.45454545459</v>
          </cell>
        </row>
        <row r="1114">
          <cell r="A1114">
            <v>10002600</v>
          </cell>
          <cell r="B1114" t="str">
            <v>AZ ZAHRA 8000</v>
          </cell>
          <cell r="C1114">
            <v>2744049.5454545454</v>
          </cell>
          <cell r="D1114">
            <v>2061425.4545454541</v>
          </cell>
        </row>
        <row r="1115">
          <cell r="A1115">
            <v>10002616</v>
          </cell>
          <cell r="B1115" t="str">
            <v>FYORDA COSMETIC</v>
          </cell>
          <cell r="C1115">
            <v>3462690.9090909101</v>
          </cell>
          <cell r="D1115">
            <v>2149892.2727272729</v>
          </cell>
        </row>
        <row r="1116">
          <cell r="A1116">
            <v>10002710</v>
          </cell>
          <cell r="B1116" t="str">
            <v>PT MONI BATAM INOVASI - TEMBESI</v>
          </cell>
          <cell r="C1116">
            <v>201521970.99999979</v>
          </cell>
          <cell r="D1116">
            <v>156018983.72727272</v>
          </cell>
        </row>
        <row r="1117">
          <cell r="A1117">
            <v>10002712</v>
          </cell>
          <cell r="B1117" t="str">
            <v>VEMALE BEAUTY</v>
          </cell>
          <cell r="C1117">
            <v>563138.18181818188</v>
          </cell>
          <cell r="D1117">
            <v>140667.72727272718</v>
          </cell>
        </row>
        <row r="1118">
          <cell r="A1118">
            <v>10002717</v>
          </cell>
          <cell r="B1118" t="str">
            <v>ELVINA BEAUTY</v>
          </cell>
          <cell r="C1118">
            <v>451063.63636363635</v>
          </cell>
          <cell r="D1118">
            <v>217192.13636363638</v>
          </cell>
        </row>
        <row r="1119">
          <cell r="A1119">
            <v>10002739</v>
          </cell>
          <cell r="B1119" t="str">
            <v>MM SAHABAT SIMPANG NATO</v>
          </cell>
          <cell r="C1119">
            <v>1436778.8181818179</v>
          </cell>
          <cell r="D1119">
            <v>883358.18181818165</v>
          </cell>
        </row>
        <row r="1120">
          <cell r="A1120">
            <v>10002757</v>
          </cell>
          <cell r="B1120" t="str">
            <v>KALUNA BENGKONG</v>
          </cell>
          <cell r="C1120">
            <v>2684087.9545454555</v>
          </cell>
          <cell r="D1120">
            <v>22419607.500000015</v>
          </cell>
        </row>
        <row r="1121">
          <cell r="A1121">
            <v>10002769</v>
          </cell>
          <cell r="B1121" t="str">
            <v>TIFFANY COSMETIC</v>
          </cell>
          <cell r="C1121">
            <v>2867208.181818183</v>
          </cell>
          <cell r="D1121">
            <v>5276718.8636363624</v>
          </cell>
        </row>
        <row r="1122">
          <cell r="A1122">
            <v>10002831</v>
          </cell>
          <cell r="B1122" t="str">
            <v>TOP 100 JL BAKAL</v>
          </cell>
          <cell r="C1122">
            <v>1784208.6818181816</v>
          </cell>
          <cell r="D1122">
            <v>399477.27272727271</v>
          </cell>
        </row>
        <row r="1123">
          <cell r="A1123">
            <v>10002900</v>
          </cell>
          <cell r="B1123" t="str">
            <v>YOSS MART</v>
          </cell>
          <cell r="C1123">
            <v>324750.68181818182</v>
          </cell>
          <cell r="D1123">
            <v>292131.81818181823</v>
          </cell>
        </row>
        <row r="1124">
          <cell r="A1124">
            <v>10002901</v>
          </cell>
          <cell r="B1124" t="str">
            <v>LJ BEAUTY HOUSE BA</v>
          </cell>
          <cell r="C1124">
            <v>1131140.4545454546</v>
          </cell>
          <cell r="D1124">
            <v>826274.99999999988</v>
          </cell>
        </row>
        <row r="1125">
          <cell r="A1125">
            <v>10002945</v>
          </cell>
          <cell r="B1125" t="str">
            <v>GOGO SUPERMARKET DREAMLAND</v>
          </cell>
          <cell r="C1125">
            <v>2734028.1818181821</v>
          </cell>
          <cell r="D1125">
            <v>8016918.4090909064</v>
          </cell>
        </row>
        <row r="1126">
          <cell r="A1126">
            <v>10003232</v>
          </cell>
          <cell r="B1126" t="str">
            <v>KARYA SUKSES (KSB)</v>
          </cell>
          <cell r="C1126">
            <v>0</v>
          </cell>
          <cell r="D1126">
            <v>626645.45454545447</v>
          </cell>
        </row>
        <row r="1127">
          <cell r="A1127">
            <v>10003338</v>
          </cell>
          <cell r="B1127" t="str">
            <v>SURYA ACCESORIS</v>
          </cell>
          <cell r="C1127">
            <v>1729178.1818181819</v>
          </cell>
        </row>
        <row r="1128">
          <cell r="A1128">
            <v>10003397</v>
          </cell>
          <cell r="B1128" t="str">
            <v>NINA COSMETIC</v>
          </cell>
          <cell r="C1128">
            <v>5343807.2727272753</v>
          </cell>
          <cell r="D1128">
            <v>2457445.4545454546</v>
          </cell>
        </row>
        <row r="1129">
          <cell r="A1129">
            <v>10003399</v>
          </cell>
          <cell r="B1129" t="str">
            <v>GALERRY SKINCARE BATAM</v>
          </cell>
          <cell r="C1129">
            <v>1677613.6363636365</v>
          </cell>
          <cell r="D1129">
            <v>1682634.0909090906</v>
          </cell>
        </row>
        <row r="1130">
          <cell r="A1130">
            <v>10003401</v>
          </cell>
          <cell r="B1130" t="str">
            <v>KHIDMAT KREATIF (KK BEAUTY)</v>
          </cell>
          <cell r="C1130">
            <v>-377400.00000000757</v>
          </cell>
          <cell r="D1130">
            <v>6466104.0909090843</v>
          </cell>
        </row>
        <row r="1131">
          <cell r="A1131">
            <v>10003405</v>
          </cell>
          <cell r="B1131" t="str">
            <v>QONI BEAUTY STORE</v>
          </cell>
          <cell r="C1131">
            <v>2315106.8181818188</v>
          </cell>
          <cell r="D1131">
            <v>1580678.0000000002</v>
          </cell>
        </row>
        <row r="1132">
          <cell r="A1132">
            <v>10003432</v>
          </cell>
          <cell r="B1132" t="str">
            <v>BEAUTY COSMETIC SUPERMARKET</v>
          </cell>
          <cell r="C1132">
            <v>12916866.136363637</v>
          </cell>
          <cell r="D1132">
            <v>10545738.181818182</v>
          </cell>
        </row>
        <row r="1133">
          <cell r="A1133">
            <v>11470025</v>
          </cell>
          <cell r="B1133" t="str">
            <v>APT. TIARA</v>
          </cell>
          <cell r="C1133">
            <v>2636645.4545454541</v>
          </cell>
          <cell r="D1133">
            <v>-22200.000000000004</v>
          </cell>
        </row>
        <row r="1134">
          <cell r="A1134">
            <v>11470030</v>
          </cell>
          <cell r="B1134" t="str">
            <v>FARIZ MART 2</v>
          </cell>
          <cell r="C1134">
            <v>5404874.3181818184</v>
          </cell>
          <cell r="D1134">
            <v>261092.04545454547</v>
          </cell>
        </row>
        <row r="1135">
          <cell r="A1135">
            <v>12563532</v>
          </cell>
          <cell r="B1135" t="str">
            <v>MITRA FARMA</v>
          </cell>
          <cell r="C1135">
            <v>420000</v>
          </cell>
          <cell r="D1135">
            <v>2053749.5454545459</v>
          </cell>
        </row>
        <row r="1136">
          <cell r="A1136">
            <v>12563534</v>
          </cell>
          <cell r="B1136" t="str">
            <v>SRI SANTAN 2</v>
          </cell>
          <cell r="C1136">
            <v>860076.81818181812</v>
          </cell>
          <cell r="D1136">
            <v>927011.63636363624</v>
          </cell>
        </row>
        <row r="1137">
          <cell r="A1137">
            <v>12563539</v>
          </cell>
          <cell r="B1137" t="str">
            <v>GALAXY SWALAYAN</v>
          </cell>
          <cell r="C1137">
            <v>2863240.8181818184</v>
          </cell>
          <cell r="D1137">
            <v>2426250.9090909092</v>
          </cell>
        </row>
        <row r="1138">
          <cell r="A1138">
            <v>15600129</v>
          </cell>
          <cell r="B1138" t="str">
            <v>NASYA COSMETIK</v>
          </cell>
          <cell r="C1138">
            <v>462183.81818181818</v>
          </cell>
          <cell r="D1138">
            <v>345310.90909090906</v>
          </cell>
        </row>
        <row r="1139">
          <cell r="A1139">
            <v>15600133</v>
          </cell>
          <cell r="B1139" t="str">
            <v>RINI JOFA</v>
          </cell>
          <cell r="C1139">
            <v>16497036.545454543</v>
          </cell>
          <cell r="D1139">
            <v>-13452000</v>
          </cell>
        </row>
        <row r="1140">
          <cell r="A1140">
            <v>15600181</v>
          </cell>
          <cell r="B1140" t="str">
            <v>VAN JAYA SWALAYAN</v>
          </cell>
          <cell r="C1140">
            <v>192383.18181818182</v>
          </cell>
          <cell r="D1140">
            <v>161798.63636363635</v>
          </cell>
        </row>
        <row r="1141">
          <cell r="A1141">
            <v>15600195</v>
          </cell>
          <cell r="B1141" t="str">
            <v>APT. DNA FARMA</v>
          </cell>
          <cell r="C1141">
            <v>864812.72727272718</v>
          </cell>
          <cell r="D1141">
            <v>1012915.9090909091</v>
          </cell>
        </row>
        <row r="1142">
          <cell r="A1142">
            <v>15600198</v>
          </cell>
          <cell r="B1142" t="str">
            <v>ANGKASA MART 8</v>
          </cell>
          <cell r="C1142">
            <v>113400</v>
          </cell>
          <cell r="D1142">
            <v>169742.04545454547</v>
          </cell>
        </row>
        <row r="1143">
          <cell r="A1143">
            <v>15600203</v>
          </cell>
          <cell r="B1143" t="str">
            <v>KAFFA MART</v>
          </cell>
          <cell r="C1143">
            <v>105954.54545454546</v>
          </cell>
          <cell r="D1143">
            <v>727907.72727272718</v>
          </cell>
        </row>
        <row r="1144">
          <cell r="A1144">
            <v>15600224</v>
          </cell>
          <cell r="B1144" t="str">
            <v>PT. SUMMERVILLE INDONESIA</v>
          </cell>
          <cell r="C1144">
            <v>475394.31818181823</v>
          </cell>
          <cell r="D1144">
            <v>1768284.2727272729</v>
          </cell>
        </row>
        <row r="1145">
          <cell r="A1145">
            <v>15600228</v>
          </cell>
          <cell r="B1145" t="str">
            <v>TO. ALIF</v>
          </cell>
          <cell r="C1145">
            <v>-158931.81818181818</v>
          </cell>
          <cell r="D1145">
            <v>147559.09090909091</v>
          </cell>
        </row>
        <row r="1146">
          <cell r="A1146">
            <v>15600241</v>
          </cell>
          <cell r="B1146" t="str">
            <v>TOKO REIHAN</v>
          </cell>
          <cell r="C1146">
            <v>317863.63636363629</v>
          </cell>
          <cell r="D1146">
            <v>8059656.8181818184</v>
          </cell>
        </row>
        <row r="1147">
          <cell r="A1147">
            <v>21401018</v>
          </cell>
          <cell r="B1147" t="str">
            <v>TK. ANUGERAH SIDOMULYO</v>
          </cell>
          <cell r="C1147">
            <v>2001203.1818181823</v>
          </cell>
          <cell r="D1147">
            <v>2582567.6363636381</v>
          </cell>
        </row>
        <row r="1148">
          <cell r="A1148">
            <v>104000001</v>
          </cell>
          <cell r="B1148" t="str">
            <v>MURAH NIAN</v>
          </cell>
          <cell r="C1148">
            <v>24660624.681818195</v>
          </cell>
        </row>
        <row r="1149">
          <cell r="A1149">
            <v>8010179821</v>
          </cell>
          <cell r="B1149" t="str">
            <v>SEKAWAN CHANDRA ABADI-T.BETUNG,PT.</v>
          </cell>
          <cell r="C1149">
            <v>1274589.9545454546</v>
          </cell>
          <cell r="D1149">
            <v>1814226.2727272729</v>
          </cell>
        </row>
        <row r="1150">
          <cell r="A1150">
            <v>8010180191</v>
          </cell>
          <cell r="B1150" t="str">
            <v>CHANDRA TOSERBA T.KARANG</v>
          </cell>
          <cell r="C1150">
            <v>12317468.727272727</v>
          </cell>
          <cell r="D1150">
            <v>8923794.4090909082</v>
          </cell>
        </row>
        <row r="1151">
          <cell r="A1151">
            <v>8010180331</v>
          </cell>
          <cell r="B1151" t="str">
            <v>SUMBER AYU SENTOSA, KOSMETIK</v>
          </cell>
          <cell r="C1151">
            <v>134458228.05954555</v>
          </cell>
          <cell r="D1151">
            <v>177758889.3636364</v>
          </cell>
        </row>
        <row r="1152">
          <cell r="A1152">
            <v>8010180361</v>
          </cell>
          <cell r="B1152" t="str">
            <v>PAJAR JAYA, TKLO.</v>
          </cell>
          <cell r="C1152">
            <v>4007225.5909090932</v>
          </cell>
          <cell r="D1152">
            <v>1040170.9090909092</v>
          </cell>
        </row>
        <row r="1153">
          <cell r="A1153">
            <v>8010180371</v>
          </cell>
          <cell r="B1153" t="str">
            <v>PUTRI, TKLO.</v>
          </cell>
          <cell r="C1153">
            <v>5547740.0000000019</v>
          </cell>
          <cell r="D1153">
            <v>5636329.5454545468</v>
          </cell>
        </row>
        <row r="1154">
          <cell r="A1154">
            <v>8010180391</v>
          </cell>
          <cell r="B1154" t="str">
            <v>SUMATRA JAYA, TKLO.</v>
          </cell>
          <cell r="C1154">
            <v>8819181.8181818295</v>
          </cell>
          <cell r="D1154">
            <v>8103403.6363636469</v>
          </cell>
        </row>
        <row r="1155">
          <cell r="A1155">
            <v>8010180431</v>
          </cell>
          <cell r="B1155" t="str">
            <v>ANAS, TKLO.</v>
          </cell>
          <cell r="C1155">
            <v>550711.36363636423</v>
          </cell>
          <cell r="D1155">
            <v>573818.18181818211</v>
          </cell>
        </row>
        <row r="1156">
          <cell r="A1156">
            <v>8010180541</v>
          </cell>
          <cell r="B1156" t="str">
            <v>ADH DHUHA, TKLO.</v>
          </cell>
          <cell r="C1156">
            <v>203331.81818181841</v>
          </cell>
          <cell r="D1156">
            <v>438197.72727272764</v>
          </cell>
        </row>
        <row r="1157">
          <cell r="A1157">
            <v>8010180651</v>
          </cell>
          <cell r="B1157" t="str">
            <v>SEKAWAN CHANDRA ABADI-MTR, PT.</v>
          </cell>
          <cell r="C1157">
            <v>2617598.1818181816</v>
          </cell>
          <cell r="D1157">
            <v>1785312.2727272727</v>
          </cell>
        </row>
        <row r="1158">
          <cell r="A1158">
            <v>8010180701</v>
          </cell>
          <cell r="B1158" t="str">
            <v>YOGYA, TKLO.</v>
          </cell>
          <cell r="C1158">
            <v>26488.6363636364</v>
          </cell>
          <cell r="D1158">
            <v>17672692.500000007</v>
          </cell>
        </row>
        <row r="1159">
          <cell r="A1159">
            <v>8010180901</v>
          </cell>
          <cell r="B1159" t="str">
            <v>SANTA, APT.</v>
          </cell>
          <cell r="C1159">
            <v>44400</v>
          </cell>
          <cell r="D1159">
            <v>196167.27272727276</v>
          </cell>
        </row>
        <row r="1160">
          <cell r="A1160">
            <v>8010181201</v>
          </cell>
          <cell r="B1160" t="str">
            <v>NANA, TKLO.</v>
          </cell>
          <cell r="C1160">
            <v>76000</v>
          </cell>
          <cell r="D1160">
            <v>70636.363636363603</v>
          </cell>
        </row>
        <row r="1161">
          <cell r="A1161">
            <v>8010181341</v>
          </cell>
          <cell r="B1161" t="str">
            <v>MARCELLA, TKLO.</v>
          </cell>
          <cell r="C1161">
            <v>-26488.636363636408</v>
          </cell>
          <cell r="D1161">
            <v>314533.63636363659</v>
          </cell>
        </row>
        <row r="1162">
          <cell r="A1162">
            <v>8010181571</v>
          </cell>
          <cell r="B1162" t="str">
            <v>RISKI, TKLO.</v>
          </cell>
          <cell r="C1162">
            <v>477552.27272727317</v>
          </cell>
          <cell r="D1162">
            <v>219641586.90909085</v>
          </cell>
        </row>
        <row r="1163">
          <cell r="A1163">
            <v>8010181671</v>
          </cell>
          <cell r="B1163" t="str">
            <v>ROSANA, M.M.</v>
          </cell>
          <cell r="C1163">
            <v>81000</v>
          </cell>
          <cell r="D1163">
            <v>-69000</v>
          </cell>
        </row>
        <row r="1164">
          <cell r="A1164">
            <v>8010181711</v>
          </cell>
          <cell r="B1164" t="str">
            <v>HANIF, TKLO.</v>
          </cell>
          <cell r="C1164">
            <v>76000</v>
          </cell>
          <cell r="D1164">
            <v>25000</v>
          </cell>
        </row>
        <row r="1165">
          <cell r="A1165">
            <v>8010181831</v>
          </cell>
          <cell r="B1165" t="str">
            <v>TAMIN, APT.</v>
          </cell>
          <cell r="C1165">
            <v>76287.272727272793</v>
          </cell>
          <cell r="D1165">
            <v>61646496.818181813</v>
          </cell>
        </row>
        <row r="1166">
          <cell r="A1166">
            <v>8010182041</v>
          </cell>
          <cell r="B1166" t="str">
            <v>WILLY'S , TKLO.</v>
          </cell>
          <cell r="C1166">
            <v>76000</v>
          </cell>
          <cell r="D1166">
            <v>13631687.727272728</v>
          </cell>
        </row>
        <row r="1167">
          <cell r="A1167">
            <v>8010182131</v>
          </cell>
          <cell r="B1167" t="str">
            <v>YANTI, TKLO.</v>
          </cell>
          <cell r="C1167">
            <v>978354.00000000023</v>
          </cell>
          <cell r="D1167">
            <v>3457139.8636363628</v>
          </cell>
        </row>
        <row r="1168">
          <cell r="A1168">
            <v>8010182261</v>
          </cell>
          <cell r="B1168" t="str">
            <v>LILY, TKLO.</v>
          </cell>
          <cell r="C1168">
            <v>76000</v>
          </cell>
          <cell r="D1168">
            <v>70636.363636363603</v>
          </cell>
        </row>
        <row r="1169">
          <cell r="A1169">
            <v>8010182471</v>
          </cell>
          <cell r="B1169" t="str">
            <v>KAYAN, TKLO.</v>
          </cell>
          <cell r="C1169">
            <v>153003.40909090929</v>
          </cell>
          <cell r="D1169">
            <v>3275660.4545454551</v>
          </cell>
        </row>
        <row r="1170">
          <cell r="A1170">
            <v>8010182751</v>
          </cell>
          <cell r="B1170" t="str">
            <v>SEKAWAN CHANDRA PERSADA PT.</v>
          </cell>
          <cell r="C1170">
            <v>9001090.9090909064</v>
          </cell>
          <cell r="D1170">
            <v>3791305.9090909082</v>
          </cell>
        </row>
        <row r="1171">
          <cell r="A1171">
            <v>8010182841</v>
          </cell>
          <cell r="B1171" t="str">
            <v>BILA, TKLO</v>
          </cell>
          <cell r="C1171">
            <v>158931.81818181841</v>
          </cell>
          <cell r="D1171">
            <v>1726481.8181818184</v>
          </cell>
        </row>
        <row r="1172">
          <cell r="A1172">
            <v>8010182851</v>
          </cell>
          <cell r="B1172" t="str">
            <v>CITRA, TKLO</v>
          </cell>
          <cell r="C1172">
            <v>199800</v>
          </cell>
          <cell r="D1172">
            <v>564306.81818181858</v>
          </cell>
        </row>
        <row r="1173">
          <cell r="A1173">
            <v>8010183001</v>
          </cell>
          <cell r="B1173" t="str">
            <v>SEKAWAN CHANDRA ABADI-B.JAYA,PT</v>
          </cell>
          <cell r="C1173">
            <v>1361815.9090909092</v>
          </cell>
          <cell r="D1173">
            <v>11191146.000000002</v>
          </cell>
        </row>
        <row r="1174">
          <cell r="A1174">
            <v>8010183161</v>
          </cell>
          <cell r="B1174" t="str">
            <v>IYUS, TKLO</v>
          </cell>
          <cell r="C1174">
            <v>1085518.6363636374</v>
          </cell>
          <cell r="D1174">
            <v>20541861.81818182</v>
          </cell>
        </row>
        <row r="1175">
          <cell r="A1175">
            <v>8010183211</v>
          </cell>
          <cell r="B1175" t="str">
            <v>ENGGAL BAGAS, APT</v>
          </cell>
          <cell r="C1175">
            <v>141272.72727272721</v>
          </cell>
          <cell r="D1175">
            <v>61806.818181818206</v>
          </cell>
        </row>
        <row r="1176">
          <cell r="A1176">
            <v>8010183241</v>
          </cell>
          <cell r="B1176" t="str">
            <v>ULLY, MM</v>
          </cell>
          <cell r="C1176">
            <v>225531.81818181841</v>
          </cell>
          <cell r="D1176">
            <v>10840051.63636364</v>
          </cell>
        </row>
        <row r="1177">
          <cell r="A1177">
            <v>8010183411</v>
          </cell>
          <cell r="B1177" t="str">
            <v>MAYA,TKLO</v>
          </cell>
          <cell r="C1177">
            <v>44400</v>
          </cell>
          <cell r="D1177">
            <v>52977.272727272728</v>
          </cell>
        </row>
        <row r="1178">
          <cell r="A1178">
            <v>8010183521</v>
          </cell>
          <cell r="B1178" t="str">
            <v>GAMA FARMA-SRBWN, APT</v>
          </cell>
          <cell r="C1178">
            <v>99900</v>
          </cell>
          <cell r="D1178">
            <v>362061.81818181835</v>
          </cell>
        </row>
        <row r="1179">
          <cell r="A1179">
            <v>8010184241</v>
          </cell>
          <cell r="B1179" t="str">
            <v>SUKINAH, TKLO</v>
          </cell>
          <cell r="C1179">
            <v>76000</v>
          </cell>
          <cell r="D1179">
            <v>33570245.454545446</v>
          </cell>
        </row>
        <row r="1180">
          <cell r="A1180">
            <v>8010184331</v>
          </cell>
          <cell r="B1180" t="str">
            <v>RATU FARMA, APT</v>
          </cell>
          <cell r="C1180">
            <v>1395856.5909090915</v>
          </cell>
          <cell r="D1180">
            <v>80661158.181818187</v>
          </cell>
        </row>
        <row r="1181">
          <cell r="A1181">
            <v>8010184651</v>
          </cell>
          <cell r="B1181" t="str">
            <v>SEKAWAN CHANDRA ABADI-PSWU,PT</v>
          </cell>
          <cell r="C1181">
            <v>638524.77272727271</v>
          </cell>
          <cell r="D1181">
            <v>7155365.4545454541</v>
          </cell>
        </row>
        <row r="1182">
          <cell r="A1182">
            <v>8010185161</v>
          </cell>
          <cell r="B1182" t="str">
            <v>SEKAWAN CHANDRA PERSADA-W.HLM, PT</v>
          </cell>
          <cell r="C1182">
            <v>1826959.5</v>
          </cell>
          <cell r="D1182">
            <v>1189163.5909090908</v>
          </cell>
        </row>
        <row r="1183">
          <cell r="A1183">
            <v>8010185421</v>
          </cell>
          <cell r="B1183" t="str">
            <v>SEKAWAN CHANDRA ABADI-KEMILING,PT</v>
          </cell>
          <cell r="C1183">
            <v>804115.90909090918</v>
          </cell>
          <cell r="D1183">
            <v>-44400</v>
          </cell>
        </row>
        <row r="1184">
          <cell r="A1184">
            <v>8010185561</v>
          </cell>
          <cell r="B1184" t="str">
            <v>QARIRA-TLPD, APT</v>
          </cell>
          <cell r="C1184">
            <v>532800</v>
          </cell>
          <cell r="D1184">
            <v>1065600</v>
          </cell>
        </row>
        <row r="1185">
          <cell r="A1185">
            <v>8010185571</v>
          </cell>
          <cell r="B1185" t="str">
            <v>CHANDRA BUMI KEDATON, SM</v>
          </cell>
          <cell r="C1185">
            <v>557697.95454545459</v>
          </cell>
          <cell r="D1185">
            <v>1983414.2727272729</v>
          </cell>
        </row>
        <row r="1186">
          <cell r="A1186">
            <v>8010185771</v>
          </cell>
          <cell r="B1186" t="str">
            <v>BINTANG KOSMETIK, TKLO</v>
          </cell>
          <cell r="C1186">
            <v>702932.04545454611</v>
          </cell>
          <cell r="D1186">
            <v>3363795.6363636376</v>
          </cell>
        </row>
        <row r="1187">
          <cell r="A1187">
            <v>8010185801</v>
          </cell>
          <cell r="B1187" t="str">
            <v>BILAL, TKLO</v>
          </cell>
          <cell r="C1187">
            <v>85813.090909090999</v>
          </cell>
          <cell r="D1187">
            <v>133200</v>
          </cell>
        </row>
        <row r="1188">
          <cell r="A1188">
            <v>8010185981</v>
          </cell>
          <cell r="B1188" t="str">
            <v>JAGABAYA, APT</v>
          </cell>
          <cell r="C1188">
            <v>88850.454545454602</v>
          </cell>
          <cell r="D1188">
            <v>2647573.3636363633</v>
          </cell>
        </row>
        <row r="1189">
          <cell r="A1189">
            <v>8010186051</v>
          </cell>
          <cell r="B1189" t="str">
            <v>SWISS-KTBM, TKLO</v>
          </cell>
          <cell r="C1189">
            <v>339835.68181818188</v>
          </cell>
          <cell r="D1189">
            <v>426393.00000000012</v>
          </cell>
        </row>
        <row r="1190">
          <cell r="A1190">
            <v>8010186241</v>
          </cell>
          <cell r="B1190" t="str">
            <v>UMI, TKLO</v>
          </cell>
          <cell r="C1190">
            <v>257154.54545454559</v>
          </cell>
          <cell r="D1190">
            <v>11961084.136363624</v>
          </cell>
        </row>
        <row r="1191">
          <cell r="A1191">
            <v>8010186401</v>
          </cell>
          <cell r="B1191" t="str">
            <v>ARDI, TKLO</v>
          </cell>
          <cell r="C1191">
            <v>209638.63636363641</v>
          </cell>
          <cell r="D1191">
            <v>2124483.4090909096</v>
          </cell>
        </row>
        <row r="1192">
          <cell r="A1192">
            <v>8010186531</v>
          </cell>
          <cell r="B1192" t="str">
            <v>BERKAH-GDTT, APT</v>
          </cell>
          <cell r="C1192">
            <v>52977.272727272801</v>
          </cell>
          <cell r="D1192">
            <v>19951914.000000004</v>
          </cell>
        </row>
        <row r="1193">
          <cell r="A1193">
            <v>8010186601</v>
          </cell>
          <cell r="B1193" t="str">
            <v>TANJUNG, TKLO</v>
          </cell>
          <cell r="C1193">
            <v>2058375.454545456</v>
          </cell>
          <cell r="D1193">
            <v>49845592.363636367</v>
          </cell>
        </row>
        <row r="1194">
          <cell r="A1194">
            <v>8010188031</v>
          </cell>
          <cell r="B1194" t="str">
            <v>DIAN - KTBM, APT</v>
          </cell>
          <cell r="C1194">
            <v>18315</v>
          </cell>
          <cell r="D1194">
            <v>112160.45454545456</v>
          </cell>
        </row>
        <row r="1195">
          <cell r="A1195">
            <v>8010258391</v>
          </cell>
          <cell r="B1195" t="str">
            <v>CV. SURYA KENCANA</v>
          </cell>
          <cell r="C1195">
            <v>2038104.5454545456</v>
          </cell>
          <cell r="D1195">
            <v>158931.81818181841</v>
          </cell>
        </row>
        <row r="1196">
          <cell r="A1196">
            <v>8010258431</v>
          </cell>
          <cell r="B1196" t="str">
            <v>FITRINOF, M.M.</v>
          </cell>
          <cell r="C1196">
            <v>150000</v>
          </cell>
          <cell r="D1196">
            <v>1787407.2727272736</v>
          </cell>
        </row>
        <row r="1197">
          <cell r="A1197">
            <v>8010258461</v>
          </cell>
          <cell r="B1197" t="str">
            <v>FITRI NOFANE, M.M.</v>
          </cell>
          <cell r="C1197">
            <v>1091479.0909090913</v>
          </cell>
          <cell r="D1197">
            <v>3603161.3181818197</v>
          </cell>
        </row>
        <row r="1198">
          <cell r="A1198">
            <v>8010258501</v>
          </cell>
          <cell r="B1198" t="str">
            <v>CV. SURYA KENCANA PERSADA</v>
          </cell>
          <cell r="C1198">
            <v>146065.9090909092</v>
          </cell>
          <cell r="D1198">
            <v>66600</v>
          </cell>
        </row>
        <row r="1199">
          <cell r="A1199">
            <v>8010258521</v>
          </cell>
          <cell r="B1199" t="str">
            <v>FITRI NOFANE-K.ANYAR, MM</v>
          </cell>
          <cell r="C1199">
            <v>2705490.0000000019</v>
          </cell>
          <cell r="D1199">
            <v>2583043.6363636381</v>
          </cell>
        </row>
        <row r="1200">
          <cell r="A1200">
            <v>8010258581</v>
          </cell>
          <cell r="B1200" t="str">
            <v>PELANGI II-SRBWN, MM</v>
          </cell>
          <cell r="C1200">
            <v>174749.31818181829</v>
          </cell>
          <cell r="D1200">
            <v>84940</v>
          </cell>
        </row>
        <row r="1201">
          <cell r="A1201">
            <v>8010350581</v>
          </cell>
          <cell r="B1201" t="str">
            <v>EMRI - P.SEWU, KOSMETIK</v>
          </cell>
          <cell r="C1201">
            <v>813490.22727272799</v>
          </cell>
          <cell r="D1201">
            <v>12405079.63636364</v>
          </cell>
        </row>
        <row r="1202">
          <cell r="A1202">
            <v>8010350711</v>
          </cell>
          <cell r="B1202" t="str">
            <v>HANNA, KOSMETIK</v>
          </cell>
          <cell r="C1202">
            <v>726275.45454545505</v>
          </cell>
          <cell r="D1202">
            <v>688704.54545454634</v>
          </cell>
        </row>
        <row r="1203">
          <cell r="A1203">
            <v>8010351861</v>
          </cell>
          <cell r="B1203" t="str">
            <v>NITA, KOSMETIK</v>
          </cell>
          <cell r="C1203">
            <v>397329.54545454605</v>
          </cell>
          <cell r="D1203">
            <v>266400.00000000006</v>
          </cell>
        </row>
        <row r="1204">
          <cell r="A1204">
            <v>8010352121</v>
          </cell>
          <cell r="B1204" t="str">
            <v>VIVI (PS. CIMENG), KOSMETIK</v>
          </cell>
          <cell r="C1204">
            <v>2908185.454545456</v>
          </cell>
          <cell r="D1204">
            <v>4559101.1363636386</v>
          </cell>
        </row>
        <row r="1205">
          <cell r="A1205">
            <v>8010352141</v>
          </cell>
          <cell r="B1205" t="str">
            <v>INA, KOSMETIK</v>
          </cell>
          <cell r="C1205">
            <v>4143781.5909090955</v>
          </cell>
          <cell r="D1205">
            <v>6741643.6363636414</v>
          </cell>
        </row>
        <row r="1206">
          <cell r="A1206">
            <v>8010352161</v>
          </cell>
          <cell r="B1206" t="str">
            <v>NIKI, KOSMETIK</v>
          </cell>
          <cell r="C1206">
            <v>-113775</v>
          </cell>
          <cell r="D1206">
            <v>28910683.636363644</v>
          </cell>
        </row>
        <row r="1207">
          <cell r="A1207">
            <v>8010352491</v>
          </cell>
          <cell r="B1207" t="str">
            <v>NUR, KOSMETIK</v>
          </cell>
          <cell r="C1207">
            <v>526464.54545454611</v>
          </cell>
          <cell r="D1207">
            <v>66600</v>
          </cell>
        </row>
        <row r="1208">
          <cell r="A1208">
            <v>8010353371</v>
          </cell>
          <cell r="B1208" t="str">
            <v>PESONA CANTIKA, KOSMETIK</v>
          </cell>
          <cell r="C1208">
            <v>987294.54545454623</v>
          </cell>
          <cell r="D1208">
            <v>93601971.818181813</v>
          </cell>
        </row>
        <row r="1209">
          <cell r="A1209">
            <v>8010353681</v>
          </cell>
          <cell r="B1209" t="str">
            <v>CLARA CANTIKA, KOSMETIK</v>
          </cell>
          <cell r="C1209">
            <v>267363.40909090941</v>
          </cell>
          <cell r="D1209">
            <v>480926.36363636405</v>
          </cell>
        </row>
        <row r="1210">
          <cell r="A1210">
            <v>8010354421</v>
          </cell>
          <cell r="B1210" t="str">
            <v>YOLIN, TKLO</v>
          </cell>
          <cell r="C1210">
            <v>488450.45454545523</v>
          </cell>
          <cell r="D1210">
            <v>1999687.7272727275</v>
          </cell>
        </row>
        <row r="1211">
          <cell r="A1211">
            <v>8010357281</v>
          </cell>
          <cell r="B1211" t="str">
            <v>SAFRIL KOSMETIK II</v>
          </cell>
          <cell r="C1211">
            <v>344352.27272727317</v>
          </cell>
          <cell r="D1211">
            <v>1367185.9090909103</v>
          </cell>
        </row>
        <row r="1212">
          <cell r="A1212">
            <v>8010359541</v>
          </cell>
          <cell r="B1212" t="str">
            <v>RAFAEL MEDICA-B. JAYA, APT</v>
          </cell>
          <cell r="C1212">
            <v>238397.72727272758</v>
          </cell>
          <cell r="D1212">
            <v>317863.63636363682</v>
          </cell>
        </row>
        <row r="1213">
          <cell r="A1213">
            <v>8010359991</v>
          </cell>
          <cell r="B1213" t="str">
            <v>FITRI, KOSMETIK</v>
          </cell>
          <cell r="C1213">
            <v>242635.90909090944</v>
          </cell>
          <cell r="D1213">
            <v>150354.54545454559</v>
          </cell>
        </row>
        <row r="1214">
          <cell r="A1214">
            <v>8010360491</v>
          </cell>
          <cell r="B1214" t="str">
            <v>CHANDRA SUPERMARKET ANTASARI</v>
          </cell>
          <cell r="C1214">
            <v>506990.45454545465</v>
          </cell>
          <cell r="D1214">
            <v>485419.77272727271</v>
          </cell>
        </row>
        <row r="1215">
          <cell r="A1215">
            <v>8010374681</v>
          </cell>
          <cell r="B1215" t="str">
            <v>MARISSA BANDAR AGUNG, APT</v>
          </cell>
          <cell r="C1215">
            <v>80297.727272727279</v>
          </cell>
          <cell r="D1215">
            <v>188415</v>
          </cell>
        </row>
        <row r="1216">
          <cell r="A1216">
            <v>8010392911</v>
          </cell>
          <cell r="B1216" t="str">
            <v>SUMBER AGUNG-P.SEWU, APT</v>
          </cell>
          <cell r="C1216">
            <v>115036.3636363636</v>
          </cell>
          <cell r="D1216">
            <v>88800</v>
          </cell>
        </row>
        <row r="1217">
          <cell r="A1217">
            <v>8010400111</v>
          </cell>
          <cell r="B1217" t="str">
            <v>AN NAJWA, KOS</v>
          </cell>
          <cell r="C1217">
            <v>157886.59090909112</v>
          </cell>
          <cell r="D1217">
            <v>1065600.0000000002</v>
          </cell>
        </row>
        <row r="1218">
          <cell r="A1218">
            <v>8010402291</v>
          </cell>
          <cell r="B1218" t="str">
            <v>MAJU, KOS</v>
          </cell>
          <cell r="C1218">
            <v>166954.090909091</v>
          </cell>
          <cell r="D1218">
            <v>5176155.1818181826</v>
          </cell>
        </row>
        <row r="1219">
          <cell r="A1219">
            <v>8010402631</v>
          </cell>
          <cell r="B1219" t="str">
            <v>PURWANDI</v>
          </cell>
          <cell r="C1219">
            <v>74168.181818181998</v>
          </cell>
          <cell r="D1219">
            <v>149122279.6363636</v>
          </cell>
        </row>
        <row r="1220">
          <cell r="A1220">
            <v>8010409051</v>
          </cell>
          <cell r="B1220" t="str">
            <v>CHANDRA SUPERSTORE NATAR</v>
          </cell>
          <cell r="C1220">
            <v>300000</v>
          </cell>
          <cell r="D1220">
            <v>1279866.2727272729</v>
          </cell>
        </row>
        <row r="1221">
          <cell r="A1221">
            <v>8010422471</v>
          </cell>
          <cell r="B1221" t="str">
            <v>FITRINOFANE TIRTAYASA, MM</v>
          </cell>
          <cell r="C1221">
            <v>1103135.4545454553</v>
          </cell>
          <cell r="D1221">
            <v>1387613.1818181826</v>
          </cell>
        </row>
        <row r="1222">
          <cell r="A1222">
            <v>8010434651</v>
          </cell>
          <cell r="B1222" t="str">
            <v>SRIKANDI (NTR), KOSMETIK</v>
          </cell>
          <cell r="C1222">
            <v>6276301.363636368</v>
          </cell>
          <cell r="D1222">
            <v>14154399.54545456</v>
          </cell>
        </row>
        <row r="1223">
          <cell r="A1223">
            <v>8010435371</v>
          </cell>
          <cell r="B1223" t="str">
            <v>JEAN SHOP, KOSMETIK</v>
          </cell>
          <cell r="C1223">
            <v>621475163.54545486</v>
          </cell>
          <cell r="D1223">
            <v>818194489.63636434</v>
          </cell>
        </row>
        <row r="1224">
          <cell r="A1224">
            <v>8010439951</v>
          </cell>
          <cell r="B1224" t="str">
            <v>TRENDY, KOSMETIK</v>
          </cell>
          <cell r="C1224">
            <v>816455.45454545482</v>
          </cell>
          <cell r="D1224">
            <v>1033056.8181818197</v>
          </cell>
        </row>
        <row r="1225">
          <cell r="A1225">
            <v>8010640581</v>
          </cell>
          <cell r="B1225" t="str">
            <v>WURI COLLECTION</v>
          </cell>
          <cell r="C1225">
            <v>-1880693.1818181863</v>
          </cell>
          <cell r="D1225">
            <v>128622664.4545456</v>
          </cell>
        </row>
        <row r="1226">
          <cell r="A1226">
            <v>8010662111</v>
          </cell>
          <cell r="B1226" t="str">
            <v>ALESHA OLSHOP</v>
          </cell>
          <cell r="C1226">
            <v>15064263.863636391</v>
          </cell>
          <cell r="D1226">
            <v>12407405.318181831</v>
          </cell>
        </row>
        <row r="1227">
          <cell r="A1227">
            <v>8010665651</v>
          </cell>
          <cell r="B1227" t="str">
            <v>PIAYU ACCESORIES</v>
          </cell>
          <cell r="C1227">
            <v>29153271.818181872</v>
          </cell>
          <cell r="D1227">
            <v>44545902.272727303</v>
          </cell>
        </row>
        <row r="1228">
          <cell r="A1228">
            <v>8010667121</v>
          </cell>
          <cell r="B1228" t="str">
            <v>AZEC STORE</v>
          </cell>
          <cell r="C1228">
            <v>332180874.72727299</v>
          </cell>
          <cell r="D1228">
            <v>149515000</v>
          </cell>
        </row>
        <row r="1229">
          <cell r="A1229">
            <v>8010667861</v>
          </cell>
          <cell r="B1229" t="str">
            <v>QUEEN, KOSMETIK</v>
          </cell>
          <cell r="C1229">
            <v>3493233.4090909115</v>
          </cell>
          <cell r="D1229">
            <v>6587410.909090911</v>
          </cell>
        </row>
        <row r="1230">
          <cell r="A1230">
            <v>8010667871</v>
          </cell>
          <cell r="B1230" t="str">
            <v>SINAR PUTRA RETAILINDO, CV.</v>
          </cell>
          <cell r="C1230">
            <v>196576494.76909125</v>
          </cell>
          <cell r="D1230">
            <v>89500510.931818262</v>
          </cell>
        </row>
        <row r="1231">
          <cell r="A1231">
            <v>8010712571</v>
          </cell>
          <cell r="B1231" t="str">
            <v>WAHYU ADIYANSAH</v>
          </cell>
          <cell r="C1231">
            <v>19071.818181818198</v>
          </cell>
          <cell r="D1231">
            <v>86290883.181818187</v>
          </cell>
        </row>
        <row r="1232">
          <cell r="A1232">
            <v>8010767441</v>
          </cell>
          <cell r="B1232" t="str">
            <v>CHANDRA LAMPUNG CITY MALL</v>
          </cell>
          <cell r="C1232">
            <v>607965.81818181835</v>
          </cell>
          <cell r="D1232">
            <v>3096436.3636363633</v>
          </cell>
        </row>
        <row r="1233">
          <cell r="A1233">
            <v>8010768681</v>
          </cell>
          <cell r="B1233" t="str">
            <v>CHAMART KEDAMAIAN</v>
          </cell>
          <cell r="C1233">
            <v>300000</v>
          </cell>
          <cell r="D1233">
            <v>1059784.9090909092</v>
          </cell>
        </row>
        <row r="1234">
          <cell r="A1234">
            <v>8010769981</v>
          </cell>
          <cell r="B1234" t="str">
            <v>TIARA FARMA, APT</v>
          </cell>
          <cell r="C1234">
            <v>26488.6363636364</v>
          </cell>
          <cell r="D1234">
            <v>1155882.2727272727</v>
          </cell>
        </row>
        <row r="1235">
          <cell r="A1235">
            <v>8010775591</v>
          </cell>
          <cell r="B1235" t="str">
            <v>SUMARMI (PG.RHJ), APT</v>
          </cell>
          <cell r="C1235">
            <v>114430.90909090919</v>
          </cell>
        </row>
        <row r="1236">
          <cell r="A1236">
            <v>8010777931</v>
          </cell>
          <cell r="B1236" t="str">
            <v>KHASANAH (W.JPR), APT</v>
          </cell>
          <cell r="C1236">
            <v>76287.272727272793</v>
          </cell>
          <cell r="D1236">
            <v>76287.272727272793</v>
          </cell>
        </row>
        <row r="1237">
          <cell r="A1237">
            <v>8010785731</v>
          </cell>
          <cell r="B1237" t="str">
            <v>289 COLLECTION</v>
          </cell>
          <cell r="C1237">
            <v>252979.09090909109</v>
          </cell>
          <cell r="D1237">
            <v>734265.00000000105</v>
          </cell>
        </row>
        <row r="1238">
          <cell r="A1238">
            <v>8010793261</v>
          </cell>
          <cell r="B1238" t="str">
            <v>D &amp; D STORE</v>
          </cell>
          <cell r="C1238">
            <v>1382635.4545454558</v>
          </cell>
          <cell r="D1238">
            <v>666000</v>
          </cell>
        </row>
        <row r="1239">
          <cell r="A1239">
            <v>8010796941</v>
          </cell>
          <cell r="B1239" t="str">
            <v>NUR MAY, KOSMETIK</v>
          </cell>
          <cell r="C1239">
            <v>76000</v>
          </cell>
          <cell r="D1239">
            <v>1074379.0909090908</v>
          </cell>
        </row>
        <row r="1240">
          <cell r="A1240">
            <v>8010801301</v>
          </cell>
          <cell r="B1240" t="str">
            <v>MISS GLAM, MM</v>
          </cell>
          <cell r="C1240">
            <v>48888932.772727296</v>
          </cell>
          <cell r="D1240">
            <v>35960181.045454599</v>
          </cell>
        </row>
        <row r="1241">
          <cell r="A1241">
            <v>8010809231</v>
          </cell>
          <cell r="B1241" t="str">
            <v>VESHOP, KOSMETIK</v>
          </cell>
          <cell r="C1241">
            <v>12908442.272727286</v>
          </cell>
          <cell r="D1241">
            <v>39016704.136363693</v>
          </cell>
        </row>
        <row r="1242">
          <cell r="A1242">
            <v>8010819591</v>
          </cell>
          <cell r="B1242" t="str">
            <v>FARMASYIFA (MSJ), APT</v>
          </cell>
          <cell r="C1242">
            <v>60200</v>
          </cell>
          <cell r="D1242">
            <v>50000</v>
          </cell>
        </row>
        <row r="1243">
          <cell r="A1243">
            <v>8010819601</v>
          </cell>
          <cell r="B1243" t="str">
            <v>NIRWANA, APT</v>
          </cell>
          <cell r="C1243">
            <v>69299.318181818206</v>
          </cell>
          <cell r="D1243">
            <v>250204.090909091</v>
          </cell>
        </row>
        <row r="1244">
          <cell r="A1244">
            <v>8010831141</v>
          </cell>
          <cell r="B1244" t="str">
            <v>LANA, KOSMETIK</v>
          </cell>
          <cell r="C1244">
            <v>94600</v>
          </cell>
          <cell r="D1244">
            <v>217600</v>
          </cell>
        </row>
        <row r="1245">
          <cell r="A1245">
            <v>8010831151</v>
          </cell>
          <cell r="B1245" t="str">
            <v>SM, KOSMETIK</v>
          </cell>
          <cell r="C1245">
            <v>261707.72727272758</v>
          </cell>
          <cell r="D1245">
            <v>271305.00000000017</v>
          </cell>
        </row>
        <row r="1246">
          <cell r="A1246">
            <v>8010840401</v>
          </cell>
          <cell r="B1246" t="str">
            <v>LIRIK KITA, KOSMETIK</v>
          </cell>
          <cell r="C1246">
            <v>8246362.2727272762</v>
          </cell>
          <cell r="D1246">
            <v>266400.00000000006</v>
          </cell>
        </row>
        <row r="1247">
          <cell r="A1247">
            <v>8010855961</v>
          </cell>
          <cell r="B1247" t="str">
            <v>AYUDY BEAUTY STORE</v>
          </cell>
          <cell r="C1247">
            <v>485863.63636363682</v>
          </cell>
          <cell r="D1247">
            <v>3556504.5454545473</v>
          </cell>
        </row>
        <row r="1248">
          <cell r="A1248">
            <v>8010858081</v>
          </cell>
          <cell r="B1248" t="str">
            <v>MOTE-MOTE STORE</v>
          </cell>
          <cell r="C1248">
            <v>4989307.2727272753</v>
          </cell>
          <cell r="D1248">
            <v>2707626.0909090908</v>
          </cell>
        </row>
        <row r="1249">
          <cell r="A1249">
            <v>8010858991</v>
          </cell>
          <cell r="B1249" t="str">
            <v>RAYA ARTHA MULIA, CV</v>
          </cell>
          <cell r="C1249">
            <v>9845018.1818181872</v>
          </cell>
          <cell r="D1249">
            <v>29713295.909090959</v>
          </cell>
        </row>
        <row r="1250">
          <cell r="A1250">
            <v>8010859001</v>
          </cell>
          <cell r="B1250" t="str">
            <v>MEDIKA NUSWANTARA (NTR), APT</v>
          </cell>
          <cell r="C1250">
            <v>95359.090909090999</v>
          </cell>
          <cell r="D1250">
            <v>57215.454545454595</v>
          </cell>
        </row>
        <row r="1251">
          <cell r="A1251">
            <v>8010859451</v>
          </cell>
          <cell r="B1251" t="str">
            <v>RAVAINDO SINAR ABADI, CV</v>
          </cell>
          <cell r="C1251">
            <v>567928657.86363697</v>
          </cell>
          <cell r="D1251">
            <v>213231057.04545453</v>
          </cell>
        </row>
        <row r="1252">
          <cell r="A1252">
            <v>8010884561</v>
          </cell>
          <cell r="B1252" t="str">
            <v>MISS GLAM KEDATON</v>
          </cell>
          <cell r="C1252">
            <v>46112248.909090959</v>
          </cell>
          <cell r="D1252">
            <v>36951137.500000037</v>
          </cell>
        </row>
        <row r="1253">
          <cell r="A1253">
            <v>8010893601</v>
          </cell>
          <cell r="B1253" t="str">
            <v>LIE SHOP</v>
          </cell>
          <cell r="C1253">
            <v>4032000</v>
          </cell>
        </row>
        <row r="1254">
          <cell r="A1254" t="str">
            <v>01DK00009</v>
          </cell>
          <cell r="B1254" t="str">
            <v>CV.TEMAN JAYA BERSAMA</v>
          </cell>
          <cell r="C1254">
            <v>1632350.8636363638</v>
          </cell>
          <cell r="D1254">
            <v>1141801.3636363635</v>
          </cell>
        </row>
        <row r="1255">
          <cell r="A1255" t="str">
            <v>01DK00010</v>
          </cell>
          <cell r="B1255" t="str">
            <v>CV.TEMAN JAYA MART</v>
          </cell>
          <cell r="C1255">
            <v>966075</v>
          </cell>
          <cell r="D1255">
            <v>504340.36363636365</v>
          </cell>
        </row>
        <row r="1256">
          <cell r="A1256" t="str">
            <v>01DK00019</v>
          </cell>
          <cell r="B1256" t="str">
            <v>TJUAN MIN (ACUAN BTC)</v>
          </cell>
          <cell r="C1256">
            <v>9506720.909090912</v>
          </cell>
          <cell r="D1256">
            <v>5713323.1818181844</v>
          </cell>
        </row>
        <row r="1257">
          <cell r="A1257" t="str">
            <v>01DK00023</v>
          </cell>
          <cell r="B1257" t="str">
            <v>CV. TEMAN JAYA MART SELINDUNG</v>
          </cell>
          <cell r="C1257">
            <v>454545</v>
          </cell>
          <cell r="D1257">
            <v>510729.54545454541</v>
          </cell>
        </row>
        <row r="1258">
          <cell r="A1258" t="str">
            <v>02SL00012</v>
          </cell>
          <cell r="B1258" t="str">
            <v>YENNI SALON</v>
          </cell>
          <cell r="C1258">
            <v>1020600</v>
          </cell>
          <cell r="D1258">
            <v>25148930.363636371</v>
          </cell>
        </row>
        <row r="1259">
          <cell r="A1259" t="str">
            <v>02SL00042</v>
          </cell>
          <cell r="B1259" t="str">
            <v>SANTI COSMETIC</v>
          </cell>
          <cell r="C1259">
            <v>324000</v>
          </cell>
          <cell r="D1259">
            <v>3230636.8181818193</v>
          </cell>
        </row>
        <row r="1260">
          <cell r="A1260" t="str">
            <v>02SL00050</v>
          </cell>
          <cell r="B1260" t="str">
            <v>JAYA COSMETIC</v>
          </cell>
          <cell r="C1260">
            <v>1760093.1818181821</v>
          </cell>
          <cell r="D1260">
            <v>1552431.8181818184</v>
          </cell>
        </row>
        <row r="1261">
          <cell r="A1261" t="str">
            <v>02SL00051</v>
          </cell>
          <cell r="B1261" t="str">
            <v>MEGA MART II (HENGKY)</v>
          </cell>
          <cell r="C1261">
            <v>7611696.2727272771</v>
          </cell>
          <cell r="D1261">
            <v>4683650.5909090918</v>
          </cell>
        </row>
        <row r="1262">
          <cell r="A1262" t="str">
            <v>02SL00052</v>
          </cell>
          <cell r="B1262" t="str">
            <v xml:space="preserve">TOKO EKA </v>
          </cell>
          <cell r="C1262">
            <v>1157904.5454545454</v>
          </cell>
          <cell r="D1262">
            <v>573214.09090909094</v>
          </cell>
        </row>
        <row r="1263">
          <cell r="A1263" t="str">
            <v>02SL00058</v>
          </cell>
          <cell r="B1263" t="str">
            <v>MY MINI MARKET II</v>
          </cell>
          <cell r="C1263">
            <v>61983.409090909081</v>
          </cell>
          <cell r="D1263">
            <v>392400.00000000006</v>
          </cell>
        </row>
        <row r="1264">
          <cell r="A1264" t="str">
            <v>02SL00063</v>
          </cell>
          <cell r="B1264" t="str">
            <v xml:space="preserve">TK HOI KHIN </v>
          </cell>
          <cell r="C1264">
            <v>2557286.5909090918</v>
          </cell>
          <cell r="D1264">
            <v>1300790.1818181819</v>
          </cell>
        </row>
        <row r="1265">
          <cell r="A1265" t="str">
            <v>03KB00009</v>
          </cell>
          <cell r="B1265" t="str">
            <v>CAHAYA NIBUNG</v>
          </cell>
          <cell r="C1265">
            <v>457752.27272727271</v>
          </cell>
          <cell r="D1265">
            <v>137583.40909090909</v>
          </cell>
        </row>
        <row r="1266">
          <cell r="A1266" t="str">
            <v>03KB00017</v>
          </cell>
          <cell r="B1266" t="str">
            <v>BELLEZA COSMETIC</v>
          </cell>
          <cell r="C1266">
            <v>3637851.5454545463</v>
          </cell>
          <cell r="D1266">
            <v>3549371.5909090913</v>
          </cell>
        </row>
        <row r="1267">
          <cell r="A1267" t="str">
            <v>03KB00021</v>
          </cell>
          <cell r="B1267" t="str">
            <v>PETER MART</v>
          </cell>
          <cell r="C1267">
            <v>457723.63636363629</v>
          </cell>
          <cell r="D1267">
            <v>354000</v>
          </cell>
        </row>
        <row r="1268">
          <cell r="A1268" t="str">
            <v>03KB00023</v>
          </cell>
          <cell r="B1268" t="str">
            <v>APOTIK CAHAYA</v>
          </cell>
          <cell r="C1268">
            <v>18113470.227272734</v>
          </cell>
          <cell r="D1268">
            <v>2917200</v>
          </cell>
        </row>
        <row r="1269">
          <cell r="A1269" t="str">
            <v>04TB00005</v>
          </cell>
          <cell r="B1269" t="str">
            <v>TEMAN JAYA  I</v>
          </cell>
          <cell r="C1269">
            <v>354000</v>
          </cell>
          <cell r="D1269">
            <v>6039409.0909090908</v>
          </cell>
        </row>
        <row r="1270">
          <cell r="A1270" t="str">
            <v>04TB00010</v>
          </cell>
          <cell r="B1270" t="str">
            <v>APOTIK NIRWANA</v>
          </cell>
          <cell r="C1270">
            <v>993453.81818181812</v>
          </cell>
          <cell r="D1270">
            <v>66600.000000000015</v>
          </cell>
        </row>
        <row r="1271">
          <cell r="A1271" t="str">
            <v>04TB00016</v>
          </cell>
          <cell r="B1271" t="str">
            <v>QUEEN COSMETIC I</v>
          </cell>
          <cell r="C1271">
            <v>1999686.8181818181</v>
          </cell>
          <cell r="D1271">
            <v>1073072.4090909092</v>
          </cell>
        </row>
        <row r="1272">
          <cell r="A1272" t="str">
            <v>04TB00028</v>
          </cell>
          <cell r="B1272" t="str">
            <v>SHAIRAN/RIZKY</v>
          </cell>
          <cell r="C1272">
            <v>2094850.0000000002</v>
          </cell>
          <cell r="D1272">
            <v>2860752.2727272729</v>
          </cell>
        </row>
        <row r="1273">
          <cell r="A1273" t="str">
            <v>05MT00006</v>
          </cell>
          <cell r="B1273" t="str">
            <v>LOVE MART / RUDI</v>
          </cell>
          <cell r="C1273">
            <v>2368838.1818181816</v>
          </cell>
          <cell r="D1273">
            <v>2517312.9545454546</v>
          </cell>
        </row>
        <row r="1274">
          <cell r="A1274" t="str">
            <v>06JB00002</v>
          </cell>
          <cell r="B1274" t="str">
            <v>TOKO SINAR MAKMUR</v>
          </cell>
          <cell r="C1274">
            <v>6069651.8181818202</v>
          </cell>
          <cell r="D1274">
            <v>3455761.3636363642</v>
          </cell>
        </row>
        <row r="1275">
          <cell r="A1275" t="str">
            <v>06JB00006</v>
          </cell>
          <cell r="B1275" t="str">
            <v>SETIA KAWAN</v>
          </cell>
          <cell r="C1275">
            <v>88800.000000000015</v>
          </cell>
          <cell r="D1275">
            <v>157036.36363636365</v>
          </cell>
        </row>
        <row r="1276">
          <cell r="A1276" t="str">
            <v>06JB00008</v>
          </cell>
          <cell r="B1276" t="str">
            <v>AFU ELEKTRONIK</v>
          </cell>
          <cell r="C1276">
            <v>9627354.1363636367</v>
          </cell>
          <cell r="D1276">
            <v>13954471.954545457</v>
          </cell>
        </row>
        <row r="1277">
          <cell r="A1277" t="str">
            <v>06JB00017</v>
          </cell>
          <cell r="B1277" t="str">
            <v>AGUS/TIARA KELAPA</v>
          </cell>
          <cell r="C1277">
            <v>419157.95454545453</v>
          </cell>
        </row>
        <row r="1278">
          <cell r="A1278" t="str">
            <v>07JK00010</v>
          </cell>
          <cell r="B1278" t="str">
            <v>ATIAK</v>
          </cell>
          <cell r="C1278">
            <v>18542.045454545456</v>
          </cell>
          <cell r="D1278">
            <v>26488.636363636364</v>
          </cell>
        </row>
        <row r="1279">
          <cell r="A1279" t="str">
            <v>07JK00019</v>
          </cell>
          <cell r="B1279" t="str">
            <v>PT. DUA SAUDARA TERUS JAYA</v>
          </cell>
          <cell r="C1279">
            <v>113400</v>
          </cell>
          <cell r="D1279">
            <v>112000</v>
          </cell>
        </row>
        <row r="1280">
          <cell r="A1280" t="str">
            <v>07JK00043</v>
          </cell>
          <cell r="B1280" t="str">
            <v>SARI COSMETIC</v>
          </cell>
          <cell r="C1280">
            <v>238397.72727272726</v>
          </cell>
          <cell r="D1280">
            <v>248420.45454545453</v>
          </cell>
        </row>
        <row r="1281">
          <cell r="A1281" t="str">
            <v>07JK00057</v>
          </cell>
          <cell r="B1281" t="str">
            <v>ASWIN</v>
          </cell>
          <cell r="C1281">
            <v>1186404.5454545454</v>
          </cell>
          <cell r="D1281">
            <v>982598.18181818188</v>
          </cell>
        </row>
        <row r="1282">
          <cell r="A1282" t="str">
            <v>07JK00069</v>
          </cell>
          <cell r="B1282" t="str">
            <v>ANDI</v>
          </cell>
          <cell r="C1282">
            <v>18542.045454545456</v>
          </cell>
          <cell r="D1282">
            <v>16115215.90909091</v>
          </cell>
        </row>
        <row r="1283">
          <cell r="A1283" t="str">
            <v>08PS00020</v>
          </cell>
          <cell r="B1283" t="str">
            <v>CHIN KIE MIN</v>
          </cell>
          <cell r="C1283">
            <v>505052.72727272735</v>
          </cell>
          <cell r="D1283">
            <v>435360</v>
          </cell>
        </row>
        <row r="1284">
          <cell r="A1284" t="str">
            <v>08PS00021</v>
          </cell>
          <cell r="B1284" t="str">
            <v>LIE WAN LIONG-BINTANG 5</v>
          </cell>
          <cell r="C1284">
            <v>1488661.363636364</v>
          </cell>
          <cell r="D1284">
            <v>266400</v>
          </cell>
        </row>
        <row r="1285">
          <cell r="A1285" t="str">
            <v>08PS00022</v>
          </cell>
          <cell r="B1285" t="str">
            <v>HENDRA-SUMBER KECANTIKAN</v>
          </cell>
          <cell r="C1285">
            <v>1762800</v>
          </cell>
          <cell r="D1285">
            <v>10554102.272727272</v>
          </cell>
        </row>
        <row r="1286">
          <cell r="A1286" t="str">
            <v>08PS00025</v>
          </cell>
          <cell r="B1286" t="str">
            <v>TOKO ANDERI II</v>
          </cell>
          <cell r="C1286">
            <v>1530740.4545454551</v>
          </cell>
          <cell r="D1286">
            <v>3898671.8181818193</v>
          </cell>
        </row>
        <row r="1287">
          <cell r="A1287" t="str">
            <v>08PS00027</v>
          </cell>
          <cell r="B1287" t="str">
            <v>SUKISNO</v>
          </cell>
          <cell r="C1287">
            <v>2561577.2727272725</v>
          </cell>
          <cell r="D1287">
            <v>2788723.6363636362</v>
          </cell>
        </row>
        <row r="1288">
          <cell r="A1288" t="str">
            <v>08PS00035</v>
          </cell>
          <cell r="B1288" t="str">
            <v>TOKO DAMAI / CHIA KIAT HIAN II</v>
          </cell>
          <cell r="C1288">
            <v>1704883.636363636</v>
          </cell>
          <cell r="D1288">
            <v>953590.90909090894</v>
          </cell>
        </row>
        <row r="1289">
          <cell r="A1289" t="str">
            <v>09SM00013</v>
          </cell>
          <cell r="B1289" t="str">
            <v>SELERA MART</v>
          </cell>
          <cell r="C1289">
            <v>18542.045454545456</v>
          </cell>
        </row>
        <row r="1290">
          <cell r="A1290" t="str">
            <v>09SM00017</v>
          </cell>
          <cell r="B1290" t="str">
            <v>TO. JAYA SEHAT</v>
          </cell>
          <cell r="C1290">
            <v>351542.04545454553</v>
          </cell>
          <cell r="D1290">
            <v>629294.31818181823</v>
          </cell>
        </row>
        <row r="1291">
          <cell r="A1291" t="str">
            <v>09SM00031</v>
          </cell>
          <cell r="B1291" t="str">
            <v>CV. BERKAH JAYA GLOBAL/LING COLLECTION</v>
          </cell>
          <cell r="C1291">
            <v>649349.99999999988</v>
          </cell>
          <cell r="D1291">
            <v>897504.54545454541</v>
          </cell>
        </row>
        <row r="1292">
          <cell r="A1292" t="str">
            <v>1.MART</v>
          </cell>
          <cell r="B1292" t="str">
            <v>PERMATA MART,NGABANG</v>
          </cell>
          <cell r="C1292">
            <v>794660.18181818165</v>
          </cell>
          <cell r="D1292">
            <v>22200.000000000004</v>
          </cell>
        </row>
        <row r="1293">
          <cell r="A1293" t="str">
            <v>10PB00002</v>
          </cell>
          <cell r="B1293" t="str">
            <v>TOKO MELIA JAYA</v>
          </cell>
          <cell r="C1293">
            <v>101262.27272727274</v>
          </cell>
          <cell r="D1293">
            <v>236884.09090909091</v>
          </cell>
        </row>
        <row r="1294">
          <cell r="A1294" t="str">
            <v>10PB00015</v>
          </cell>
          <cell r="B1294" t="str">
            <v xml:space="preserve">PT. AJMART SUKSES MAKMUR </v>
          </cell>
          <cell r="C1294">
            <v>2492840.4545454551</v>
          </cell>
          <cell r="D1294">
            <v>2879402.0454545459</v>
          </cell>
        </row>
        <row r="1295">
          <cell r="A1295" t="str">
            <v>10PB00019</v>
          </cell>
          <cell r="B1295" t="str">
            <v>ELEGAN COSMETIC</v>
          </cell>
          <cell r="C1295">
            <v>688704.54545454541</v>
          </cell>
          <cell r="D1295">
            <v>911712.27272727271</v>
          </cell>
        </row>
        <row r="1296">
          <cell r="A1296" t="str">
            <v>10PB00020</v>
          </cell>
          <cell r="B1296" t="str">
            <v>PT. SINAR MENTARI BANGKA</v>
          </cell>
          <cell r="C1296">
            <v>572700</v>
          </cell>
          <cell r="D1296">
            <v>493254.54545454541</v>
          </cell>
        </row>
        <row r="1297">
          <cell r="A1297" t="str">
            <v>10PB00024</v>
          </cell>
          <cell r="B1297" t="str">
            <v>PITCUK</v>
          </cell>
          <cell r="C1297">
            <v>22200.000000000004</v>
          </cell>
          <cell r="D1297">
            <v>218954</v>
          </cell>
        </row>
        <row r="1298">
          <cell r="A1298" t="str">
            <v>10PB00090</v>
          </cell>
          <cell r="B1298" t="str">
            <v>ENDANG ELCO</v>
          </cell>
          <cell r="C1298">
            <v>18542.045454545456</v>
          </cell>
          <cell r="D1298">
            <v>63000</v>
          </cell>
        </row>
        <row r="1299">
          <cell r="A1299" t="str">
            <v>11JS00014</v>
          </cell>
          <cell r="B1299" t="str">
            <v>APOTIK DEWI</v>
          </cell>
          <cell r="C1299">
            <v>2143523.5909090913</v>
          </cell>
          <cell r="D1299">
            <v>1516532.0454545456</v>
          </cell>
        </row>
        <row r="1300">
          <cell r="A1300" t="str">
            <v>11JS00017</v>
          </cell>
          <cell r="B1300" t="str">
            <v>TOKO DAHRI/NUR</v>
          </cell>
          <cell r="C1300">
            <v>59864.318181818177</v>
          </cell>
          <cell r="D1300">
            <v>71625.272727272721</v>
          </cell>
        </row>
        <row r="1301">
          <cell r="A1301" t="str">
            <v>11JS00021</v>
          </cell>
          <cell r="B1301" t="str">
            <v>TOKO ABOT</v>
          </cell>
          <cell r="C1301">
            <v>1917190.2727272734</v>
          </cell>
          <cell r="D1301">
            <v>1469820.4545454548</v>
          </cell>
        </row>
        <row r="1302">
          <cell r="A1302" t="str">
            <v>12JB00006</v>
          </cell>
          <cell r="B1302" t="str">
            <v>ITA COSMETIC</v>
          </cell>
          <cell r="C1302">
            <v>484050.68181818188</v>
          </cell>
          <cell r="D1302">
            <v>12109.09090909091</v>
          </cell>
        </row>
        <row r="1303">
          <cell r="A1303" t="str">
            <v>12JB00019</v>
          </cell>
          <cell r="B1303" t="str">
            <v>TOKO DIAN / MALIM JUANDA</v>
          </cell>
          <cell r="C1303">
            <v>93627509.090909079</v>
          </cell>
          <cell r="D1303">
            <v>53860904.545454562</v>
          </cell>
        </row>
        <row r="1304">
          <cell r="A1304" t="str">
            <v>12JB00043</v>
          </cell>
          <cell r="B1304" t="str">
            <v>SUMBER REZEKI PKP</v>
          </cell>
          <cell r="C1304">
            <v>18542.045454545456</v>
          </cell>
          <cell r="D1304">
            <v>18542.045454545456</v>
          </cell>
        </row>
        <row r="1305">
          <cell r="A1305" t="str">
            <v>13BL00002</v>
          </cell>
          <cell r="B1305" t="str">
            <v>TOKO SEHAT</v>
          </cell>
          <cell r="C1305">
            <v>6648728.8181818184</v>
          </cell>
          <cell r="D1305">
            <v>11516115.500000004</v>
          </cell>
        </row>
        <row r="1306">
          <cell r="A1306" t="str">
            <v>168NW</v>
          </cell>
          <cell r="B1306" t="str">
            <v>168 ,TOKO</v>
          </cell>
          <cell r="C1306">
            <v>1065614.3181818181</v>
          </cell>
          <cell r="D1306">
            <v>1310386.363636364</v>
          </cell>
        </row>
        <row r="1307">
          <cell r="A1307" t="str">
            <v>17LK00149</v>
          </cell>
          <cell r="B1307" t="str">
            <v>SEN JAYA</v>
          </cell>
          <cell r="C1307">
            <v>1370420.4545454544</v>
          </cell>
          <cell r="D1307">
            <v>465993.81818181818</v>
          </cell>
        </row>
        <row r="1308">
          <cell r="A1308" t="str">
            <v>18LK00025</v>
          </cell>
          <cell r="B1308" t="str">
            <v>NORI COSMETIK</v>
          </cell>
          <cell r="C1308">
            <v>3819616.8181818184</v>
          </cell>
          <cell r="D1308">
            <v>1621511.5909090906</v>
          </cell>
        </row>
        <row r="1309">
          <cell r="A1309" t="str">
            <v>18LK00041</v>
          </cell>
          <cell r="B1309" t="str">
            <v>HARI MART</v>
          </cell>
          <cell r="C1309">
            <v>18542.045454545456</v>
          </cell>
          <cell r="D1309">
            <v>18900</v>
          </cell>
        </row>
        <row r="1310">
          <cell r="A1310" t="str">
            <v>19LK00077</v>
          </cell>
          <cell r="B1310" t="str">
            <v>SHABILA MART</v>
          </cell>
          <cell r="C1310">
            <v>98342.045454545456</v>
          </cell>
          <cell r="D1310">
            <v>206754.54545454544</v>
          </cell>
        </row>
        <row r="1311">
          <cell r="A1311" t="str">
            <v>19LK0121</v>
          </cell>
          <cell r="B1311" t="str">
            <v>TOKO ASIAN</v>
          </cell>
          <cell r="C1311">
            <v>18542.045454545456</v>
          </cell>
          <cell r="D1311">
            <v>8325.0000000000018</v>
          </cell>
        </row>
        <row r="1312">
          <cell r="A1312" t="str">
            <v>19LK0131</v>
          </cell>
          <cell r="B1312" t="str">
            <v>TOKO FANA</v>
          </cell>
          <cell r="C1312">
            <v>512758.63636363635</v>
          </cell>
          <cell r="D1312">
            <v>695665.90909090894</v>
          </cell>
        </row>
        <row r="1313">
          <cell r="A1313" t="str">
            <v>19LK0186</v>
          </cell>
          <cell r="B1313" t="str">
            <v>SUMBER REZEKI</v>
          </cell>
          <cell r="C1313">
            <v>2097639.9545454546</v>
          </cell>
          <cell r="D1313">
            <v>2360226.8181818188</v>
          </cell>
        </row>
        <row r="1314">
          <cell r="A1314" t="str">
            <v>19LK0187</v>
          </cell>
          <cell r="B1314" t="str">
            <v>CV CAHAYA INDAH MENTARI/SEPERADIK</v>
          </cell>
          <cell r="C1314">
            <v>1090241.5909090911</v>
          </cell>
          <cell r="D1314">
            <v>24975.000000000007</v>
          </cell>
        </row>
        <row r="1315">
          <cell r="A1315" t="str">
            <v>19LK0188</v>
          </cell>
          <cell r="B1315" t="str">
            <v>KIKI SPC</v>
          </cell>
          <cell r="C1315">
            <v>266400.00000000006</v>
          </cell>
          <cell r="D1315">
            <v>692942.72727272718</v>
          </cell>
        </row>
        <row r="1316">
          <cell r="A1316" t="str">
            <v>19LK0210</v>
          </cell>
          <cell r="B1316" t="str">
            <v>TK. FAIRUZ</v>
          </cell>
          <cell r="C1316">
            <v>4965943.8636363642</v>
          </cell>
          <cell r="D1316">
            <v>4177988.8636363642</v>
          </cell>
        </row>
        <row r="1317">
          <cell r="A1317" t="str">
            <v>19LK0227</v>
          </cell>
          <cell r="B1317" t="str">
            <v>MELIA JAYA 3</v>
          </cell>
          <cell r="C1317">
            <v>2129095.9090909101</v>
          </cell>
          <cell r="D1317">
            <v>780449.09090909071</v>
          </cell>
        </row>
        <row r="1318">
          <cell r="A1318" t="str">
            <v>19LK0256</v>
          </cell>
          <cell r="B1318" t="str">
            <v>TK. CANTIK COSMETIC</v>
          </cell>
          <cell r="C1318">
            <v>18542.045454545456</v>
          </cell>
          <cell r="D1318">
            <v>185420.45454545453</v>
          </cell>
        </row>
        <row r="1319">
          <cell r="A1319" t="str">
            <v>19LK108</v>
          </cell>
          <cell r="B1319" t="str">
            <v>CV. CAHAYA INDAH MENTARI/SEPERADIK 3</v>
          </cell>
          <cell r="C1319">
            <v>623300</v>
          </cell>
          <cell r="D1319">
            <v>108454.5</v>
          </cell>
        </row>
        <row r="1320">
          <cell r="A1320" t="str">
            <v>20LK0319</v>
          </cell>
          <cell r="B1320" t="str">
            <v>AGUS JOHAN</v>
          </cell>
          <cell r="C1320">
            <v>26488.636363636364</v>
          </cell>
          <cell r="D1320">
            <v>793800</v>
          </cell>
        </row>
        <row r="1321">
          <cell r="A1321" t="str">
            <v>20LK0326</v>
          </cell>
          <cell r="B1321" t="str">
            <v>AJ MART MENTOK</v>
          </cell>
          <cell r="C1321">
            <v>3115474.3181818188</v>
          </cell>
          <cell r="D1321">
            <v>1985614.7727272732</v>
          </cell>
        </row>
        <row r="1322">
          <cell r="A1322" t="str">
            <v>20LK0351</v>
          </cell>
          <cell r="B1322" t="str">
            <v>LISHA COLECTION</v>
          </cell>
          <cell r="C1322">
            <v>1307946.8181818181</v>
          </cell>
          <cell r="D1322">
            <v>4568718.6363636376</v>
          </cell>
        </row>
        <row r="1323">
          <cell r="A1323" t="str">
            <v>20LK0385</v>
          </cell>
          <cell r="B1323" t="str">
            <v>AZ MART</v>
          </cell>
          <cell r="C1323">
            <v>40500</v>
          </cell>
          <cell r="D1323">
            <v>362894.31818181818</v>
          </cell>
        </row>
        <row r="1324">
          <cell r="A1324" t="str">
            <v>20LK0388</v>
          </cell>
          <cell r="B1324" t="str">
            <v>TOKO BB</v>
          </cell>
          <cell r="C1324">
            <v>369754.54545454547</v>
          </cell>
          <cell r="D1324">
            <v>458342.04545454547</v>
          </cell>
        </row>
        <row r="1325">
          <cell r="A1325" t="str">
            <v>20LK0408</v>
          </cell>
          <cell r="B1325" t="str">
            <v xml:space="preserve">TOKO D&amp;D </v>
          </cell>
          <cell r="C1325">
            <v>644672.72727272729</v>
          </cell>
          <cell r="D1325">
            <v>423818.18181818182</v>
          </cell>
        </row>
        <row r="1326">
          <cell r="A1326" t="str">
            <v>20LK0424</v>
          </cell>
          <cell r="B1326" t="str">
            <v>TUTI COSMETIK</v>
          </cell>
          <cell r="C1326">
            <v>4564327.7413636371</v>
          </cell>
          <cell r="D1326">
            <v>6665706.8181818202</v>
          </cell>
        </row>
        <row r="1327">
          <cell r="A1327" t="str">
            <v>20LK0425</v>
          </cell>
          <cell r="B1327" t="str">
            <v>TK. STEVEN 2</v>
          </cell>
          <cell r="C1327">
            <v>654345</v>
          </cell>
          <cell r="D1327">
            <v>202574.54545454547</v>
          </cell>
        </row>
        <row r="1328">
          <cell r="A1328" t="str">
            <v>20LK0440</v>
          </cell>
          <cell r="B1328" t="str">
            <v>TOKO YULI MUKTI</v>
          </cell>
          <cell r="C1328">
            <v>224000</v>
          </cell>
          <cell r="D1328">
            <v>2542909.0909090908</v>
          </cell>
        </row>
        <row r="1329">
          <cell r="A1329" t="str">
            <v>20LK0445</v>
          </cell>
          <cell r="B1329" t="str">
            <v>LOLIE MART</v>
          </cell>
          <cell r="C1329">
            <v>1463795.4545454544</v>
          </cell>
          <cell r="D1329">
            <v>1907227.5000000005</v>
          </cell>
        </row>
        <row r="1330">
          <cell r="A1330" t="str">
            <v>20LK0453</v>
          </cell>
          <cell r="B1330" t="str">
            <v>VJ COSMETIK</v>
          </cell>
          <cell r="C1330">
            <v>1250892.2727272725</v>
          </cell>
          <cell r="D1330">
            <v>1668692.0454545454</v>
          </cell>
        </row>
        <row r="1331">
          <cell r="A1331" t="str">
            <v>20LK0467</v>
          </cell>
          <cell r="B1331" t="str">
            <v>TK. NUR MULYATI</v>
          </cell>
          <cell r="C1331">
            <v>1577009.8181818184</v>
          </cell>
          <cell r="D1331">
            <v>967782.81818181812</v>
          </cell>
        </row>
        <row r="1332">
          <cell r="A1332" t="str">
            <v>20LK0492</v>
          </cell>
          <cell r="B1332" t="str">
            <v>KIMI MART</v>
          </cell>
          <cell r="C1332">
            <v>775445.49999999988</v>
          </cell>
          <cell r="D1332">
            <v>933871.81818181812</v>
          </cell>
        </row>
        <row r="1333">
          <cell r="A1333" t="str">
            <v>21LK0488</v>
          </cell>
          <cell r="B1333" t="str">
            <v>TK. HIDUP BARU / KO.KIAN</v>
          </cell>
          <cell r="C1333">
            <v>668573.18181818165</v>
          </cell>
          <cell r="D1333">
            <v>1072172.7272727273</v>
          </cell>
        </row>
        <row r="1334">
          <cell r="A1334" t="str">
            <v>21LK0609</v>
          </cell>
          <cell r="B1334" t="str">
            <v>UMI RADIL</v>
          </cell>
          <cell r="C1334">
            <v>2593935.6818181816</v>
          </cell>
          <cell r="D1334">
            <v>188400</v>
          </cell>
        </row>
        <row r="1335">
          <cell r="A1335" t="str">
            <v>21LK0646</v>
          </cell>
          <cell r="B1335" t="str">
            <v>YL BEAUTY</v>
          </cell>
          <cell r="C1335">
            <v>4701277.0454545449</v>
          </cell>
          <cell r="D1335">
            <v>3464472.6818181816</v>
          </cell>
        </row>
        <row r="1336">
          <cell r="A1336" t="str">
            <v>21LK0694</v>
          </cell>
          <cell r="B1336" t="str">
            <v>AJ MART 2</v>
          </cell>
          <cell r="C1336">
            <v>483682.49999999988</v>
          </cell>
          <cell r="D1336">
            <v>45560.454545454544</v>
          </cell>
        </row>
        <row r="1337">
          <cell r="A1337" t="str">
            <v>21LK0970</v>
          </cell>
          <cell r="B1337" t="str">
            <v>GADILA COSMETIK</v>
          </cell>
          <cell r="C1337">
            <v>97200</v>
          </cell>
          <cell r="D1337">
            <v>433840.90909090912</v>
          </cell>
        </row>
        <row r="1338">
          <cell r="A1338" t="str">
            <v>21LK0976</v>
          </cell>
          <cell r="B1338" t="str">
            <v>TOKO KENZIO</v>
          </cell>
          <cell r="C1338">
            <v>219000</v>
          </cell>
          <cell r="D1338">
            <v>1167733.6363636362</v>
          </cell>
        </row>
        <row r="1339">
          <cell r="A1339" t="str">
            <v>21LK1018</v>
          </cell>
          <cell r="B1339" t="str">
            <v>TOKO METAL</v>
          </cell>
          <cell r="C1339">
            <v>18542.045454545456</v>
          </cell>
          <cell r="D1339">
            <v>0</v>
          </cell>
        </row>
        <row r="1340">
          <cell r="A1340" t="str">
            <v>21LK1031</v>
          </cell>
          <cell r="B1340" t="str">
            <v>AYING COSMETIC</v>
          </cell>
          <cell r="C1340">
            <v>2342532.9545454555</v>
          </cell>
          <cell r="D1340">
            <v>732800.00000000012</v>
          </cell>
        </row>
        <row r="1341">
          <cell r="A1341" t="str">
            <v>21LK1042</v>
          </cell>
          <cell r="B1341" t="str">
            <v>YULI CELL</v>
          </cell>
          <cell r="C1341">
            <v>1155369.0909090908</v>
          </cell>
          <cell r="D1341">
            <v>1749654.5454545452</v>
          </cell>
        </row>
        <row r="1342">
          <cell r="A1342" t="str">
            <v>21LK1082</v>
          </cell>
          <cell r="B1342" t="str">
            <v>TOKO NALAMBOK</v>
          </cell>
          <cell r="C1342">
            <v>1272211.3636363635</v>
          </cell>
          <cell r="D1342">
            <v>2968684.0909090908</v>
          </cell>
        </row>
        <row r="1343">
          <cell r="A1343" t="str">
            <v>21LK1088</v>
          </cell>
          <cell r="B1343" t="str">
            <v>CV CAHAYA INDAH MENTARI/SEPERADIK 2</v>
          </cell>
          <cell r="C1343">
            <v>243375</v>
          </cell>
          <cell r="D1343">
            <v>5351918.1818181854</v>
          </cell>
        </row>
        <row r="1344">
          <cell r="A1344" t="str">
            <v>21LK1108</v>
          </cell>
          <cell r="B1344" t="str">
            <v>RESY SPC</v>
          </cell>
          <cell r="C1344">
            <v>52977.272727272728</v>
          </cell>
          <cell r="D1344">
            <v>54945</v>
          </cell>
        </row>
        <row r="1345">
          <cell r="A1345" t="str">
            <v>22SPC0007</v>
          </cell>
          <cell r="B1345" t="str">
            <v>RIA BEAUTY</v>
          </cell>
          <cell r="C1345">
            <v>1405310.4545454548</v>
          </cell>
          <cell r="D1345">
            <v>177000</v>
          </cell>
        </row>
        <row r="1346">
          <cell r="A1346" t="str">
            <v>22SPC0016</v>
          </cell>
          <cell r="B1346" t="str">
            <v>MEGA MART 4</v>
          </cell>
          <cell r="C1346">
            <v>339455.45454545453</v>
          </cell>
          <cell r="D1346">
            <v>26867.045454545456</v>
          </cell>
        </row>
        <row r="1347">
          <cell r="A1347" t="str">
            <v>BAU0090</v>
          </cell>
          <cell r="B1347" t="str">
            <v>MEGA MART 5</v>
          </cell>
          <cell r="D1347">
            <v>18542.045454545456</v>
          </cell>
        </row>
        <row r="1348">
          <cell r="A1348" t="str">
            <v>BAU0185</v>
          </cell>
          <cell r="B1348" t="str">
            <v>MEGA MART 6</v>
          </cell>
          <cell r="D1348">
            <v>45454.5</v>
          </cell>
        </row>
        <row r="1349">
          <cell r="A1349" t="str">
            <v>BAU0499</v>
          </cell>
          <cell r="B1349" t="str">
            <v>MEGA MART 7</v>
          </cell>
          <cell r="D1349">
            <v>68340.681818181823</v>
          </cell>
        </row>
        <row r="1350">
          <cell r="A1350" t="str">
            <v>BAU0500</v>
          </cell>
          <cell r="B1350" t="str">
            <v>MEGA MART 8</v>
          </cell>
          <cell r="D1350">
            <v>68340.681818181823</v>
          </cell>
        </row>
        <row r="1351">
          <cell r="A1351" t="str">
            <v>BAU0453</v>
          </cell>
          <cell r="B1351" t="str">
            <v>MEGA MART 9</v>
          </cell>
          <cell r="D1351">
            <v>79465.909090909088</v>
          </cell>
        </row>
        <row r="1352">
          <cell r="A1352" t="str">
            <v>BAU0093</v>
          </cell>
          <cell r="B1352" t="str">
            <v>MEGA MART 10</v>
          </cell>
          <cell r="D1352">
            <v>52977.272727272728</v>
          </cell>
        </row>
        <row r="1353">
          <cell r="A1353" t="str">
            <v>BAU0451</v>
          </cell>
          <cell r="B1353" t="str">
            <v>MEGA MART 11</v>
          </cell>
          <cell r="D1353">
            <v>52977.272727272728</v>
          </cell>
        </row>
        <row r="1354">
          <cell r="A1354" t="str">
            <v>BAU0382</v>
          </cell>
          <cell r="B1354" t="str">
            <v>MEGA MART 12</v>
          </cell>
          <cell r="D1354">
            <v>52977.272727272728</v>
          </cell>
        </row>
        <row r="1355">
          <cell r="A1355" t="str">
            <v>BAU0481</v>
          </cell>
          <cell r="B1355" t="str">
            <v>MEGA MART 13</v>
          </cell>
          <cell r="D1355">
            <v>52977.272727272728</v>
          </cell>
        </row>
        <row r="1356">
          <cell r="A1356" t="str">
            <v>BAU0472</v>
          </cell>
          <cell r="B1356" t="str">
            <v>MEGA MART 14</v>
          </cell>
          <cell r="D1356">
            <v>52977.272727272728</v>
          </cell>
        </row>
        <row r="1357">
          <cell r="A1357" t="str">
            <v>BAU0396</v>
          </cell>
          <cell r="B1357" t="str">
            <v>MEGA MART 15</v>
          </cell>
          <cell r="D1357">
            <v>105954.54545454544</v>
          </cell>
        </row>
        <row r="1358">
          <cell r="A1358" t="str">
            <v>BAU0190</v>
          </cell>
          <cell r="B1358" t="str">
            <v>MEGA MART 16</v>
          </cell>
          <cell r="D1358">
            <v>63000</v>
          </cell>
        </row>
        <row r="1359">
          <cell r="A1359" t="str">
            <v>22SPC0038</v>
          </cell>
          <cell r="B1359" t="str">
            <v>DE'VIRAL BEAUTY STORE</v>
          </cell>
          <cell r="C1359">
            <v>5029180.1818181826</v>
          </cell>
          <cell r="D1359">
            <v>367797.68181818182</v>
          </cell>
        </row>
        <row r="1360">
          <cell r="A1360" t="str">
            <v>22SPC0066</v>
          </cell>
          <cell r="B1360" t="str">
            <v xml:space="preserve">AJ MART NAMENG </v>
          </cell>
          <cell r="C1360">
            <v>79465.909090909088</v>
          </cell>
          <cell r="D1360">
            <v>168954.54545454544</v>
          </cell>
        </row>
        <row r="1361">
          <cell r="A1361" t="str">
            <v>22SPC0067</v>
          </cell>
          <cell r="B1361" t="str">
            <v>18 MART</v>
          </cell>
          <cell r="C1361">
            <v>759818.18181818165</v>
          </cell>
          <cell r="D1361">
            <v>66600.000000000015</v>
          </cell>
        </row>
        <row r="1362">
          <cell r="A1362" t="str">
            <v>22SPC0075</v>
          </cell>
          <cell r="B1362" t="str">
            <v>TOKO SAMMY 2</v>
          </cell>
          <cell r="C1362">
            <v>18542.045454545456</v>
          </cell>
          <cell r="D1362">
            <v>831521.59090909082</v>
          </cell>
        </row>
        <row r="1363">
          <cell r="A1363" t="str">
            <v>BAU0458</v>
          </cell>
          <cell r="B1363" t="str">
            <v>TOKO SAMMY 3</v>
          </cell>
          <cell r="D1363">
            <v>18542.045454545456</v>
          </cell>
        </row>
        <row r="1364">
          <cell r="A1364" t="str">
            <v>22SPC0100</v>
          </cell>
          <cell r="B1364" t="str">
            <v>MELATI</v>
          </cell>
          <cell r="C1364">
            <v>944659.09090909082</v>
          </cell>
          <cell r="D1364">
            <v>79465.909090909088</v>
          </cell>
        </row>
        <row r="1365">
          <cell r="A1365" t="str">
            <v>22SPC0105</v>
          </cell>
          <cell r="B1365" t="str">
            <v>NALA SALON</v>
          </cell>
          <cell r="C1365">
            <v>52977.272727272728</v>
          </cell>
          <cell r="D1365">
            <v>738518.18181818165</v>
          </cell>
        </row>
        <row r="1366">
          <cell r="A1366" t="str">
            <v>22SPC0118</v>
          </cell>
          <cell r="B1366" t="str">
            <v>LOLIE MART 2</v>
          </cell>
          <cell r="C1366">
            <v>626591.59090909071</v>
          </cell>
          <cell r="D1366">
            <v>2021822.2727272732</v>
          </cell>
        </row>
        <row r="1367">
          <cell r="A1367" t="str">
            <v>22SPC0140</v>
          </cell>
          <cell r="B1367" t="str">
            <v>SANDI SPC</v>
          </cell>
          <cell r="C1367">
            <v>266400.00000000006</v>
          </cell>
          <cell r="D1367">
            <v>8169035.4545454569</v>
          </cell>
        </row>
        <row r="1368">
          <cell r="A1368" t="str">
            <v>22SPC0150</v>
          </cell>
          <cell r="B1368" t="str">
            <v>INTAN COSMETIC</v>
          </cell>
          <cell r="C1368">
            <v>6705107.2727272734</v>
          </cell>
          <cell r="D1368">
            <v>19080790.227272727</v>
          </cell>
        </row>
        <row r="1369">
          <cell r="A1369" t="str">
            <v>22SPC0151</v>
          </cell>
          <cell r="B1369" t="str">
            <v>KANTIN MANDIRI RS TIMAH</v>
          </cell>
          <cell r="C1369">
            <v>3860520.0000000023</v>
          </cell>
          <cell r="D1369">
            <v>150436.36363636365</v>
          </cell>
        </row>
        <row r="1370">
          <cell r="A1370" t="str">
            <v>22SPC0154</v>
          </cell>
          <cell r="B1370" t="str">
            <v>ANGEL MART</v>
          </cell>
          <cell r="C1370">
            <v>112000</v>
          </cell>
          <cell r="D1370">
            <v>348590.45454545447</v>
          </cell>
        </row>
        <row r="1371">
          <cell r="A1371" t="str">
            <v>22SPC0156</v>
          </cell>
          <cell r="B1371" t="str">
            <v>ALFIRA D'BEAUTY</v>
          </cell>
          <cell r="C1371">
            <v>12049433.18181818</v>
          </cell>
          <cell r="D1371">
            <v>18542.045454545456</v>
          </cell>
        </row>
        <row r="1372">
          <cell r="A1372" t="str">
            <v>23SPC0170</v>
          </cell>
          <cell r="B1372" t="str">
            <v>DIANA</v>
          </cell>
          <cell r="C1372">
            <v>4239959.0909090908</v>
          </cell>
          <cell r="D1372">
            <v>1079590.9090909092</v>
          </cell>
        </row>
        <row r="1373">
          <cell r="A1373" t="str">
            <v>23SPC0172</v>
          </cell>
          <cell r="B1373" t="str">
            <v>TO. RONAULI</v>
          </cell>
          <cell r="C1373">
            <v>2518718.1818181821</v>
          </cell>
          <cell r="D1373">
            <v>252000</v>
          </cell>
        </row>
        <row r="1374">
          <cell r="A1374" t="str">
            <v>23SPC0189</v>
          </cell>
          <cell r="B1374" t="str">
            <v xml:space="preserve">ANDINI BEAUTY </v>
          </cell>
          <cell r="C1374">
            <v>1256744.0909090908</v>
          </cell>
          <cell r="D1374">
            <v>993853.63636363612</v>
          </cell>
        </row>
        <row r="1375">
          <cell r="A1375" t="str">
            <v>23SPC0190</v>
          </cell>
          <cell r="B1375" t="str">
            <v>TK RJS</v>
          </cell>
          <cell r="C1375">
            <v>308000</v>
          </cell>
          <cell r="D1375">
            <v>26488.636363636364</v>
          </cell>
        </row>
        <row r="1376">
          <cell r="A1376" t="str">
            <v>23SPC0194</v>
          </cell>
          <cell r="B1376" t="str">
            <v>SYIFA COSMETIK</v>
          </cell>
          <cell r="C1376">
            <v>689461.36363636353</v>
          </cell>
          <cell r="D1376">
            <v>92710.227272727279</v>
          </cell>
        </row>
        <row r="1377">
          <cell r="A1377" t="str">
            <v>23SPC0200</v>
          </cell>
          <cell r="B1377" t="str">
            <v>PT.BERSAMA GLAMINDO PANGKAL PINANG</v>
          </cell>
          <cell r="C1377">
            <v>44323077.280000009</v>
          </cell>
          <cell r="D1377">
            <v>395826.13636363635</v>
          </cell>
        </row>
        <row r="1378">
          <cell r="A1378" t="str">
            <v>23SPC0215</v>
          </cell>
          <cell r="B1378" t="str">
            <v>CV. CAHAYA INDAH MENTARI/SEPERADIK 4</v>
          </cell>
          <cell r="C1378">
            <v>578437.72727272718</v>
          </cell>
          <cell r="D1378">
            <v>929695.90909090894</v>
          </cell>
        </row>
        <row r="1379">
          <cell r="A1379" t="str">
            <v>23SPC0216</v>
          </cell>
          <cell r="B1379" t="str">
            <v>OKY SPC</v>
          </cell>
          <cell r="C1379">
            <v>28000</v>
          </cell>
          <cell r="D1379">
            <v>1038800.9090909093</v>
          </cell>
        </row>
        <row r="1380">
          <cell r="A1380" t="str">
            <v>23SPC0233</v>
          </cell>
          <cell r="B1380" t="str">
            <v>AJ MART S. SELAN</v>
          </cell>
          <cell r="C1380">
            <v>770589</v>
          </cell>
          <cell r="D1380">
            <v>169026.13636363638</v>
          </cell>
        </row>
        <row r="1381">
          <cell r="A1381" t="str">
            <v>23SPC0237</v>
          </cell>
          <cell r="B1381" t="str">
            <v>TOKO APPLE</v>
          </cell>
          <cell r="C1381">
            <v>66600.000000000015</v>
          </cell>
          <cell r="D1381">
            <v>230451.13636363635</v>
          </cell>
        </row>
        <row r="1382">
          <cell r="A1382" t="str">
            <v>23SPC0238</v>
          </cell>
          <cell r="B1382" t="str">
            <v>I YOU BEAUTY STORE</v>
          </cell>
          <cell r="C1382">
            <v>1318594.0909090911</v>
          </cell>
          <cell r="D1382">
            <v>56700</v>
          </cell>
        </row>
        <row r="1383">
          <cell r="A1383" t="str">
            <v>23SPC0241</v>
          </cell>
          <cell r="B1383" t="str">
            <v>FLO STORE</v>
          </cell>
          <cell r="C1383">
            <v>10406065.909090914</v>
          </cell>
          <cell r="D1383">
            <v>567704.45454545459</v>
          </cell>
        </row>
        <row r="1384">
          <cell r="A1384" t="str">
            <v>23SPC0242</v>
          </cell>
          <cell r="B1384" t="str">
            <v>LOLIE MART 3</v>
          </cell>
          <cell r="C1384">
            <v>271015.90909090912</v>
          </cell>
          <cell r="D1384">
            <v>715193.18181818165</v>
          </cell>
        </row>
        <row r="1385">
          <cell r="A1385" t="str">
            <v>23SPC0244</v>
          </cell>
          <cell r="B1385" t="str">
            <v>APOTIK RISTI BENCAH</v>
          </cell>
          <cell r="C1385">
            <v>8484239.3181818165</v>
          </cell>
          <cell r="D1385">
            <v>317863.63636363635</v>
          </cell>
        </row>
        <row r="1386">
          <cell r="A1386" t="str">
            <v>23SPC0246</v>
          </cell>
          <cell r="B1386" t="str">
            <v>SASHA BEAUTY</v>
          </cell>
          <cell r="C1386">
            <v>8736466.363636367</v>
          </cell>
          <cell r="D1386">
            <v>317863.63636363635</v>
          </cell>
        </row>
        <row r="1387">
          <cell r="A1387" t="str">
            <v>23SPC0250</v>
          </cell>
          <cell r="B1387" t="str">
            <v>APOTIK SELA</v>
          </cell>
          <cell r="C1387">
            <v>703577.27272727271</v>
          </cell>
          <cell r="D1387">
            <v>958124.99999999977</v>
          </cell>
        </row>
        <row r="1388">
          <cell r="A1388" t="str">
            <v>23SPC0265</v>
          </cell>
          <cell r="B1388" t="str">
            <v>MARIA SPC</v>
          </cell>
          <cell r="C1388">
            <v>116168.18181818182</v>
          </cell>
          <cell r="D1388">
            <v>123966.81818181816</v>
          </cell>
        </row>
        <row r="1389">
          <cell r="A1389" t="str">
            <v>23SPC0296</v>
          </cell>
          <cell r="B1389" t="str">
            <v>TOKO DANA</v>
          </cell>
          <cell r="C1389">
            <v>503284.09090909082</v>
          </cell>
          <cell r="D1389">
            <v>376863.63636363635</v>
          </cell>
        </row>
        <row r="1390">
          <cell r="A1390" t="str">
            <v>7BTG</v>
          </cell>
          <cell r="B1390" t="str">
            <v>7 BINTANG MART</v>
          </cell>
          <cell r="C1390">
            <v>423818.18181818182</v>
          </cell>
          <cell r="D1390">
            <v>517663.63636363635</v>
          </cell>
        </row>
        <row r="1391">
          <cell r="A1391" t="str">
            <v>A001</v>
          </cell>
          <cell r="B1391" t="str">
            <v>A2 COSMETIK</v>
          </cell>
          <cell r="C1391">
            <v>1058186.1363636362</v>
          </cell>
          <cell r="D1391">
            <v>596700</v>
          </cell>
        </row>
        <row r="1392">
          <cell r="A1392" t="str">
            <v>A002</v>
          </cell>
          <cell r="B1392" t="str">
            <v>AA MART T.ALAM</v>
          </cell>
          <cell r="C1392">
            <v>181892.04545454547</v>
          </cell>
          <cell r="D1392">
            <v>680400</v>
          </cell>
        </row>
        <row r="1393">
          <cell r="A1393" t="str">
            <v>A016</v>
          </cell>
          <cell r="B1393" t="str">
            <v>ADR JAYA</v>
          </cell>
          <cell r="C1393">
            <v>10180389.090909094</v>
          </cell>
          <cell r="D1393">
            <v>2061368.1818181816</v>
          </cell>
        </row>
        <row r="1394">
          <cell r="A1394" t="str">
            <v>A023</v>
          </cell>
          <cell r="B1394" t="str">
            <v>AL FATIH MART PYK</v>
          </cell>
          <cell r="C1394">
            <v>552690.68181818177</v>
          </cell>
          <cell r="D1394">
            <v>266400.00000000006</v>
          </cell>
        </row>
        <row r="1395">
          <cell r="A1395" t="str">
            <v>A027</v>
          </cell>
          <cell r="B1395" t="str">
            <v>AL-FAUZAN</v>
          </cell>
          <cell r="C1395">
            <v>463929.54545454541</v>
          </cell>
          <cell r="D1395">
            <v>1147487.7272727271</v>
          </cell>
        </row>
        <row r="1396">
          <cell r="A1396" t="str">
            <v>A029</v>
          </cell>
          <cell r="B1396" t="str">
            <v>AMANAH GP</v>
          </cell>
          <cell r="C1396">
            <v>181384.09090909094</v>
          </cell>
          <cell r="D1396">
            <v>1516259.0909090906</v>
          </cell>
        </row>
        <row r="1397">
          <cell r="A1397" t="str">
            <v>A043</v>
          </cell>
          <cell r="B1397" t="str">
            <v>APOTIK LOVI</v>
          </cell>
          <cell r="C1397">
            <v>3756141.5454545449</v>
          </cell>
          <cell r="D1397">
            <v>168000</v>
          </cell>
        </row>
        <row r="1398">
          <cell r="A1398" t="str">
            <v>A052</v>
          </cell>
          <cell r="B1398" t="str">
            <v>ARHIZ UG</v>
          </cell>
          <cell r="C1398">
            <v>14012627.045454545</v>
          </cell>
          <cell r="D1398">
            <v>11674070.454545457</v>
          </cell>
        </row>
        <row r="1399">
          <cell r="A1399" t="str">
            <v>A055</v>
          </cell>
          <cell r="B1399" t="str">
            <v>ARM</v>
          </cell>
          <cell r="C1399">
            <v>37103653.63636364</v>
          </cell>
          <cell r="D1399">
            <v>2225045.4545454541</v>
          </cell>
        </row>
        <row r="1400">
          <cell r="A1400" t="str">
            <v>A064</v>
          </cell>
          <cell r="B1400" t="str">
            <v>AYANG DENAI</v>
          </cell>
          <cell r="C1400">
            <v>948845.45454545435</v>
          </cell>
          <cell r="D1400">
            <v>1317174.5454545456</v>
          </cell>
        </row>
        <row r="1401">
          <cell r="A1401" t="str">
            <v>A067</v>
          </cell>
          <cell r="B1401" t="str">
            <v>AZM TIKU</v>
          </cell>
          <cell r="C1401">
            <v>4665027.2727272725</v>
          </cell>
          <cell r="D1401">
            <v>3803544.5454545459</v>
          </cell>
        </row>
        <row r="1402">
          <cell r="A1402" t="str">
            <v>A070</v>
          </cell>
          <cell r="B1402" t="str">
            <v>AYAH KOSMETIK</v>
          </cell>
          <cell r="C1402">
            <v>105289034.72727272</v>
          </cell>
          <cell r="D1402">
            <v>1392369.2727272729</v>
          </cell>
        </row>
        <row r="1403">
          <cell r="A1403" t="str">
            <v>A079</v>
          </cell>
          <cell r="B1403" t="str">
            <v>AO MAKEUP STORE</v>
          </cell>
          <cell r="C1403">
            <v>743606.36363636365</v>
          </cell>
          <cell r="D1403">
            <v>1479190.9090909092</v>
          </cell>
        </row>
        <row r="1404">
          <cell r="A1404" t="str">
            <v>A080</v>
          </cell>
          <cell r="B1404" t="str">
            <v>ARUMY COS</v>
          </cell>
          <cell r="C1404">
            <v>1698819.5454545456</v>
          </cell>
          <cell r="D1404">
            <v>4719158.1818181816</v>
          </cell>
        </row>
        <row r="1405">
          <cell r="A1405" t="str">
            <v>A085</v>
          </cell>
          <cell r="B1405" t="str">
            <v>AKOK / LINA</v>
          </cell>
          <cell r="D1405">
            <v>283958.18181818182</v>
          </cell>
        </row>
        <row r="1406">
          <cell r="A1406" t="str">
            <v>C-2069</v>
          </cell>
          <cell r="B1406" t="str">
            <v>ANUGERAH</v>
          </cell>
          <cell r="C1406">
            <v>5721545.4545454532</v>
          </cell>
          <cell r="D1406">
            <v>2809309.0909090904</v>
          </cell>
        </row>
        <row r="1407">
          <cell r="A1407" t="str">
            <v>A087</v>
          </cell>
          <cell r="B1407" t="str">
            <v>TOKO ABIGY</v>
          </cell>
          <cell r="C1407">
            <v>16109560.909090908</v>
          </cell>
          <cell r="D1407">
            <v>1578943.6363636369</v>
          </cell>
        </row>
        <row r="1408">
          <cell r="A1408" t="str">
            <v>C-2157</v>
          </cell>
          <cell r="B1408" t="str">
            <v>ABIGY</v>
          </cell>
          <cell r="D1408">
            <v>11787074.318181822</v>
          </cell>
        </row>
        <row r="1409">
          <cell r="A1409" t="str">
            <v>A089</v>
          </cell>
          <cell r="B1409" t="str">
            <v>AYANG COSMETIK</v>
          </cell>
          <cell r="C1409">
            <v>3689978.1818181821</v>
          </cell>
          <cell r="D1409">
            <v>1201333.6363636365</v>
          </cell>
        </row>
        <row r="1410">
          <cell r="A1410" t="str">
            <v>A099</v>
          </cell>
          <cell r="B1410" t="str">
            <v>AISYAH SWL</v>
          </cell>
          <cell r="C1410">
            <v>643240.90909090894</v>
          </cell>
          <cell r="D1410">
            <v>453600</v>
          </cell>
        </row>
        <row r="1411">
          <cell r="A1411" t="str">
            <v>A101</v>
          </cell>
          <cell r="B1411" t="str">
            <v>ARSIS ML</v>
          </cell>
          <cell r="C1411">
            <v>635727.27272727271</v>
          </cell>
          <cell r="D1411">
            <v>573030.68181818188</v>
          </cell>
        </row>
        <row r="1412">
          <cell r="A1412" t="str">
            <v>A108</v>
          </cell>
          <cell r="B1412" t="str">
            <v>AMAT / MOHAMMAD SUHARMAN</v>
          </cell>
          <cell r="C1412">
            <v>781785.68181818188</v>
          </cell>
          <cell r="D1412">
            <v>9030240.6818181835</v>
          </cell>
        </row>
        <row r="1413">
          <cell r="A1413" t="str">
            <v>C-282</v>
          </cell>
          <cell r="B1413" t="str">
            <v>ARTITA STORE</v>
          </cell>
          <cell r="C1413">
            <v>22803224.909090906</v>
          </cell>
          <cell r="D1413">
            <v>953590.90909090906</v>
          </cell>
        </row>
        <row r="1414">
          <cell r="A1414" t="str">
            <v>A112</v>
          </cell>
          <cell r="B1414" t="str">
            <v>AYANG COSMETIK PSS</v>
          </cell>
          <cell r="C1414">
            <v>765193.18181818188</v>
          </cell>
          <cell r="D1414">
            <v>21822943.090909097</v>
          </cell>
        </row>
        <row r="1415">
          <cell r="A1415" t="str">
            <v>A120</v>
          </cell>
          <cell r="B1415" t="str">
            <v>AMY / AMINAH</v>
          </cell>
          <cell r="C1415">
            <v>1058488.8181818179</v>
          </cell>
          <cell r="D1415">
            <v>226800</v>
          </cell>
        </row>
        <row r="1416">
          <cell r="A1416" t="str">
            <v>A125</v>
          </cell>
          <cell r="B1416" t="str">
            <v>ANEKA ( TG. BATU ) / SUWANDI</v>
          </cell>
          <cell r="C1416">
            <v>811478.63636363635</v>
          </cell>
          <cell r="D1416">
            <v>18804312.272727273</v>
          </cell>
        </row>
        <row r="1417">
          <cell r="A1417" t="str">
            <v>A130</v>
          </cell>
          <cell r="B1417" t="str">
            <v>AY COLLECTION</v>
          </cell>
          <cell r="C1417">
            <v>2161472.7272727271</v>
          </cell>
          <cell r="D1417">
            <v>1891532.0454545454</v>
          </cell>
        </row>
        <row r="1418">
          <cell r="A1418" t="str">
            <v>A135</v>
          </cell>
          <cell r="B1418" t="str">
            <v>ANGITA</v>
          </cell>
          <cell r="C1418">
            <v>772861.36363636353</v>
          </cell>
          <cell r="D1418">
            <v>1430386.3636363638</v>
          </cell>
        </row>
        <row r="1419">
          <cell r="A1419" t="str">
            <v>A141</v>
          </cell>
          <cell r="B1419" t="str">
            <v>APOTEK AURA</v>
          </cell>
          <cell r="C1419">
            <v>316350</v>
          </cell>
          <cell r="D1419">
            <v>3593502.2727272739</v>
          </cell>
        </row>
        <row r="1420">
          <cell r="A1420" t="str">
            <v>A147</v>
          </cell>
          <cell r="B1420" t="str">
            <v>AURA BEAUTY COST</v>
          </cell>
          <cell r="C1420">
            <v>2776647.727272728</v>
          </cell>
          <cell r="D1420">
            <v>2472979.0909090904</v>
          </cell>
        </row>
        <row r="1421">
          <cell r="A1421" t="str">
            <v>A165</v>
          </cell>
          <cell r="B1421" t="str">
            <v>ASIANG / SUI SIM</v>
          </cell>
          <cell r="C1421">
            <v>796600.90909090906</v>
          </cell>
          <cell r="D1421">
            <v>1298927.0454545456</v>
          </cell>
        </row>
        <row r="1422">
          <cell r="A1422" t="str">
            <v>A172</v>
          </cell>
          <cell r="B1422" t="str">
            <v>ASUN FAMILY / LIM SUILENG</v>
          </cell>
          <cell r="C1422">
            <v>907122.27272727282</v>
          </cell>
          <cell r="D1422">
            <v>355200</v>
          </cell>
        </row>
        <row r="1423">
          <cell r="A1423" t="str">
            <v>A184</v>
          </cell>
          <cell r="B1423" t="str">
            <v>ATIN ALIAS THING SIOE</v>
          </cell>
          <cell r="C1423">
            <v>3281616.9545454546</v>
          </cell>
          <cell r="D1423">
            <v>733763.18181818188</v>
          </cell>
        </row>
        <row r="1424">
          <cell r="A1424" t="str">
            <v>A254</v>
          </cell>
          <cell r="B1424" t="str">
            <v>APOTIK ALVIN / DEDY RIYANTO</v>
          </cell>
          <cell r="C1424">
            <v>228861.81818181821</v>
          </cell>
          <cell r="D1424">
            <v>317863.63636363635</v>
          </cell>
        </row>
        <row r="1425">
          <cell r="A1425" t="str">
            <v>A317</v>
          </cell>
          <cell r="B1425" t="str">
            <v>AYONG / SARWADI WIJAYA</v>
          </cell>
          <cell r="C1425">
            <v>486300</v>
          </cell>
          <cell r="D1425">
            <v>1065600</v>
          </cell>
        </row>
        <row r="1426">
          <cell r="A1426" t="str">
            <v>A320</v>
          </cell>
          <cell r="B1426" t="str">
            <v>ALAI / YEO A LAI</v>
          </cell>
          <cell r="C1426">
            <v>18542.045454545456</v>
          </cell>
          <cell r="D1426">
            <v>2355333.5454545459</v>
          </cell>
        </row>
        <row r="1427">
          <cell r="A1427" t="str">
            <v>A334</v>
          </cell>
          <cell r="B1427" t="str">
            <v>ASENG SENTOSA / ADE OLIVIA</v>
          </cell>
          <cell r="C1427">
            <v>423818.18181818177</v>
          </cell>
          <cell r="D1427">
            <v>1271454.5454545454</v>
          </cell>
        </row>
        <row r="1428">
          <cell r="A1428" t="str">
            <v>A353</v>
          </cell>
          <cell r="B1428" t="str">
            <v>AHAI ( TAREMPA ) / TAN JU HAI</v>
          </cell>
          <cell r="C1428">
            <v>-347319</v>
          </cell>
          <cell r="D1428">
            <v>84297873.272727177</v>
          </cell>
        </row>
        <row r="1429">
          <cell r="A1429" t="str">
            <v>A453</v>
          </cell>
          <cell r="B1429" t="str">
            <v>ALIDA</v>
          </cell>
          <cell r="C1429">
            <v>97592.227272727207</v>
          </cell>
          <cell r="D1429">
            <v>150484.09090909094</v>
          </cell>
        </row>
        <row r="1430">
          <cell r="A1430" t="str">
            <v>A458</v>
          </cell>
          <cell r="B1430" t="str">
            <v>ANA ( DABO SINGKEP )</v>
          </cell>
          <cell r="C1430">
            <v>546725.45454545447</v>
          </cell>
          <cell r="D1430">
            <v>399600</v>
          </cell>
        </row>
        <row r="1431">
          <cell r="A1431" t="str">
            <v>A463</v>
          </cell>
          <cell r="B1431" t="str">
            <v>ANUGRAH / SRI SUPATMI</v>
          </cell>
          <cell r="D1431">
            <v>84000</v>
          </cell>
        </row>
        <row r="1432">
          <cell r="A1432" t="str">
            <v>AB</v>
          </cell>
          <cell r="B1432" t="str">
            <v>ANUGERAH BEAUTY KOSMETIKA,CV</v>
          </cell>
          <cell r="C1432">
            <v>29735018.18181818</v>
          </cell>
          <cell r="D1432">
            <v>3275509.0909090904</v>
          </cell>
        </row>
        <row r="1433">
          <cell r="A1433" t="str">
            <v>ABADI</v>
          </cell>
          <cell r="B1433" t="str">
            <v>ABADI KOSMETIK,PUTUSIBAU</v>
          </cell>
          <cell r="C1433">
            <v>4809141.8181818184</v>
          </cell>
          <cell r="D1433">
            <v>1222390.9090909092</v>
          </cell>
        </row>
        <row r="1434">
          <cell r="A1434" t="str">
            <v>ABI1</v>
          </cell>
          <cell r="B1434" t="str">
            <v>ABIGAIL TOKO ,SINTANG</v>
          </cell>
          <cell r="C1434">
            <v>87284587.090909034</v>
          </cell>
          <cell r="D1434">
            <v>168000</v>
          </cell>
        </row>
        <row r="1435">
          <cell r="A1435" t="str">
            <v>ABI2</v>
          </cell>
          <cell r="B1435" t="str">
            <v>ABIGAIL TOKO ,PINOH</v>
          </cell>
          <cell r="C1435">
            <v>29270427.272727288</v>
          </cell>
          <cell r="D1435">
            <v>2326232.0454545459</v>
          </cell>
        </row>
        <row r="1436">
          <cell r="A1436" t="str">
            <v>ABUN</v>
          </cell>
          <cell r="B1436" t="str">
            <v>ABUN ,TK</v>
          </cell>
          <cell r="C1436">
            <v>1004880.6818181818</v>
          </cell>
          <cell r="D1436">
            <v>98083.636363636382</v>
          </cell>
        </row>
        <row r="1437">
          <cell r="A1437" t="str">
            <v>ADIST</v>
          </cell>
          <cell r="B1437" t="str">
            <v>ADISTI KOSMETIK</v>
          </cell>
          <cell r="C1437">
            <v>133200.00000000003</v>
          </cell>
          <cell r="D1437">
            <v>736800</v>
          </cell>
        </row>
        <row r="1438">
          <cell r="A1438" t="str">
            <v>AFA</v>
          </cell>
          <cell r="B1438" t="str">
            <v>ALFA, APOTIK</v>
          </cell>
          <cell r="C1438">
            <v>648139.09090909094</v>
          </cell>
          <cell r="D1438">
            <v>2563116.8181818179</v>
          </cell>
        </row>
        <row r="1439">
          <cell r="A1439" t="str">
            <v>AGUS1</v>
          </cell>
          <cell r="B1439" t="str">
            <v>AGUS SKW ,TOKO</v>
          </cell>
          <cell r="C1439">
            <v>234514862.72727263</v>
          </cell>
          <cell r="D1439">
            <v>2191955.4545454541</v>
          </cell>
        </row>
        <row r="1440">
          <cell r="A1440" t="str">
            <v>AKP006</v>
          </cell>
          <cell r="B1440" t="str">
            <v>RELASI SD</v>
          </cell>
          <cell r="C1440">
            <v>7453383.9545454569</v>
          </cell>
          <cell r="D1440">
            <v>2162421.8181818184</v>
          </cell>
        </row>
        <row r="1441">
          <cell r="A1441" t="str">
            <v>AKP009</v>
          </cell>
          <cell r="B1441" t="str">
            <v>UD. SAKINAH</v>
          </cell>
          <cell r="C1441">
            <v>2626749.5454545449</v>
          </cell>
          <cell r="D1441">
            <v>4132227.272727272</v>
          </cell>
        </row>
        <row r="1442">
          <cell r="A1442" t="str">
            <v>AKP010</v>
          </cell>
          <cell r="B1442">
            <v>0</v>
          </cell>
          <cell r="C1442">
            <v>5888952.5454545468</v>
          </cell>
          <cell r="D1442">
            <v>3040026.1363636353</v>
          </cell>
        </row>
        <row r="1443">
          <cell r="A1443" t="str">
            <v>ALFA1.</v>
          </cell>
          <cell r="B1443" t="str">
            <v>ALFA APOTEK,BALAI BEKUAK</v>
          </cell>
          <cell r="C1443">
            <v>820693.63636363647</v>
          </cell>
          <cell r="D1443">
            <v>265500</v>
          </cell>
        </row>
        <row r="1444">
          <cell r="A1444" t="str">
            <v>ALFA2</v>
          </cell>
          <cell r="B1444" t="str">
            <v>ALFA APOTEK,AIR UPAS</v>
          </cell>
          <cell r="C1444">
            <v>648139.09090909094</v>
          </cell>
          <cell r="D1444">
            <v>2621110.9090909087</v>
          </cell>
        </row>
        <row r="1445">
          <cell r="A1445" t="str">
            <v>ALFA3</v>
          </cell>
          <cell r="B1445" t="str">
            <v>ALFA APOTEK,KENDAWANGAN</v>
          </cell>
          <cell r="C1445">
            <v>514939.09090909088</v>
          </cell>
          <cell r="D1445">
            <v>2195429.0909090908</v>
          </cell>
        </row>
        <row r="1446">
          <cell r="A1446" t="str">
            <v>ALIM2</v>
          </cell>
          <cell r="B1446" t="str">
            <v>ALIM TK,BODOK</v>
          </cell>
          <cell r="C1446">
            <v>1856865.0454545452</v>
          </cell>
          <cell r="D1446">
            <v>997789.09090909071</v>
          </cell>
        </row>
        <row r="1447">
          <cell r="A1447" t="str">
            <v>AM-3110005</v>
          </cell>
          <cell r="B1447" t="str">
            <v>BERKAH.MM</v>
          </cell>
          <cell r="C1447">
            <v>835858.63636363647</v>
          </cell>
          <cell r="D1447">
            <v>13805359.090909092</v>
          </cell>
        </row>
        <row r="1448">
          <cell r="A1448" t="str">
            <v>AM-3110306</v>
          </cell>
          <cell r="B1448" t="str">
            <v>FB MART</v>
          </cell>
          <cell r="C1448">
            <v>1471254.5454545454</v>
          </cell>
          <cell r="D1448">
            <v>-1492591.0909090906</v>
          </cell>
        </row>
        <row r="1449">
          <cell r="A1449" t="str">
            <v>AM-3113256</v>
          </cell>
          <cell r="B1449" t="str">
            <v>BERKAH MM 2</v>
          </cell>
          <cell r="C1449">
            <v>555850.22727272741</v>
          </cell>
          <cell r="D1449">
            <v>-23839.772727272724</v>
          </cell>
        </row>
        <row r="1450">
          <cell r="A1450" t="str">
            <v>AM-3120012</v>
          </cell>
          <cell r="B1450" t="str">
            <v>IDOLA COSMETIK</v>
          </cell>
          <cell r="C1450">
            <v>49313357.454545461</v>
          </cell>
          <cell r="D1450">
            <v>-2569397.7272727271</v>
          </cell>
        </row>
        <row r="1451">
          <cell r="A1451" t="str">
            <v>AM-3120013</v>
          </cell>
          <cell r="B1451" t="str">
            <v>IWAN KADO APT</v>
          </cell>
          <cell r="C1451">
            <v>4381861.3636363624</v>
          </cell>
          <cell r="D1451">
            <v>-222000</v>
          </cell>
        </row>
        <row r="1452">
          <cell r="A1452" t="str">
            <v>AM-3130096</v>
          </cell>
          <cell r="B1452" t="str">
            <v>MOOM</v>
          </cell>
          <cell r="C1452">
            <v>9246736.0909090955</v>
          </cell>
          <cell r="D1452">
            <v>1254274.7727272727</v>
          </cell>
        </row>
        <row r="1453">
          <cell r="A1453" t="str">
            <v>AM-3130152</v>
          </cell>
          <cell r="B1453" t="str">
            <v>ARENA.APT</v>
          </cell>
          <cell r="C1453">
            <v>2833977.2727272725</v>
          </cell>
          <cell r="D1453">
            <v>695515.90909090906</v>
          </cell>
        </row>
        <row r="1454">
          <cell r="A1454" t="str">
            <v>AM-3130193</v>
          </cell>
          <cell r="B1454" t="str">
            <v>KHANZA COSMETIK.APT</v>
          </cell>
          <cell r="C1454">
            <v>1578572.4545454544</v>
          </cell>
          <cell r="D1454">
            <v>1100331.8181818181</v>
          </cell>
        </row>
        <row r="1455">
          <cell r="A1455" t="str">
            <v>AM-3130238</v>
          </cell>
          <cell r="B1455" t="str">
            <v>NANDA.APT</v>
          </cell>
          <cell r="C1455">
            <v>759027.27272727271</v>
          </cell>
          <cell r="D1455">
            <v>72780.227272727265</v>
          </cell>
        </row>
        <row r="1456">
          <cell r="A1456" t="str">
            <v>AM-3130274</v>
          </cell>
          <cell r="B1456" t="str">
            <v>PUTRI.GRS</v>
          </cell>
          <cell r="C1456">
            <v>6693678.4090909101</v>
          </cell>
          <cell r="D1456">
            <v>37800</v>
          </cell>
        </row>
        <row r="1457">
          <cell r="A1457" t="str">
            <v>AM-3130385</v>
          </cell>
          <cell r="B1457" t="str">
            <v>WILDAN JAYA</v>
          </cell>
          <cell r="C1457">
            <v>1075693.1818181816</v>
          </cell>
          <cell r="D1457">
            <v>2576275.5109090912</v>
          </cell>
        </row>
        <row r="1458">
          <cell r="A1458" t="str">
            <v>AM-3130605</v>
          </cell>
          <cell r="B1458" t="str">
            <v>SARI APT 2</v>
          </cell>
          <cell r="C1458">
            <v>450306.81818181812</v>
          </cell>
          <cell r="D1458">
            <v>108880.90909090909</v>
          </cell>
        </row>
        <row r="1459">
          <cell r="A1459" t="str">
            <v>AM-3131303</v>
          </cell>
          <cell r="B1459" t="str">
            <v>NN RETAIL.MM</v>
          </cell>
          <cell r="C1459">
            <v>1923295.9090909092</v>
          </cell>
          <cell r="D1459">
            <v>493737.72727272724</v>
          </cell>
        </row>
        <row r="1460">
          <cell r="A1460" t="str">
            <v>AM-3132029</v>
          </cell>
          <cell r="B1460" t="str">
            <v>MESYA APT</v>
          </cell>
          <cell r="C1460">
            <v>267382.72727272729</v>
          </cell>
          <cell r="D1460">
            <v>1062879.0909090908</v>
          </cell>
        </row>
        <row r="1461">
          <cell r="A1461" t="str">
            <v>AM-3210001</v>
          </cell>
          <cell r="B1461" t="str">
            <v>FANNY.MM</v>
          </cell>
          <cell r="C1461">
            <v>317863.63636363635</v>
          </cell>
          <cell r="D1461">
            <v>1168527.2727272729</v>
          </cell>
        </row>
        <row r="1462">
          <cell r="A1462" t="str">
            <v>AM-3230084</v>
          </cell>
          <cell r="B1462" t="str">
            <v>IDOLA KOSMETIK TLK</v>
          </cell>
          <cell r="C1462">
            <v>89089818.545454547</v>
          </cell>
          <cell r="D1462">
            <v>4314101.5909090908</v>
          </cell>
        </row>
        <row r="1463">
          <cell r="A1463" t="str">
            <v>AM-3230177</v>
          </cell>
          <cell r="B1463" t="str">
            <v>SYIFA COSMETIC</v>
          </cell>
          <cell r="C1463">
            <v>4411558.6363636367</v>
          </cell>
          <cell r="D1463">
            <v>1239278.1818181816</v>
          </cell>
        </row>
        <row r="1464">
          <cell r="A1464" t="str">
            <v>AM-3320009</v>
          </cell>
          <cell r="B1464" t="str">
            <v>CV.VIVA CENTRAL TEMBILAHAN</v>
          </cell>
          <cell r="C1464">
            <v>54803164.090909101</v>
          </cell>
          <cell r="D1464">
            <v>2279799.5454545449</v>
          </cell>
        </row>
        <row r="1465">
          <cell r="A1465" t="str">
            <v>AM-3430071</v>
          </cell>
          <cell r="B1465" t="str">
            <v>PRATAMA.APT</v>
          </cell>
          <cell r="C1465">
            <v>7133725.2727272715</v>
          </cell>
          <cell r="D1465">
            <v>756000</v>
          </cell>
        </row>
        <row r="1466">
          <cell r="A1466" t="str">
            <v>AM-3431558</v>
          </cell>
          <cell r="B1466" t="str">
            <v>APT. KARYA SEHAT</v>
          </cell>
          <cell r="C1466">
            <v>-209789.99999999997</v>
          </cell>
          <cell r="D1466">
            <v>7848720</v>
          </cell>
        </row>
        <row r="1467">
          <cell r="A1467" t="str">
            <v>AM-3431568</v>
          </cell>
          <cell r="B1467" t="str">
            <v>AMI KOSMETIK</v>
          </cell>
          <cell r="C1467">
            <v>-299056.70454545459</v>
          </cell>
          <cell r="D1467">
            <v>3393572.7272727271</v>
          </cell>
        </row>
        <row r="1468">
          <cell r="A1468" t="str">
            <v>AM-3431578</v>
          </cell>
          <cell r="B1468" t="str">
            <v>TO. RIZITA</v>
          </cell>
          <cell r="C1468">
            <v>196000</v>
          </cell>
          <cell r="D1468">
            <v>1287498.8181818181</v>
          </cell>
        </row>
        <row r="1469">
          <cell r="A1469" t="str">
            <v>AM-3431579</v>
          </cell>
          <cell r="B1469" t="str">
            <v>TK. DAFIN</v>
          </cell>
          <cell r="C1469">
            <v>-360598.63636363629</v>
          </cell>
          <cell r="D1469">
            <v>321297.95454545459</v>
          </cell>
        </row>
        <row r="1470">
          <cell r="A1470" t="str">
            <v>AM-3431581</v>
          </cell>
          <cell r="B1470" t="str">
            <v>APT. SULTHAN</v>
          </cell>
          <cell r="C1470">
            <v>1.4551915228366852E-11</v>
          </cell>
          <cell r="D1470">
            <v>96450</v>
          </cell>
        </row>
        <row r="1471">
          <cell r="A1471" t="str">
            <v>AM-3431586</v>
          </cell>
          <cell r="B1471" t="str">
            <v>PT SCOO BEAUTY INSPIRA</v>
          </cell>
          <cell r="C1471">
            <v>-15670947.22727273</v>
          </cell>
          <cell r="D1471">
            <v>33300.000000000007</v>
          </cell>
        </row>
        <row r="1472">
          <cell r="A1472" t="str">
            <v>AM-3431607</v>
          </cell>
          <cell r="B1472" t="str">
            <v>ANGKASA MART 19</v>
          </cell>
          <cell r="C1472">
            <v>106292.04545454547</v>
          </cell>
          <cell r="D1472">
            <v>2456145.9090909096</v>
          </cell>
        </row>
        <row r="1473">
          <cell r="A1473" t="str">
            <v>AM-3431612</v>
          </cell>
          <cell r="B1473" t="str">
            <v>APT. LAKSAMANA</v>
          </cell>
          <cell r="C1473">
            <v>-503725.56818181818</v>
          </cell>
          <cell r="D1473">
            <v>3914253.8181818197</v>
          </cell>
        </row>
        <row r="1474">
          <cell r="A1474" t="str">
            <v>AM-3431618</v>
          </cell>
          <cell r="B1474" t="str">
            <v>SUANG FARMA</v>
          </cell>
          <cell r="C1474">
            <v>-1615462.1818181819</v>
          </cell>
          <cell r="D1474">
            <v>1782279.5454545452</v>
          </cell>
        </row>
        <row r="1475">
          <cell r="A1475" t="str">
            <v>AM-3431623</v>
          </cell>
          <cell r="B1475" t="str">
            <v>TO. HITARO</v>
          </cell>
          <cell r="C1475">
            <v>175500.00000000003</v>
          </cell>
          <cell r="D1475">
            <v>1351602.2727272725</v>
          </cell>
        </row>
        <row r="1476">
          <cell r="A1476" t="str">
            <v>AM-3431628</v>
          </cell>
          <cell r="B1476" t="str">
            <v>TK. SARNO</v>
          </cell>
          <cell r="C1476">
            <v>304922.04545454553</v>
          </cell>
          <cell r="D1476">
            <v>226800</v>
          </cell>
        </row>
        <row r="1477">
          <cell r="A1477" t="str">
            <v>AMOR</v>
          </cell>
          <cell r="B1477" t="str">
            <v>AMORA BEAUTY &amp; KOSMETIK</v>
          </cell>
          <cell r="C1477">
            <v>246779374.22727263</v>
          </cell>
          <cell r="D1477">
            <v>1033905.6818181816</v>
          </cell>
        </row>
        <row r="1478">
          <cell r="A1478" t="str">
            <v>AMPMART</v>
          </cell>
          <cell r="B1478" t="str">
            <v>AMPERA MART</v>
          </cell>
          <cell r="C1478">
            <v>198542.04545454547</v>
          </cell>
          <cell r="D1478">
            <v>6954627.2727272715</v>
          </cell>
        </row>
        <row r="1479">
          <cell r="A1479" t="str">
            <v>ANA1</v>
          </cell>
          <cell r="B1479" t="str">
            <v>KOSMETIK ANA ,TKO</v>
          </cell>
          <cell r="C1479">
            <v>3411354.9090909087</v>
          </cell>
          <cell r="D1479">
            <v>1172984.5454545454</v>
          </cell>
        </row>
        <row r="1480">
          <cell r="A1480" t="str">
            <v>ANDI1</v>
          </cell>
          <cell r="B1480" t="str">
            <v>ANDI MART,PUTUSSIBAU</v>
          </cell>
          <cell r="C1480">
            <v>1947043.6363636369</v>
          </cell>
          <cell r="D1480">
            <v>1060788.0490909093</v>
          </cell>
        </row>
        <row r="1481">
          <cell r="A1481" t="str">
            <v>ANKKNC</v>
          </cell>
          <cell r="B1481" t="str">
            <v>ANEKA KANCING,TKO</v>
          </cell>
          <cell r="C1481">
            <v>291577606.3636362</v>
          </cell>
          <cell r="D1481">
            <v>7246302.2727272734</v>
          </cell>
        </row>
        <row r="1482">
          <cell r="A1482" t="str">
            <v>ANNYE</v>
          </cell>
          <cell r="B1482" t="str">
            <v>ANNYEONGHASEO,PUTUSSIBAU</v>
          </cell>
          <cell r="C1482">
            <v>12345864.818181824</v>
          </cell>
          <cell r="D1482">
            <v>1108899.5454545456</v>
          </cell>
        </row>
        <row r="1483">
          <cell r="A1483" t="str">
            <v>APB1</v>
          </cell>
          <cell r="B1483" t="str">
            <v>ASWANI PUTRA BORNEO/APB</v>
          </cell>
          <cell r="C1483">
            <v>35970743.181818195</v>
          </cell>
          <cell r="D1483">
            <v>1617623.1818181816</v>
          </cell>
        </row>
        <row r="1484">
          <cell r="A1484" t="str">
            <v>ARB002</v>
          </cell>
          <cell r="B1484" t="str">
            <v>DEWI</v>
          </cell>
          <cell r="C1484">
            <v>1137423.5454545454</v>
          </cell>
          <cell r="D1484">
            <v>5300754.5454545459</v>
          </cell>
        </row>
        <row r="1485">
          <cell r="A1485" t="str">
            <v>ARB006</v>
          </cell>
          <cell r="B1485" t="str">
            <v>NURHAYATI</v>
          </cell>
          <cell r="C1485">
            <v>423818.18181818177</v>
          </cell>
          <cell r="D1485">
            <v>902127.27272727271</v>
          </cell>
        </row>
        <row r="1486">
          <cell r="A1486" t="str">
            <v>ARB007</v>
          </cell>
          <cell r="B1486" t="str">
            <v>TOKO ARWANA</v>
          </cell>
          <cell r="C1486">
            <v>5959046.3918181825</v>
          </cell>
          <cell r="D1486">
            <v>1880386.3636363635</v>
          </cell>
        </row>
        <row r="1487">
          <cell r="A1487" t="str">
            <v>ASTR</v>
          </cell>
          <cell r="B1487" t="str">
            <v>ASTRO BORNEO,TK</v>
          </cell>
          <cell r="C1487">
            <v>21696478.13636364</v>
          </cell>
          <cell r="D1487">
            <v>898695.00000000012</v>
          </cell>
        </row>
        <row r="1488">
          <cell r="A1488" t="str">
            <v>AURO</v>
          </cell>
          <cell r="B1488" t="str">
            <v>AURORA APOTEK &amp; KOSMETIK ,PINOH</v>
          </cell>
          <cell r="C1488">
            <v>1055154.5454545454</v>
          </cell>
          <cell r="D1488">
            <v>317863.63636363635</v>
          </cell>
        </row>
        <row r="1489">
          <cell r="A1489" t="str">
            <v>B001</v>
          </cell>
          <cell r="B1489" t="str">
            <v>BURMA BUKITTINGGI</v>
          </cell>
          <cell r="C1489">
            <v>270817474.9090907</v>
          </cell>
          <cell r="D1489">
            <v>1553400</v>
          </cell>
        </row>
        <row r="1490">
          <cell r="A1490" t="str">
            <v>B003</v>
          </cell>
          <cell r="B1490" t="str">
            <v>BANA SWALAYAN</v>
          </cell>
          <cell r="C1490">
            <v>10201058.181818185</v>
          </cell>
          <cell r="D1490">
            <v>52977.272727272728</v>
          </cell>
        </row>
        <row r="1491">
          <cell r="A1491" t="str">
            <v>B007</v>
          </cell>
          <cell r="B1491" t="str">
            <v>BEAUTY SHOP</v>
          </cell>
          <cell r="C1491">
            <v>250000</v>
          </cell>
          <cell r="D1491">
            <v>126000</v>
          </cell>
        </row>
        <row r="1492">
          <cell r="A1492" t="str">
            <v>B017</v>
          </cell>
          <cell r="B1492" t="str">
            <v>BUDHI MART</v>
          </cell>
          <cell r="C1492">
            <v>2460939.9999999995</v>
          </cell>
          <cell r="D1492">
            <v>14732998.636363644</v>
          </cell>
        </row>
        <row r="1493">
          <cell r="A1493" t="str">
            <v>B020</v>
          </cell>
          <cell r="B1493" t="str">
            <v>BUDI MULIA</v>
          </cell>
          <cell r="C1493">
            <v>797731.81818181812</v>
          </cell>
          <cell r="D1493">
            <v>12441265.363636365</v>
          </cell>
        </row>
        <row r="1494">
          <cell r="A1494" t="str">
            <v>B021</v>
          </cell>
          <cell r="B1494" t="str">
            <v>BUDI MULIA 2</v>
          </cell>
          <cell r="C1494">
            <v>542263.63636363624</v>
          </cell>
          <cell r="D1494">
            <v>41627675.454545438</v>
          </cell>
        </row>
        <row r="1495">
          <cell r="A1495" t="str">
            <v>B023</v>
          </cell>
          <cell r="B1495" t="str">
            <v>BUDIMAN AIR TAWAR</v>
          </cell>
          <cell r="C1495">
            <v>5566720.5</v>
          </cell>
          <cell r="D1495">
            <v>396149.09090909094</v>
          </cell>
        </row>
        <row r="1496">
          <cell r="A1496" t="str">
            <v>B024</v>
          </cell>
          <cell r="B1496" t="str">
            <v>BUDIMAN AMPANG</v>
          </cell>
          <cell r="C1496">
            <v>2907610.2272727289</v>
          </cell>
          <cell r="D1496">
            <v>573555.45454545447</v>
          </cell>
        </row>
        <row r="1497">
          <cell r="A1497" t="str">
            <v>B026</v>
          </cell>
          <cell r="B1497" t="str">
            <v>BUDIMAN CENGKEH</v>
          </cell>
          <cell r="C1497">
            <v>890614.45454545459</v>
          </cell>
          <cell r="D1497">
            <v>66148839.545454569</v>
          </cell>
        </row>
        <row r="1498">
          <cell r="A1498" t="str">
            <v>B028</v>
          </cell>
          <cell r="B1498" t="str">
            <v>BUDIMAN GP</v>
          </cell>
          <cell r="C1498">
            <v>922210.90909090894</v>
          </cell>
          <cell r="D1498">
            <v>84783770.681818157</v>
          </cell>
        </row>
        <row r="1499">
          <cell r="A1499" t="str">
            <v>B029</v>
          </cell>
          <cell r="B1499" t="str">
            <v>BUDIMAN JEMBES</v>
          </cell>
          <cell r="C1499">
            <v>2072131.3636363645</v>
          </cell>
          <cell r="D1499">
            <v>5520000</v>
          </cell>
        </row>
        <row r="1500">
          <cell r="A1500" t="str">
            <v>B030</v>
          </cell>
          <cell r="B1500" t="str">
            <v>BUDIMAN KURANJI</v>
          </cell>
          <cell r="C1500">
            <v>7963390.2272727285</v>
          </cell>
          <cell r="D1500">
            <v>2450274.5454545449</v>
          </cell>
        </row>
        <row r="1501">
          <cell r="A1501" t="str">
            <v>B031</v>
          </cell>
          <cell r="B1501" t="str">
            <v>BUDIMAN PONDOK</v>
          </cell>
          <cell r="C1501">
            <v>2789955.0000000005</v>
          </cell>
          <cell r="D1501">
            <v>1442495.4545454544</v>
          </cell>
        </row>
        <row r="1502">
          <cell r="A1502" t="str">
            <v>B033</v>
          </cell>
          <cell r="B1502" t="str">
            <v>BUDIMAN SAWAHAN</v>
          </cell>
          <cell r="C1502">
            <v>3354878.6363636376</v>
          </cell>
          <cell r="D1502">
            <v>133200</v>
          </cell>
        </row>
        <row r="1503">
          <cell r="A1503" t="str">
            <v>B035</v>
          </cell>
          <cell r="B1503" t="str">
            <v>BUK YET</v>
          </cell>
          <cell r="C1503">
            <v>297300</v>
          </cell>
          <cell r="D1503">
            <v>532800</v>
          </cell>
        </row>
        <row r="1504">
          <cell r="A1504" t="str">
            <v>B038</v>
          </cell>
          <cell r="B1504" t="str">
            <v>BUNDA SWL</v>
          </cell>
          <cell r="C1504">
            <v>1377772.5000000002</v>
          </cell>
          <cell r="D1504">
            <v>136681.36363636365</v>
          </cell>
        </row>
        <row r="1505">
          <cell r="A1505" t="str">
            <v>B039</v>
          </cell>
          <cell r="B1505" t="str">
            <v>BUNDA SWL 2</v>
          </cell>
          <cell r="C1505">
            <v>810233.45454545447</v>
          </cell>
          <cell r="D1505">
            <v>26872909.09090909</v>
          </cell>
        </row>
        <row r="1506">
          <cell r="A1506" t="str">
            <v>B040</v>
          </cell>
          <cell r="B1506" t="str">
            <v>BURMA PADANG</v>
          </cell>
          <cell r="C1506">
            <v>134004681.81818177</v>
          </cell>
          <cell r="D1506">
            <v>317863.63636363629</v>
          </cell>
        </row>
        <row r="1507">
          <cell r="A1507" t="str">
            <v>B041</v>
          </cell>
          <cell r="B1507" t="str">
            <v>BUYUNG DICKY</v>
          </cell>
          <cell r="C1507">
            <v>3430303.6363636367</v>
          </cell>
          <cell r="D1507">
            <v>7728000</v>
          </cell>
        </row>
        <row r="1508">
          <cell r="A1508" t="str">
            <v>B043</v>
          </cell>
          <cell r="B1508" t="str">
            <v>BATANG GADIS</v>
          </cell>
          <cell r="C1508">
            <v>507503738.18181825</v>
          </cell>
          <cell r="D1508">
            <v>635727.27272727271</v>
          </cell>
        </row>
        <row r="1509">
          <cell r="A1509" t="str">
            <v>B049</v>
          </cell>
          <cell r="B1509" t="str">
            <v>BUDIMAN ANDURING</v>
          </cell>
          <cell r="C1509">
            <v>4892523.409090911</v>
          </cell>
          <cell r="D1509">
            <v>6357272.7272727275</v>
          </cell>
        </row>
        <row r="1510">
          <cell r="A1510" t="str">
            <v>B055</v>
          </cell>
          <cell r="B1510" t="str">
            <v>BUDIMAN ULAK KARANG</v>
          </cell>
          <cell r="C1510">
            <v>4033772.7272727275</v>
          </cell>
          <cell r="D1510">
            <v>118442.04545454548</v>
          </cell>
        </row>
        <row r="1511">
          <cell r="A1511" t="str">
            <v>130-AL FRB WW</v>
          </cell>
          <cell r="B1511" t="str">
            <v>ESTER PANGARIBUAN</v>
          </cell>
          <cell r="D1511">
            <v>24975.000000000007</v>
          </cell>
        </row>
        <row r="1512">
          <cell r="A1512" t="str">
            <v>B056</v>
          </cell>
          <cell r="B1512" t="str">
            <v>BUNDA SWL 3</v>
          </cell>
          <cell r="C1512">
            <v>450568.45454545453</v>
          </cell>
          <cell r="D1512">
            <v>4109834.5454545449</v>
          </cell>
        </row>
        <row r="1513">
          <cell r="A1513" t="str">
            <v>B058</v>
          </cell>
          <cell r="B1513" t="str">
            <v>BLESSING COSMETIC</v>
          </cell>
          <cell r="C1513">
            <v>788301.818181818</v>
          </cell>
          <cell r="D1513">
            <v>317863.63636363635</v>
          </cell>
        </row>
        <row r="1514">
          <cell r="A1514" t="str">
            <v>B064</v>
          </cell>
          <cell r="B1514" t="str">
            <v>BUDIMAN KAPEH PANJI</v>
          </cell>
          <cell r="C1514">
            <v>1815786.8181818184</v>
          </cell>
          <cell r="D1514">
            <v>5989866.8181818193</v>
          </cell>
        </row>
        <row r="1515">
          <cell r="A1515" t="str">
            <v>B067</v>
          </cell>
          <cell r="B1515" t="str">
            <v>BEAUTY BLOOM</v>
          </cell>
          <cell r="C1515">
            <v>971844.54545454541</v>
          </cell>
          <cell r="D1515">
            <v>3459763.0909090904</v>
          </cell>
        </row>
        <row r="1516">
          <cell r="A1516" t="str">
            <v>B068</v>
          </cell>
          <cell r="B1516" t="str">
            <v>BUDIMAN LUBUK BEGALUNG</v>
          </cell>
          <cell r="C1516">
            <v>26366097.468636364</v>
          </cell>
          <cell r="D1516">
            <v>5543847.9545454578</v>
          </cell>
        </row>
        <row r="1517">
          <cell r="A1517" t="str">
            <v>B070</v>
          </cell>
          <cell r="B1517" t="str">
            <v>BIHAN COSMETIK</v>
          </cell>
          <cell r="C1517">
            <v>1694770.9090909092</v>
          </cell>
          <cell r="D1517">
            <v>1475863.6363636362</v>
          </cell>
        </row>
        <row r="1518">
          <cell r="A1518" t="str">
            <v>B071</v>
          </cell>
          <cell r="B1518" t="str">
            <v>BERKAH JAYA PRATAMA</v>
          </cell>
          <cell r="C1518">
            <v>8440572.2727272753</v>
          </cell>
          <cell r="D1518">
            <v>16699090.90909091</v>
          </cell>
        </row>
        <row r="1519">
          <cell r="A1519" t="str">
            <v>BAC005</v>
          </cell>
          <cell r="B1519" t="str">
            <v>KOTTY COS</v>
          </cell>
          <cell r="C1519">
            <v>114032239.90909089</v>
          </cell>
          <cell r="D1519">
            <v>384463.63636363629</v>
          </cell>
        </row>
        <row r="1520">
          <cell r="A1520" t="str">
            <v>BAC017</v>
          </cell>
          <cell r="B1520" t="str">
            <v>FASCO SWALAYAN</v>
          </cell>
          <cell r="C1520">
            <v>9155927.7272727285</v>
          </cell>
          <cell r="D1520">
            <v>1019939.8181818182</v>
          </cell>
        </row>
        <row r="1521">
          <cell r="A1521" t="str">
            <v>BAC0175</v>
          </cell>
          <cell r="B1521" t="str">
            <v>ZKR SWALAYAN</v>
          </cell>
          <cell r="C1521">
            <v>3646201.3636363656</v>
          </cell>
          <cell r="D1521">
            <v>188097.95454545453</v>
          </cell>
        </row>
        <row r="1522">
          <cell r="A1522" t="str">
            <v>BAC037</v>
          </cell>
          <cell r="B1522" t="str">
            <v>ARIFA MART</v>
          </cell>
          <cell r="C1522">
            <v>1139280.6818181819</v>
          </cell>
          <cell r="D1522">
            <v>546725.45454545447</v>
          </cell>
        </row>
        <row r="1523">
          <cell r="A1523" t="str">
            <v>BAC044</v>
          </cell>
          <cell r="B1523" t="str">
            <v>SEJAHTERA MBO</v>
          </cell>
          <cell r="C1523">
            <v>-144098.18181818182</v>
          </cell>
          <cell r="D1523">
            <v>843000</v>
          </cell>
        </row>
        <row r="1524">
          <cell r="A1524" t="str">
            <v>BAC047</v>
          </cell>
          <cell r="B1524" t="str">
            <v>DUBAI MART</v>
          </cell>
          <cell r="C1524">
            <v>704554.77272727282</v>
          </cell>
          <cell r="D1524">
            <v>3444690</v>
          </cell>
        </row>
        <row r="1525">
          <cell r="A1525" t="str">
            <v>BAC049</v>
          </cell>
          <cell r="B1525" t="str">
            <v xml:space="preserve">SEJAHTERA 1 LHOKSEUMAWE </v>
          </cell>
          <cell r="C1525">
            <v>998697.27272727282</v>
          </cell>
          <cell r="D1525">
            <v>1069175.4545454546</v>
          </cell>
        </row>
        <row r="1526">
          <cell r="A1526" t="str">
            <v>BAC050</v>
          </cell>
          <cell r="B1526" t="str">
            <v>MJ SWALAYAN</v>
          </cell>
          <cell r="C1526">
            <v>-238927.5</v>
          </cell>
          <cell r="D1526">
            <v>15953727.272727279</v>
          </cell>
        </row>
        <row r="1527">
          <cell r="A1527" t="str">
            <v>BAC052</v>
          </cell>
          <cell r="B1527" t="str">
            <v>GRAND SWALAYAN</v>
          </cell>
          <cell r="C1527">
            <v>1183017.6818181819</v>
          </cell>
          <cell r="D1527">
            <v>3349590.0000000005</v>
          </cell>
        </row>
        <row r="1528">
          <cell r="A1528" t="str">
            <v>BAC054</v>
          </cell>
          <cell r="B1528" t="str">
            <v>MAJU JAYA NEUSU</v>
          </cell>
          <cell r="C1528">
            <v>499911.13636363635</v>
          </cell>
          <cell r="D1528">
            <v>1293664.0909090908</v>
          </cell>
        </row>
        <row r="1529">
          <cell r="A1529" t="str">
            <v>BAC055</v>
          </cell>
          <cell r="B1529" t="str">
            <v>KOTTY ID</v>
          </cell>
          <cell r="C1529">
            <v>5122516.3636363633</v>
          </cell>
          <cell r="D1529">
            <v>23346904.772727273</v>
          </cell>
        </row>
        <row r="1530">
          <cell r="A1530" t="str">
            <v>BAC058</v>
          </cell>
          <cell r="B1530" t="str">
            <v>SEJAHTERA 2 LHOKSEUMAWE</v>
          </cell>
          <cell r="C1530">
            <v>1831359.5454545454</v>
          </cell>
          <cell r="D1530">
            <v>116316863.18181816</v>
          </cell>
        </row>
        <row r="1531">
          <cell r="A1531" t="str">
            <v>BAC064</v>
          </cell>
          <cell r="B1531" t="str">
            <v>FZ SWALAYAN</v>
          </cell>
          <cell r="C1531">
            <v>1172839.5000000002</v>
          </cell>
          <cell r="D1531">
            <v>2331241.3636363633</v>
          </cell>
        </row>
        <row r="1532">
          <cell r="A1532" t="str">
            <v>BAC065</v>
          </cell>
          <cell r="B1532" t="str">
            <v>MEUTUAH SWALAYAN</v>
          </cell>
          <cell r="C1532">
            <v>3420358.6363636362</v>
          </cell>
          <cell r="D1532">
            <v>6025145.4545454551</v>
          </cell>
        </row>
        <row r="1533">
          <cell r="A1533" t="str">
            <v>BAC068</v>
          </cell>
          <cell r="B1533" t="str">
            <v>NATURAL COSMETIC</v>
          </cell>
          <cell r="C1533">
            <v>30595372.363636378</v>
          </cell>
          <cell r="D1533">
            <v>8763272.7272727266</v>
          </cell>
        </row>
        <row r="1534">
          <cell r="A1534" t="str">
            <v>BAC070</v>
          </cell>
          <cell r="B1534" t="str">
            <v>THATSUYA COS</v>
          </cell>
          <cell r="C1534">
            <v>9650455.2272727303</v>
          </cell>
          <cell r="D1534">
            <v>337909.09090909088</v>
          </cell>
        </row>
        <row r="1535">
          <cell r="A1535" t="str">
            <v>BAC074</v>
          </cell>
          <cell r="B1535" t="str">
            <v>TOKO DHEA</v>
          </cell>
          <cell r="C1535">
            <v>656284.09090909094</v>
          </cell>
          <cell r="D1535">
            <v>30755809.090909109</v>
          </cell>
        </row>
        <row r="1536">
          <cell r="A1536" t="str">
            <v>BAC076</v>
          </cell>
          <cell r="B1536" t="str">
            <v>ANUGRAH BB</v>
          </cell>
          <cell r="C1536">
            <v>306395.18181818182</v>
          </cell>
          <cell r="D1536">
            <v>20847889.09090909</v>
          </cell>
        </row>
        <row r="1537">
          <cell r="A1537" t="str">
            <v>BAC077</v>
          </cell>
          <cell r="B1537" t="str">
            <v>INDAH SARI 1</v>
          </cell>
          <cell r="C1537">
            <v>266400.00000000012</v>
          </cell>
          <cell r="D1537">
            <v>18649467.272727285</v>
          </cell>
        </row>
        <row r="1538">
          <cell r="A1538" t="str">
            <v>BAC080</v>
          </cell>
          <cell r="B1538" t="str">
            <v>INDAH SARI 3</v>
          </cell>
          <cell r="C1538">
            <v>-22200.000000000004</v>
          </cell>
          <cell r="D1538">
            <v>1260425.4545454544</v>
          </cell>
        </row>
        <row r="1539">
          <cell r="A1539" t="str">
            <v>BAC081</v>
          </cell>
          <cell r="B1539" t="str">
            <v>BERKAT</v>
          </cell>
          <cell r="C1539">
            <v>1203103.6363636362</v>
          </cell>
          <cell r="D1539">
            <v>4403147.7272727275</v>
          </cell>
        </row>
        <row r="1540">
          <cell r="A1540" t="str">
            <v>BAC082</v>
          </cell>
          <cell r="B1540" t="str">
            <v>METRO COSMETIC</v>
          </cell>
          <cell r="C1540">
            <v>882573</v>
          </cell>
          <cell r="D1540">
            <v>530983.63636363647</v>
          </cell>
        </row>
        <row r="1541">
          <cell r="A1541" t="str">
            <v>BAC084</v>
          </cell>
          <cell r="B1541" t="str">
            <v>HASNI FARMA</v>
          </cell>
          <cell r="C1541">
            <v>-115636.36363636376</v>
          </cell>
          <cell r="D1541">
            <v>3057473.8636363638</v>
          </cell>
        </row>
        <row r="1542">
          <cell r="A1542" t="str">
            <v>BAC085</v>
          </cell>
          <cell r="B1542" t="str">
            <v>TUAH KANA</v>
          </cell>
          <cell r="C1542">
            <v>1735922.7272727275</v>
          </cell>
          <cell r="D1542">
            <v>192015</v>
          </cell>
        </row>
        <row r="1543">
          <cell r="A1543" t="str">
            <v>BAC088</v>
          </cell>
          <cell r="B1543" t="str">
            <v>DANG DANG NA LAEN</v>
          </cell>
          <cell r="C1543">
            <v>9536391.8181818184</v>
          </cell>
          <cell r="D1543">
            <v>317863.63636363635</v>
          </cell>
        </row>
        <row r="1544">
          <cell r="A1544" t="str">
            <v>BAC089</v>
          </cell>
          <cell r="B1544" t="str">
            <v>NADIA SWALAYAN 2</v>
          </cell>
          <cell r="C1544">
            <v>4107459.9545454555</v>
          </cell>
          <cell r="D1544">
            <v>658390.90909090906</v>
          </cell>
        </row>
        <row r="1545">
          <cell r="A1545" t="str">
            <v>BAC090</v>
          </cell>
          <cell r="B1545" t="str">
            <v>WAWA COS</v>
          </cell>
          <cell r="C1545">
            <v>411481.36363636371</v>
          </cell>
          <cell r="D1545">
            <v>1169931.8181818181</v>
          </cell>
        </row>
        <row r="1546">
          <cell r="A1546" t="str">
            <v>BAC091</v>
          </cell>
          <cell r="B1546" t="str">
            <v>JASA TAMITHA</v>
          </cell>
          <cell r="C1546">
            <v>-259299.54545454547</v>
          </cell>
          <cell r="D1546">
            <v>-283958.18181818182</v>
          </cell>
        </row>
        <row r="1547">
          <cell r="A1547" t="str">
            <v>BAC094</v>
          </cell>
          <cell r="B1547" t="str">
            <v>ASIA MART</v>
          </cell>
          <cell r="C1547">
            <v>1457798.5909090911</v>
          </cell>
          <cell r="D1547">
            <v>1499700</v>
          </cell>
        </row>
        <row r="1548">
          <cell r="A1548" t="str">
            <v>BAC096</v>
          </cell>
          <cell r="B1548" t="str">
            <v>AWANA MART</v>
          </cell>
          <cell r="C1548">
            <v>4826955.6818181807</v>
          </cell>
          <cell r="D1548">
            <v>283958.18181818182</v>
          </cell>
        </row>
        <row r="1549">
          <cell r="A1549" t="str">
            <v>BAC101</v>
          </cell>
          <cell r="B1549" t="str">
            <v>FAMILY MART</v>
          </cell>
          <cell r="C1549">
            <v>162900.00000000003</v>
          </cell>
          <cell r="D1549">
            <v>4404272.7272727266</v>
          </cell>
        </row>
        <row r="1550">
          <cell r="A1550" t="str">
            <v>BAC103</v>
          </cell>
          <cell r="B1550" t="str">
            <v>ADEK ABANG 1</v>
          </cell>
          <cell r="C1550">
            <v>1118629.0909090911</v>
          </cell>
          <cell r="D1550">
            <v>809860.22727272718</v>
          </cell>
        </row>
        <row r="1551">
          <cell r="A1551" t="str">
            <v>BAC117</v>
          </cell>
          <cell r="B1551" t="str">
            <v>ANDA SABANG</v>
          </cell>
          <cell r="C1551">
            <v>2825374.9999999995</v>
          </cell>
          <cell r="D1551">
            <v>2497135.9090909092</v>
          </cell>
        </row>
        <row r="1552">
          <cell r="A1552" t="str">
            <v>BAC119</v>
          </cell>
          <cell r="B1552" t="str">
            <v>OBAMA MART</v>
          </cell>
          <cell r="C1552">
            <v>4909217.3181818184</v>
          </cell>
          <cell r="D1552">
            <v>35351078.18181818</v>
          </cell>
        </row>
        <row r="1553">
          <cell r="A1553" t="str">
            <v>BAC121</v>
          </cell>
          <cell r="B1553" t="str">
            <v>YASIR SWALAYAN</v>
          </cell>
          <cell r="C1553">
            <v>254615.45454545459</v>
          </cell>
          <cell r="D1553">
            <v>59335723.636363663</v>
          </cell>
        </row>
        <row r="1554">
          <cell r="A1554" t="str">
            <v>BAC157</v>
          </cell>
          <cell r="B1554" t="str">
            <v>MUMTAZ BEAUTY</v>
          </cell>
          <cell r="C1554">
            <v>375000</v>
          </cell>
          <cell r="D1554">
            <v>1194054.5454545454</v>
          </cell>
        </row>
        <row r="1555">
          <cell r="A1555" t="str">
            <v>BAC181</v>
          </cell>
          <cell r="B1555" t="str">
            <v>INTAN COSMETIK</v>
          </cell>
          <cell r="C1555">
            <v>5670060</v>
          </cell>
          <cell r="D1555">
            <v>15015272.727272727</v>
          </cell>
        </row>
        <row r="1556">
          <cell r="A1556" t="str">
            <v>BAC182</v>
          </cell>
          <cell r="B1556" t="str">
            <v>ICHSAN MARKET</v>
          </cell>
          <cell r="C1556">
            <v>1708617.2727272725</v>
          </cell>
          <cell r="D1556">
            <v>396900</v>
          </cell>
        </row>
        <row r="1557">
          <cell r="A1557" t="str">
            <v>BAC184</v>
          </cell>
          <cell r="B1557" t="str">
            <v>WARDAH COS ULE GLE</v>
          </cell>
          <cell r="C1557">
            <v>-964717.19590909104</v>
          </cell>
          <cell r="D1557">
            <v>37084.090909090912</v>
          </cell>
        </row>
        <row r="1558">
          <cell r="A1558" t="str">
            <v>BAC190</v>
          </cell>
          <cell r="B1558" t="str">
            <v>SEJAHTERA B.PIDIE</v>
          </cell>
          <cell r="C1558">
            <v>1284695.4545454546</v>
          </cell>
          <cell r="D1558">
            <v>819057.27272727282</v>
          </cell>
        </row>
        <row r="1559">
          <cell r="A1559" t="str">
            <v>BAC194</v>
          </cell>
          <cell r="B1559" t="str">
            <v>ARON JAYA SWALAYAN</v>
          </cell>
          <cell r="C1559">
            <v>276498.40909090906</v>
          </cell>
          <cell r="D1559">
            <v>5877497.7272727285</v>
          </cell>
        </row>
        <row r="1560">
          <cell r="A1560" t="str">
            <v>BAC204</v>
          </cell>
          <cell r="B1560" t="str">
            <v>GM STORE PRADA</v>
          </cell>
          <cell r="C1560">
            <v>232988092.09090903</v>
          </cell>
          <cell r="D1560">
            <v>5125909.0909090908</v>
          </cell>
        </row>
        <row r="1561">
          <cell r="A1561" t="str">
            <v>BAC209</v>
          </cell>
          <cell r="B1561" t="str">
            <v>OSAKA MATANG</v>
          </cell>
          <cell r="C1561">
            <v>6118216.3636363642</v>
          </cell>
          <cell r="D1561">
            <v>196167.27272727276</v>
          </cell>
        </row>
        <row r="1562">
          <cell r="A1562" t="str">
            <v>BAC210</v>
          </cell>
          <cell r="B1562" t="str">
            <v>SEJAHTERA BIREUEN</v>
          </cell>
          <cell r="C1562">
            <v>2519619.5454545449</v>
          </cell>
          <cell r="D1562">
            <v>-314912.04545454547</v>
          </cell>
        </row>
        <row r="1563">
          <cell r="A1563" t="str">
            <v>BAC218</v>
          </cell>
          <cell r="B1563" t="str">
            <v>RAYON BARU SWALAYAN</v>
          </cell>
          <cell r="C1563">
            <v>3103701.2727272725</v>
          </cell>
          <cell r="D1563">
            <v>1379528.1818181816</v>
          </cell>
        </row>
        <row r="1564">
          <cell r="A1564" t="str">
            <v>BAC219</v>
          </cell>
          <cell r="B1564" t="str">
            <v>WARDAH COS</v>
          </cell>
          <cell r="C1564">
            <v>7263742.7272727285</v>
          </cell>
          <cell r="D1564">
            <v>746979.54545454541</v>
          </cell>
        </row>
        <row r="1565">
          <cell r="A1565" t="str">
            <v>BAC225</v>
          </cell>
          <cell r="B1565" t="str">
            <v>KAJHU SWALAYAN</v>
          </cell>
          <cell r="C1565">
            <v>758758.63636363635</v>
          </cell>
          <cell r="D1565">
            <v>1233263.6363636362</v>
          </cell>
        </row>
        <row r="1566">
          <cell r="A1566" t="str">
            <v>BAC232</v>
          </cell>
          <cell r="B1566" t="str">
            <v>SABENA SHOP</v>
          </cell>
          <cell r="C1566">
            <v>2546317.2272727271</v>
          </cell>
          <cell r="D1566">
            <v>3486972.2727272725</v>
          </cell>
        </row>
        <row r="1567">
          <cell r="A1567" t="str">
            <v>BAC236</v>
          </cell>
          <cell r="B1567" t="str">
            <v>TASIK MALAYA SWALAYAN</v>
          </cell>
          <cell r="C1567">
            <v>709214.31818181835</v>
          </cell>
          <cell r="D1567">
            <v>133200</v>
          </cell>
        </row>
        <row r="1568">
          <cell r="A1568" t="str">
            <v>BAC240</v>
          </cell>
          <cell r="B1568" t="str">
            <v>AL FATIH</v>
          </cell>
          <cell r="C1568">
            <v>2082491.1818181816</v>
          </cell>
          <cell r="D1568">
            <v>44400</v>
          </cell>
        </row>
        <row r="1569">
          <cell r="A1569" t="str">
            <v>BAC263</v>
          </cell>
          <cell r="B1569" t="str">
            <v>TUAH CITRA SWALAYAN</v>
          </cell>
          <cell r="C1569">
            <v>802148.86363636376</v>
          </cell>
          <cell r="D1569">
            <v>149395.90909090909</v>
          </cell>
        </row>
        <row r="1570">
          <cell r="A1570" t="str">
            <v>BAC264</v>
          </cell>
          <cell r="B1570" t="str">
            <v>JEUMPA COS</v>
          </cell>
          <cell r="C1570">
            <v>2732071.8181818179</v>
          </cell>
          <cell r="D1570">
            <v>317863.63636363635</v>
          </cell>
        </row>
        <row r="1571">
          <cell r="A1571" t="str">
            <v>BAC266</v>
          </cell>
          <cell r="B1571" t="str">
            <v>CAHAYA BUNDA MART</v>
          </cell>
          <cell r="C1571">
            <v>1430386.3636363633</v>
          </cell>
          <cell r="D1571">
            <v>168000</v>
          </cell>
        </row>
        <row r="1572">
          <cell r="A1572" t="str">
            <v>BAC272</v>
          </cell>
          <cell r="B1572" t="str">
            <v>SETIA BUDI</v>
          </cell>
          <cell r="C1572">
            <v>3928470.6818181826</v>
          </cell>
          <cell r="D1572">
            <v>3680841.8181818174</v>
          </cell>
        </row>
        <row r="1573">
          <cell r="A1573" t="str">
            <v>BAC285</v>
          </cell>
          <cell r="B1573" t="str">
            <v>AN-NAHLASHOP</v>
          </cell>
          <cell r="C1573">
            <v>14533770.000000006</v>
          </cell>
          <cell r="D1573">
            <v>1377586.3636363638</v>
          </cell>
        </row>
        <row r="1574">
          <cell r="A1574" t="str">
            <v>BAC288</v>
          </cell>
          <cell r="B1574" t="str">
            <v>TK KALISA COSMETIC</v>
          </cell>
          <cell r="C1574">
            <v>6041127.7272727285</v>
          </cell>
          <cell r="D1574">
            <v>953389.09090909082</v>
          </cell>
        </row>
        <row r="1575">
          <cell r="A1575" t="str">
            <v>BAC295</v>
          </cell>
          <cell r="B1575" t="str">
            <v>ICI STORE</v>
          </cell>
          <cell r="C1575">
            <v>13115674.136363635</v>
          </cell>
          <cell r="D1575">
            <v>626563.63636363635</v>
          </cell>
        </row>
        <row r="1576">
          <cell r="A1576" t="str">
            <v>BAC301</v>
          </cell>
          <cell r="B1576" t="str">
            <v>AYNISH COSMETIC</v>
          </cell>
          <cell r="C1576">
            <v>372024.54545454547</v>
          </cell>
          <cell r="D1576">
            <v>953136.818181818</v>
          </cell>
        </row>
        <row r="1577">
          <cell r="A1577" t="str">
            <v>BAC305</v>
          </cell>
          <cell r="B1577" t="str">
            <v>RADYSA COS</v>
          </cell>
          <cell r="C1577">
            <v>33458495.454545461</v>
          </cell>
          <cell r="D1577">
            <v>7946590.9090909073</v>
          </cell>
        </row>
        <row r="1578">
          <cell r="A1578" t="str">
            <v>BAC313</v>
          </cell>
          <cell r="B1578" t="str">
            <v>HAWA KOSMETIK</v>
          </cell>
          <cell r="C1578">
            <v>60720555.272727259</v>
          </cell>
          <cell r="D1578">
            <v>636861.81818181823</v>
          </cell>
        </row>
        <row r="1579">
          <cell r="A1579" t="str">
            <v>BAC314</v>
          </cell>
          <cell r="B1579" t="str">
            <v>DYRA HOUSE</v>
          </cell>
          <cell r="C1579">
            <v>473695.45454545459</v>
          </cell>
          <cell r="D1579">
            <v>103684.09090909091</v>
          </cell>
        </row>
        <row r="1580">
          <cell r="A1580" t="str">
            <v>BAC318</v>
          </cell>
          <cell r="B1580" t="str">
            <v>SABILAL KOSMETIK</v>
          </cell>
          <cell r="C1580">
            <v>8076301.3636363642</v>
          </cell>
          <cell r="D1580">
            <v>384463.63636363635</v>
          </cell>
        </row>
        <row r="1581">
          <cell r="A1581" t="str">
            <v>BAC330</v>
          </cell>
          <cell r="B1581" t="str">
            <v>CANTIQ KOSMETIK</v>
          </cell>
          <cell r="C1581">
            <v>5916475.7727272725</v>
          </cell>
          <cell r="D1581">
            <v>126000</v>
          </cell>
        </row>
        <row r="1582">
          <cell r="A1582" t="str">
            <v>BAC334</v>
          </cell>
          <cell r="B1582" t="str">
            <v>SW SWALAYAN</v>
          </cell>
          <cell r="C1582">
            <v>723242.72727272729</v>
          </cell>
          <cell r="D1582">
            <v>2236549.0909090908</v>
          </cell>
        </row>
        <row r="1583">
          <cell r="A1583" t="str">
            <v>BAC346</v>
          </cell>
          <cell r="B1583" t="str">
            <v>VIA OLSHOP SAMALANGA</v>
          </cell>
          <cell r="C1583">
            <v>337909.09090909088</v>
          </cell>
          <cell r="D1583">
            <v>231586.36363636365</v>
          </cell>
        </row>
        <row r="1584">
          <cell r="A1584" t="str">
            <v>BAC348</v>
          </cell>
          <cell r="B1584" t="str">
            <v>APOTEK MUSTAJAB</v>
          </cell>
          <cell r="C1584">
            <v>1048041.8181818181</v>
          </cell>
          <cell r="D1584">
            <v>62775.000000000007</v>
          </cell>
        </row>
        <row r="1585">
          <cell r="A1585" t="str">
            <v>BAC349</v>
          </cell>
          <cell r="B1585" t="str">
            <v>SYIFA COSMETIK</v>
          </cell>
          <cell r="C1585">
            <v>10443875.454545457</v>
          </cell>
          <cell r="D1585">
            <v>635727.27272727271</v>
          </cell>
        </row>
        <row r="1586">
          <cell r="A1586" t="str">
            <v>BAC352</v>
          </cell>
          <cell r="B1586" t="str">
            <v>LE PARFUM</v>
          </cell>
          <cell r="C1586">
            <v>26503002.272727277</v>
          </cell>
          <cell r="D1586">
            <v>18542.045454545456</v>
          </cell>
        </row>
        <row r="1587">
          <cell r="A1587" t="str">
            <v>BAC353</v>
          </cell>
          <cell r="B1587" t="str">
            <v>AL AZZAM MART</v>
          </cell>
          <cell r="C1587">
            <v>1781344.0909090908</v>
          </cell>
          <cell r="D1587">
            <v>3406115.4545454555</v>
          </cell>
        </row>
        <row r="1588">
          <cell r="A1588" t="str">
            <v>BAC358</v>
          </cell>
          <cell r="B1588" t="str">
            <v>RIZKY FAMILY UNDEWEAR</v>
          </cell>
          <cell r="C1588">
            <v>2458346.9999999995</v>
          </cell>
          <cell r="D1588">
            <v>1566497.7272727271</v>
          </cell>
        </row>
        <row r="1589">
          <cell r="A1589" t="str">
            <v>BAC361</v>
          </cell>
          <cell r="B1589" t="str">
            <v>MERDU CANTIK</v>
          </cell>
          <cell r="C1589">
            <v>2741569.5454545459</v>
          </cell>
          <cell r="D1589">
            <v>14785663.636363633</v>
          </cell>
        </row>
        <row r="1590">
          <cell r="A1590" t="str">
            <v>BAC372</v>
          </cell>
          <cell r="B1590" t="str">
            <v>RH BEAUTE</v>
          </cell>
          <cell r="C1590">
            <v>8051284.0909090908</v>
          </cell>
          <cell r="D1590">
            <v>2913360.0000000009</v>
          </cell>
        </row>
        <row r="1591">
          <cell r="A1591" t="str">
            <v>BAC383</v>
          </cell>
          <cell r="B1591" t="str">
            <v>HB STORE</v>
          </cell>
          <cell r="C1591">
            <v>6039409.0909090927</v>
          </cell>
          <cell r="D1591">
            <v>1193445</v>
          </cell>
        </row>
        <row r="1592">
          <cell r="A1592" t="str">
            <v>BAC385</v>
          </cell>
          <cell r="B1592" t="str">
            <v>ADEERATA SWALAYAN</v>
          </cell>
          <cell r="C1592">
            <v>158931.81818181818</v>
          </cell>
          <cell r="D1592">
            <v>1496334.5454545454</v>
          </cell>
        </row>
        <row r="1593">
          <cell r="A1593" t="str">
            <v>BAC391</v>
          </cell>
          <cell r="B1593" t="str">
            <v>AZZA ACSESORIES</v>
          </cell>
          <cell r="C1593">
            <v>2451327.2727272734</v>
          </cell>
          <cell r="D1593">
            <v>905890.90909090918</v>
          </cell>
        </row>
        <row r="1594">
          <cell r="A1594" t="str">
            <v>BAC393</v>
          </cell>
          <cell r="B1594" t="str">
            <v>NAURA COSMETIC (IDI CUT)</v>
          </cell>
          <cell r="C1594">
            <v>538909.09090909082</v>
          </cell>
          <cell r="D1594">
            <v>4244563.6363636367</v>
          </cell>
        </row>
        <row r="1595">
          <cell r="A1595" t="str">
            <v>BAC394</v>
          </cell>
          <cell r="B1595" t="str">
            <v xml:space="preserve">SEJAHTERA BIREUEN 2 </v>
          </cell>
          <cell r="C1595">
            <v>9180524.1818181816</v>
          </cell>
          <cell r="D1595">
            <v>1935032.7272727271</v>
          </cell>
        </row>
        <row r="1596">
          <cell r="A1596" t="str">
            <v>BAC395</v>
          </cell>
          <cell r="B1596" t="str">
            <v>RIZKI 99</v>
          </cell>
          <cell r="C1596">
            <v>168954.54545454544</v>
          </cell>
          <cell r="D1596">
            <v>28247485.90909091</v>
          </cell>
        </row>
        <row r="1597">
          <cell r="A1597" t="str">
            <v>BALAI</v>
          </cell>
          <cell r="B1597" t="str">
            <v>BALAI CANTIK,TOKO</v>
          </cell>
          <cell r="C1597">
            <v>2278583</v>
          </cell>
          <cell r="D1597">
            <v>847636.36363636353</v>
          </cell>
        </row>
        <row r="1598">
          <cell r="A1598" t="str">
            <v>BB</v>
          </cell>
          <cell r="B1598" t="str">
            <v>BINTANG BULAN MART,RASAU</v>
          </cell>
          <cell r="C1598">
            <v>333242.45454545459</v>
          </cell>
          <cell r="D1598">
            <v>1790818</v>
          </cell>
        </row>
        <row r="1599">
          <cell r="A1599" t="str">
            <v>BB.2</v>
          </cell>
          <cell r="B1599" t="str">
            <v>35 SHOP/BUSANA TERKINI,KETAPANG</v>
          </cell>
          <cell r="C1599">
            <v>7501136.7272727257</v>
          </cell>
          <cell r="D1599">
            <v>228861.81818181821</v>
          </cell>
        </row>
        <row r="1600">
          <cell r="A1600" t="str">
            <v>BBKTP</v>
          </cell>
          <cell r="B1600" t="str">
            <v>BB.BUSANA BARU,KETAPANG</v>
          </cell>
          <cell r="C1600">
            <v>1761077.7272727275</v>
          </cell>
          <cell r="D1600">
            <v>141979.09090909091</v>
          </cell>
        </row>
        <row r="1601">
          <cell r="A1601" t="str">
            <v>BBR010</v>
          </cell>
          <cell r="B1601" t="str">
            <v>APOTIK ANUGERAH JAMINPA</v>
          </cell>
          <cell r="C1601">
            <v>266400.00000000006</v>
          </cell>
          <cell r="D1601">
            <v>6511360.9090909073</v>
          </cell>
        </row>
        <row r="1602">
          <cell r="A1602" t="str">
            <v>BE</v>
          </cell>
          <cell r="B1602" t="str">
            <v>BEAUTY NEEDS COSMETIK</v>
          </cell>
          <cell r="C1602">
            <v>2135530.2272727271</v>
          </cell>
          <cell r="D1602">
            <v>1907181.8181818179</v>
          </cell>
        </row>
        <row r="1603">
          <cell r="A1603" t="str">
            <v>BEE.P</v>
          </cell>
          <cell r="B1603" t="str">
            <v>BEE BEAUTY,PINYUH</v>
          </cell>
          <cell r="C1603">
            <v>3520470.0000000005</v>
          </cell>
          <cell r="D1603">
            <v>2347498.6363636367</v>
          </cell>
        </row>
        <row r="1604">
          <cell r="A1604" t="str">
            <v>BJ</v>
          </cell>
          <cell r="B1604" t="str">
            <v>BINTANG JAYA, TO</v>
          </cell>
          <cell r="C1604">
            <v>49950.000000000015</v>
          </cell>
          <cell r="D1604">
            <v>811309.09090909106</v>
          </cell>
        </row>
        <row r="1605">
          <cell r="A1605" t="str">
            <v>BJI004</v>
          </cell>
          <cell r="B1605" t="str">
            <v>CT BINJAI</v>
          </cell>
          <cell r="C1605">
            <v>4631811.8181818184</v>
          </cell>
          <cell r="D1605">
            <v>456238.63636363635</v>
          </cell>
        </row>
        <row r="1606">
          <cell r="A1606" t="str">
            <v>BJI005</v>
          </cell>
          <cell r="B1606" t="str">
            <v>WILLOW MART</v>
          </cell>
          <cell r="C1606">
            <v>1563557.7272727271</v>
          </cell>
          <cell r="D1606">
            <v>133200</v>
          </cell>
        </row>
        <row r="1607">
          <cell r="A1607" t="str">
            <v>BJI017</v>
          </cell>
          <cell r="B1607" t="str">
            <v>ROLI</v>
          </cell>
          <cell r="C1607">
            <v>3892272.9545454551</v>
          </cell>
          <cell r="D1607">
            <v>4841346.8181818184</v>
          </cell>
        </row>
        <row r="1608">
          <cell r="A1608" t="str">
            <v>BJI030</v>
          </cell>
          <cell r="B1608" t="str">
            <v>V MART BINJAI</v>
          </cell>
          <cell r="C1608">
            <v>281103</v>
          </cell>
          <cell r="D1608">
            <v>75000</v>
          </cell>
        </row>
        <row r="1609">
          <cell r="A1609" t="str">
            <v>BJI033</v>
          </cell>
          <cell r="B1609" t="str">
            <v>BIMA MART</v>
          </cell>
          <cell r="C1609">
            <v>268609.09090909088</v>
          </cell>
          <cell r="D1609">
            <v>4179709.0909090904</v>
          </cell>
        </row>
        <row r="1610">
          <cell r="A1610" t="str">
            <v>BJI034</v>
          </cell>
          <cell r="B1610" t="str">
            <v>KIM COS</v>
          </cell>
          <cell r="C1610">
            <v>670025032.72727263</v>
          </cell>
          <cell r="D1610">
            <v>8407145.4545454551</v>
          </cell>
        </row>
        <row r="1611">
          <cell r="A1611" t="str">
            <v>BLG001</v>
          </cell>
          <cell r="B1611" t="str">
            <v>TOKO ALBERT</v>
          </cell>
          <cell r="C1611">
            <v>800615.45454545447</v>
          </cell>
          <cell r="D1611">
            <v>726754.09090909106</v>
          </cell>
        </row>
        <row r="1612">
          <cell r="A1612" t="str">
            <v>BLG003</v>
          </cell>
          <cell r="B1612" t="str">
            <v>APOTIK SERASI</v>
          </cell>
          <cell r="C1612">
            <v>434067.95454545453</v>
          </cell>
          <cell r="D1612">
            <v>680127.27272727259</v>
          </cell>
        </row>
        <row r="1613">
          <cell r="A1613" t="str">
            <v>BLG004</v>
          </cell>
          <cell r="B1613" t="str">
            <v>APOTIK RYAN FARMA</v>
          </cell>
          <cell r="C1613">
            <v>528324.54545454553</v>
          </cell>
          <cell r="D1613">
            <v>37229989.090909094</v>
          </cell>
        </row>
        <row r="1614">
          <cell r="A1614" t="str">
            <v>BLG007</v>
          </cell>
          <cell r="B1614" t="str">
            <v>APOTIK MEGA FARMA</v>
          </cell>
          <cell r="C1614">
            <v>568900</v>
          </cell>
          <cell r="D1614">
            <v>1005379.4545454544</v>
          </cell>
        </row>
        <row r="1615">
          <cell r="A1615" t="str">
            <v>BLW007</v>
          </cell>
          <cell r="B1615" t="str">
            <v>SUTIN</v>
          </cell>
          <cell r="C1615">
            <v>441679.09090909088</v>
          </cell>
          <cell r="D1615">
            <v>784626.13636363659</v>
          </cell>
        </row>
        <row r="1616">
          <cell r="A1616" t="str">
            <v>BORN1</v>
          </cell>
          <cell r="B1616" t="str">
            <v>BORNEO FRESH MART,DESKAP</v>
          </cell>
          <cell r="C1616">
            <v>602805.68181818177</v>
          </cell>
          <cell r="D1616">
            <v>37084.090909090912</v>
          </cell>
        </row>
        <row r="1617">
          <cell r="A1617" t="str">
            <v>BRG007</v>
          </cell>
          <cell r="B1617" t="str">
            <v>TOKO JOIS</v>
          </cell>
          <cell r="C1617">
            <v>942425.18181818188</v>
          </cell>
          <cell r="D1617">
            <v>848695.90909090906</v>
          </cell>
        </row>
        <row r="1618">
          <cell r="A1618" t="str">
            <v>BRG013</v>
          </cell>
          <cell r="B1618" t="str">
            <v>NUR</v>
          </cell>
          <cell r="C1618">
            <v>-121500</v>
          </cell>
          <cell r="D1618">
            <v>846004.09090909071</v>
          </cell>
        </row>
        <row r="1619">
          <cell r="A1619" t="str">
            <v>BRG016</v>
          </cell>
          <cell r="B1619" t="str">
            <v>TOKO 88</v>
          </cell>
          <cell r="C1619">
            <v>2203052.4545454546</v>
          </cell>
          <cell r="D1619">
            <v>1349860.9090909092</v>
          </cell>
        </row>
        <row r="1620">
          <cell r="A1620" t="str">
            <v>BRG025</v>
          </cell>
          <cell r="B1620" t="str">
            <v>TOKO MUSTIKA</v>
          </cell>
          <cell r="C1620">
            <v>2239357.727272728</v>
          </cell>
          <cell r="D1620">
            <v>856503.86363636353</v>
          </cell>
        </row>
        <row r="1621">
          <cell r="A1621" t="str">
            <v>BRG028</v>
          </cell>
          <cell r="B1621" t="str">
            <v>JUNTAK COSMETIC</v>
          </cell>
          <cell r="C1621">
            <v>2257437.2727272725</v>
          </cell>
          <cell r="D1621">
            <v>906796.36363636365</v>
          </cell>
        </row>
        <row r="1622">
          <cell r="A1622" t="str">
            <v>BRG029</v>
          </cell>
          <cell r="B1622" t="str">
            <v>TOKO SAM</v>
          </cell>
          <cell r="C1622">
            <v>1959373.6363636362</v>
          </cell>
          <cell r="D1622">
            <v>511026.13636363635</v>
          </cell>
        </row>
        <row r="1623">
          <cell r="A1623" t="str">
            <v>BRT</v>
          </cell>
          <cell r="B1623" t="str">
            <v>BARAT DAYA, TOKO / LIM NAM NENG</v>
          </cell>
          <cell r="C1623">
            <v>91541511.272727177</v>
          </cell>
          <cell r="D1623">
            <v>386805.68181818177</v>
          </cell>
        </row>
        <row r="1624">
          <cell r="A1624" t="str">
            <v>BTR-ARL</v>
          </cell>
          <cell r="B1624" t="str">
            <v>BATARA ARLOJI</v>
          </cell>
          <cell r="C1624">
            <v>1592789.7272727275</v>
          </cell>
          <cell r="D1624">
            <v>6996297.2727272753</v>
          </cell>
        </row>
        <row r="1625">
          <cell r="A1625" t="str">
            <v>C0003</v>
          </cell>
          <cell r="B1625" t="str">
            <v>MANGGA 2</v>
          </cell>
          <cell r="C1625">
            <v>305451.81818181818</v>
          </cell>
          <cell r="D1625">
            <v>397329.54545454541</v>
          </cell>
        </row>
        <row r="1626">
          <cell r="A1626" t="str">
            <v>C001</v>
          </cell>
          <cell r="B1626" t="str">
            <v>CAHAYA MART</v>
          </cell>
          <cell r="C1626">
            <v>609238.63636363624</v>
          </cell>
          <cell r="D1626">
            <v>2613833.1818181821</v>
          </cell>
        </row>
        <row r="1627">
          <cell r="A1627" t="str">
            <v>C0012</v>
          </cell>
          <cell r="B1627" t="str">
            <v>MELATI GEDONG</v>
          </cell>
          <cell r="C1627">
            <v>133200.00000000003</v>
          </cell>
          <cell r="D1627">
            <v>3910086.3636363619</v>
          </cell>
        </row>
        <row r="1628">
          <cell r="A1628" t="str">
            <v>C004</v>
          </cell>
          <cell r="B1628" t="str">
            <v>CATERINA / KUNSUN</v>
          </cell>
          <cell r="D1628">
            <v>212968.63636363635</v>
          </cell>
        </row>
        <row r="1629">
          <cell r="A1629" t="str">
            <v>C0060</v>
          </cell>
          <cell r="B1629" t="str">
            <v>AL-FATIH 1483</v>
          </cell>
          <cell r="C1629">
            <v>3761028.4090909101</v>
          </cell>
          <cell r="D1629">
            <v>457723.63636363641</v>
          </cell>
        </row>
        <row r="1630">
          <cell r="A1630" t="str">
            <v>C007</v>
          </cell>
          <cell r="B1630" t="str">
            <v>CINTA SHOP</v>
          </cell>
          <cell r="C1630">
            <v>6686290.9090909092</v>
          </cell>
          <cell r="D1630">
            <v>5384221.3181818174</v>
          </cell>
        </row>
        <row r="1631">
          <cell r="A1631" t="str">
            <v>C0081</v>
          </cell>
          <cell r="B1631" t="str">
            <v>MB. LESTARI KAJHU</v>
          </cell>
          <cell r="C1631">
            <v>1216179.5454545454</v>
          </cell>
          <cell r="D1631">
            <v>5761636.3636363633</v>
          </cell>
        </row>
        <row r="1632">
          <cell r="A1632" t="str">
            <v>C010</v>
          </cell>
          <cell r="B1632" t="str">
            <v>BINTAN HARAPAN</v>
          </cell>
          <cell r="C1632">
            <v>1889094.5454545456</v>
          </cell>
          <cell r="D1632">
            <v>133200</v>
          </cell>
        </row>
        <row r="1633">
          <cell r="A1633" t="str">
            <v>130-000470</v>
          </cell>
          <cell r="B1633" t="str">
            <v>CITRA SWL ADINEGORO</v>
          </cell>
          <cell r="C1633">
            <v>1886318.5909090915</v>
          </cell>
          <cell r="D1633">
            <v>216954.54545454547</v>
          </cell>
        </row>
        <row r="1634">
          <cell r="A1634" t="str">
            <v>C011</v>
          </cell>
          <cell r="B1634" t="str">
            <v>CITRA SWL ANDALAS</v>
          </cell>
          <cell r="C1634">
            <v>614352.27272727282</v>
          </cell>
          <cell r="D1634">
            <v>1873540.9090909092</v>
          </cell>
        </row>
        <row r="1635">
          <cell r="A1635" t="str">
            <v>C0113</v>
          </cell>
          <cell r="B1635" t="str">
            <v>KIOS UNIK</v>
          </cell>
          <cell r="C1635">
            <v>1321218.5454545454</v>
          </cell>
          <cell r="D1635">
            <v>3753818.1818181816</v>
          </cell>
        </row>
        <row r="1636">
          <cell r="A1636" t="str">
            <v>C0115</v>
          </cell>
          <cell r="B1636" t="str">
            <v>EMHA</v>
          </cell>
          <cell r="C1636">
            <v>3963368.1818181821</v>
          </cell>
          <cell r="D1636">
            <v>6031383.5454545468</v>
          </cell>
        </row>
        <row r="1637">
          <cell r="A1637" t="str">
            <v>C012</v>
          </cell>
          <cell r="B1637" t="str">
            <v>CITRA SWL BALAI BARU</v>
          </cell>
          <cell r="C1637">
            <v>860156.59090909082</v>
          </cell>
          <cell r="D1637">
            <v>158931.81818181818</v>
          </cell>
        </row>
        <row r="1638">
          <cell r="A1638" t="str">
            <v>C013</v>
          </cell>
          <cell r="B1638" t="str">
            <v>CITRA SWL BELIMBING</v>
          </cell>
          <cell r="C1638">
            <v>1653304.0909090913</v>
          </cell>
          <cell r="D1638">
            <v>410573.86363636365</v>
          </cell>
        </row>
        <row r="1639">
          <cell r="A1639" t="str">
            <v>C0130</v>
          </cell>
          <cell r="B1639" t="str">
            <v>ANAK GALONG</v>
          </cell>
          <cell r="C1639">
            <v>1226131.3636363635</v>
          </cell>
          <cell r="D1639">
            <v>1301989.0909090908</v>
          </cell>
        </row>
        <row r="1640">
          <cell r="A1640" t="str">
            <v>C0133</v>
          </cell>
          <cell r="B1640" t="str">
            <v>CITRA INDAH MERDU</v>
          </cell>
          <cell r="C1640">
            <v>1493585.4545454546</v>
          </cell>
          <cell r="D1640">
            <v>675818.18181818177</v>
          </cell>
        </row>
        <row r="1641">
          <cell r="A1641" t="str">
            <v>C014</v>
          </cell>
          <cell r="B1641" t="str">
            <v>CITRA SWL GAJAH MADA</v>
          </cell>
          <cell r="C1641">
            <v>2886823.6363636372</v>
          </cell>
          <cell r="D1641">
            <v>643101.13636363624</v>
          </cell>
        </row>
        <row r="1642">
          <cell r="A1642" t="str">
            <v>C0142</v>
          </cell>
          <cell r="B1642" t="str">
            <v>RED A</v>
          </cell>
          <cell r="C1642">
            <v>2130591.8181818179</v>
          </cell>
          <cell r="D1642">
            <v>336405.68181818182</v>
          </cell>
        </row>
        <row r="1643">
          <cell r="A1643" t="str">
            <v>C0147</v>
          </cell>
          <cell r="B1643" t="str">
            <v>NASABAH</v>
          </cell>
          <cell r="C1643">
            <v>19166143.63636364</v>
          </cell>
          <cell r="D1643">
            <v>2148455.4545454541</v>
          </cell>
        </row>
        <row r="1644">
          <cell r="A1644" t="str">
            <v>C015</v>
          </cell>
          <cell r="B1644" t="str">
            <v>CITRA SWL KALUMBUK</v>
          </cell>
          <cell r="C1644">
            <v>628240.90909090906</v>
          </cell>
          <cell r="D1644">
            <v>79465.909090909088</v>
          </cell>
        </row>
        <row r="1645">
          <cell r="A1645" t="str">
            <v>C0158</v>
          </cell>
          <cell r="B1645" t="str">
            <v>ADIVA COS</v>
          </cell>
          <cell r="C1645">
            <v>2074474.0909090908</v>
          </cell>
          <cell r="D1645">
            <v>522204.54545454541</v>
          </cell>
        </row>
        <row r="1646">
          <cell r="A1646" t="str">
            <v>C016</v>
          </cell>
          <cell r="B1646" t="str">
            <v>CITRA SWL KURANJI</v>
          </cell>
          <cell r="C1646">
            <v>2514326.5909090913</v>
          </cell>
          <cell r="D1646">
            <v>1498309.0909090908</v>
          </cell>
        </row>
        <row r="1647">
          <cell r="A1647" t="str">
            <v>C0162</v>
          </cell>
          <cell r="B1647" t="str">
            <v>ZIYA SWALAYAN</v>
          </cell>
          <cell r="C1647">
            <v>893400</v>
          </cell>
          <cell r="D1647">
            <v>266400</v>
          </cell>
        </row>
        <row r="1648">
          <cell r="A1648" t="str">
            <v>C018</v>
          </cell>
          <cell r="B1648" t="str">
            <v>CITRA SWL PARAK GADANG</v>
          </cell>
          <cell r="C1648">
            <v>2154683.5909090918</v>
          </cell>
          <cell r="D1648">
            <v>111252.27272727275</v>
          </cell>
        </row>
        <row r="1649">
          <cell r="A1649" t="str">
            <v>C0180</v>
          </cell>
          <cell r="B1649" t="str">
            <v>MAMA MART</v>
          </cell>
          <cell r="C1649">
            <v>810000</v>
          </cell>
          <cell r="D1649">
            <v>532698.63636363635</v>
          </cell>
        </row>
        <row r="1650">
          <cell r="A1650" t="str">
            <v>C0181</v>
          </cell>
          <cell r="B1650" t="str">
            <v>ADI RAHMAT</v>
          </cell>
          <cell r="C1650">
            <v>-369251.59090909094</v>
          </cell>
          <cell r="D1650">
            <v>49950.000000000015</v>
          </cell>
        </row>
        <row r="1651">
          <cell r="A1651" t="str">
            <v>C0185</v>
          </cell>
          <cell r="B1651" t="str">
            <v>BERKAH ABADI</v>
          </cell>
          <cell r="C1651">
            <v>1740002.7272727275</v>
          </cell>
          <cell r="D1651">
            <v>1297431.8181818186</v>
          </cell>
        </row>
        <row r="1652">
          <cell r="A1652" t="str">
            <v>C0187</v>
          </cell>
          <cell r="B1652" t="str">
            <v>TIA JAYA (PAJAK)</v>
          </cell>
          <cell r="C1652">
            <v>24006272.72727273</v>
          </cell>
          <cell r="D1652">
            <v>2261796.3636363642</v>
          </cell>
        </row>
        <row r="1653">
          <cell r="A1653" t="str">
            <v>C019</v>
          </cell>
          <cell r="B1653" t="str">
            <v>KURNIA JAYA</v>
          </cell>
          <cell r="C1653">
            <v>6006307.9090909101</v>
          </cell>
          <cell r="D1653">
            <v>593918.18181818177</v>
          </cell>
        </row>
        <row r="1654">
          <cell r="A1654" t="str">
            <v>C0196</v>
          </cell>
          <cell r="B1654" t="str">
            <v>SULTAN MELABOH</v>
          </cell>
          <cell r="C1654">
            <v>199800.00000000006</v>
          </cell>
          <cell r="D1654">
            <v>1702628.1818181816</v>
          </cell>
        </row>
        <row r="1655">
          <cell r="A1655" t="str">
            <v>C020</v>
          </cell>
          <cell r="B1655" t="str">
            <v>CITRA SWL PEGAMBIRAN</v>
          </cell>
          <cell r="C1655">
            <v>250506.81818181821</v>
          </cell>
          <cell r="D1655">
            <v>2554564.0909090908</v>
          </cell>
        </row>
        <row r="1656">
          <cell r="A1656" t="str">
            <v>C0200</v>
          </cell>
          <cell r="B1656" t="str">
            <v>ALVIN COSMETIK (PAJAK)</v>
          </cell>
          <cell r="D1656">
            <v>1487904.5454545452</v>
          </cell>
        </row>
        <row r="1657">
          <cell r="A1657" t="str">
            <v>C0202</v>
          </cell>
          <cell r="B1657" t="str">
            <v>SULTAN BILUY</v>
          </cell>
          <cell r="C1657">
            <v>1086916.5</v>
          </cell>
          <cell r="D1657">
            <v>479368.63636363635</v>
          </cell>
        </row>
        <row r="1658">
          <cell r="A1658" t="str">
            <v>C0203</v>
          </cell>
          <cell r="B1658" t="str">
            <v>MENTARI ( BLANG PIDIE ) PAJAK</v>
          </cell>
          <cell r="C1658">
            <v>2799292.5</v>
          </cell>
          <cell r="D1658">
            <v>317863.63636363635</v>
          </cell>
        </row>
        <row r="1659">
          <cell r="A1659" t="str">
            <v>C0209</v>
          </cell>
          <cell r="B1659" t="str">
            <v>YUSRA MARKET</v>
          </cell>
          <cell r="C1659">
            <v>1293413.8636363638</v>
          </cell>
          <cell r="D1659">
            <v>222504.5454545455</v>
          </cell>
        </row>
        <row r="1660">
          <cell r="A1660" t="str">
            <v>C021</v>
          </cell>
          <cell r="B1660" t="str">
            <v>CITRA SWL SEI.BALANG</v>
          </cell>
          <cell r="C1660">
            <v>723129.54545454541</v>
          </cell>
          <cell r="D1660">
            <v>300000</v>
          </cell>
        </row>
        <row r="1661">
          <cell r="A1661" t="str">
            <v>C0213</v>
          </cell>
          <cell r="B1661" t="str">
            <v>ILHAM INDAH</v>
          </cell>
          <cell r="C1661">
            <v>342339940.63636345</v>
          </cell>
          <cell r="D1661">
            <v>266400</v>
          </cell>
        </row>
        <row r="1662">
          <cell r="A1662" t="str">
            <v>C0217</v>
          </cell>
          <cell r="B1662" t="str">
            <v>THAHARA MARKET</v>
          </cell>
          <cell r="C1662">
            <v>619361.59090909094</v>
          </cell>
          <cell r="D1662">
            <v>1598400</v>
          </cell>
        </row>
        <row r="1663">
          <cell r="A1663" t="str">
            <v>C0223</v>
          </cell>
          <cell r="B1663" t="str">
            <v>NADIF COSMETICS (PAJAK)</v>
          </cell>
          <cell r="C1663">
            <v>1703749.0909090908</v>
          </cell>
          <cell r="D1663">
            <v>1181600.4545454548</v>
          </cell>
        </row>
        <row r="1664">
          <cell r="A1664" t="str">
            <v>C0228</v>
          </cell>
          <cell r="B1664" t="str">
            <v>JASA FAMILY</v>
          </cell>
          <cell r="C1664">
            <v>467713.63636363641</v>
          </cell>
          <cell r="D1664">
            <v>21891532.09090909</v>
          </cell>
        </row>
        <row r="1665">
          <cell r="A1665" t="str">
            <v>C023</v>
          </cell>
          <cell r="B1665" t="str">
            <v>CITRA SWL THAMRIN</v>
          </cell>
          <cell r="C1665">
            <v>5080579.7272727285</v>
          </cell>
          <cell r="D1665">
            <v>2645937.2727272725</v>
          </cell>
        </row>
        <row r="1666">
          <cell r="A1666" t="str">
            <v>C0286</v>
          </cell>
          <cell r="B1666" t="str">
            <v>PRINCES COSMETIK</v>
          </cell>
          <cell r="C1666">
            <v>12627397.500000002</v>
          </cell>
          <cell r="D1666">
            <v>3555276.1363636386</v>
          </cell>
        </row>
        <row r="1667">
          <cell r="A1667" t="str">
            <v>C029</v>
          </cell>
          <cell r="B1667" t="str">
            <v>LIMAN BERSAUDARA</v>
          </cell>
          <cell r="C1667">
            <v>911043.06818181812</v>
          </cell>
          <cell r="D1667">
            <v>168954.54545454544</v>
          </cell>
        </row>
        <row r="1668">
          <cell r="A1668" t="str">
            <v>C0297</v>
          </cell>
          <cell r="B1668" t="str">
            <v>KASIMURA SABANG</v>
          </cell>
          <cell r="C1668">
            <v>4684265.4545454541</v>
          </cell>
          <cell r="D1668">
            <v>497642.72727272718</v>
          </cell>
        </row>
        <row r="1669">
          <cell r="A1669" t="str">
            <v>C031</v>
          </cell>
          <cell r="B1669" t="str">
            <v>CECE BEAUTY STORE</v>
          </cell>
          <cell r="C1669">
            <v>1297670.4545454546</v>
          </cell>
          <cell r="D1669">
            <v>202827.27272727274</v>
          </cell>
        </row>
        <row r="1670">
          <cell r="A1670" t="str">
            <v>130-003812</v>
          </cell>
          <cell r="B1670" t="str">
            <v>CV. SUKSES VICTORY JAYA</v>
          </cell>
          <cell r="C1670">
            <v>197736341.01409087</v>
          </cell>
          <cell r="D1670">
            <v>361002.27272727282</v>
          </cell>
        </row>
        <row r="1671">
          <cell r="A1671" t="str">
            <v>C0311</v>
          </cell>
          <cell r="B1671" t="str">
            <v>NADINA</v>
          </cell>
          <cell r="C1671">
            <v>1502755.4545454546</v>
          </cell>
          <cell r="D1671">
            <v>56700</v>
          </cell>
        </row>
        <row r="1672">
          <cell r="A1672" t="str">
            <v>C0314</v>
          </cell>
          <cell r="B1672" t="str">
            <v>SARAH MART</v>
          </cell>
          <cell r="C1672">
            <v>9407346.1363636367</v>
          </cell>
          <cell r="D1672">
            <v>2766170.4545454541</v>
          </cell>
        </row>
        <row r="1673">
          <cell r="A1673" t="str">
            <v>C032</v>
          </cell>
          <cell r="B1673" t="str">
            <v>CITRA MART CENGKEH</v>
          </cell>
          <cell r="C1673">
            <v>1131737.0454545454</v>
          </cell>
          <cell r="D1673">
            <v>2321522.7272727275</v>
          </cell>
        </row>
        <row r="1674">
          <cell r="A1674" t="str">
            <v>C0326</v>
          </cell>
          <cell r="B1674" t="str">
            <v>RAMA JAYA</v>
          </cell>
          <cell r="C1674">
            <v>-37084.090909090912</v>
          </cell>
          <cell r="D1674">
            <v>133200</v>
          </cell>
        </row>
        <row r="1675">
          <cell r="A1675" t="str">
            <v>C0327</v>
          </cell>
          <cell r="B1675" t="str">
            <v>ALFAIZ GROCER</v>
          </cell>
          <cell r="C1675">
            <v>337909.09090909088</v>
          </cell>
          <cell r="D1675">
            <v>1569600</v>
          </cell>
        </row>
        <row r="1676">
          <cell r="A1676" t="str">
            <v>C033</v>
          </cell>
          <cell r="B1676" t="str">
            <v>CITRA MART TABING</v>
          </cell>
          <cell r="C1676">
            <v>2143405.2272727275</v>
          </cell>
          <cell r="D1676">
            <v>266400</v>
          </cell>
        </row>
        <row r="1677">
          <cell r="A1677" t="str">
            <v>C034</v>
          </cell>
          <cell r="B1677" t="str">
            <v>CITRA SWL SITEBA</v>
          </cell>
          <cell r="C1677">
            <v>1441809.9545454544</v>
          </cell>
          <cell r="D1677">
            <v>9855891.8181818184</v>
          </cell>
        </row>
        <row r="1678">
          <cell r="A1678" t="str">
            <v>C0344</v>
          </cell>
          <cell r="B1678" t="str">
            <v>RAHMAT SEJAHTERA</v>
          </cell>
          <cell r="C1678">
            <v>274336.36363636365</v>
          </cell>
          <cell r="D1678">
            <v>63000</v>
          </cell>
        </row>
        <row r="1679">
          <cell r="A1679" t="str">
            <v>C037</v>
          </cell>
          <cell r="B1679" t="str">
            <v>CINDY COS</v>
          </cell>
          <cell r="C1679">
            <v>7628727.2727272725</v>
          </cell>
          <cell r="D1679">
            <v>-688704.54545454541</v>
          </cell>
        </row>
        <row r="1680">
          <cell r="A1680" t="str">
            <v>C0373</v>
          </cell>
          <cell r="B1680" t="str">
            <v>TK. CASH</v>
          </cell>
          <cell r="C1680">
            <v>80318.181818181823</v>
          </cell>
          <cell r="D1680">
            <v>88800</v>
          </cell>
        </row>
        <row r="1681">
          <cell r="A1681" t="str">
            <v>C0380</v>
          </cell>
          <cell r="B1681" t="str">
            <v>UD. MELJI</v>
          </cell>
          <cell r="C1681">
            <v>773496.818181818</v>
          </cell>
          <cell r="D1681">
            <v>1130989.0909090906</v>
          </cell>
        </row>
        <row r="1682">
          <cell r="A1682" t="str">
            <v>C039</v>
          </cell>
          <cell r="B1682" t="str">
            <v>CITRA EXPRESS AMBACANG</v>
          </cell>
          <cell r="C1682">
            <v>945602.72727272729</v>
          </cell>
          <cell r="D1682">
            <v>13750093.636363639</v>
          </cell>
        </row>
        <row r="1683">
          <cell r="A1683" t="str">
            <v>C0395</v>
          </cell>
          <cell r="B1683" t="str">
            <v>SULTAN 2</v>
          </cell>
          <cell r="C1683">
            <v>851038.63636363647</v>
          </cell>
          <cell r="D1683">
            <v>1847912.7272727271</v>
          </cell>
        </row>
        <row r="1684">
          <cell r="A1684" t="str">
            <v>C040</v>
          </cell>
          <cell r="B1684" t="str">
            <v>CV.RIAS KOSMETIK PERDANA</v>
          </cell>
          <cell r="C1684">
            <v>2281256.3636363638</v>
          </cell>
          <cell r="D1684">
            <v>451063.63636363629</v>
          </cell>
        </row>
        <row r="1685">
          <cell r="A1685" t="str">
            <v>C0401</v>
          </cell>
          <cell r="B1685" t="str">
            <v>CUT NUN SWALAYAN</v>
          </cell>
          <cell r="C1685">
            <v>4373785.6818181816</v>
          </cell>
          <cell r="D1685">
            <v>431263.63636363635</v>
          </cell>
        </row>
        <row r="1686">
          <cell r="A1686" t="str">
            <v>C0412</v>
          </cell>
          <cell r="B1686" t="str">
            <v>ICA COS</v>
          </cell>
          <cell r="C1686">
            <v>2201280</v>
          </cell>
          <cell r="D1686">
            <v>317863.63636363629</v>
          </cell>
        </row>
        <row r="1687">
          <cell r="A1687" t="str">
            <v>C0413</v>
          </cell>
          <cell r="B1687" t="str">
            <v>MUSTAJAB 2</v>
          </cell>
          <cell r="C1687">
            <v>49950.000000000015</v>
          </cell>
          <cell r="D1687">
            <v>1133957.9545454544</v>
          </cell>
        </row>
        <row r="1688">
          <cell r="A1688" t="str">
            <v>C042</v>
          </cell>
          <cell r="B1688" t="str">
            <v>BINTAN JAYA TELEMEDIA</v>
          </cell>
          <cell r="C1688">
            <v>2600493</v>
          </cell>
          <cell r="D1688">
            <v>18542.045454545456</v>
          </cell>
        </row>
        <row r="1689">
          <cell r="A1689" t="str">
            <v>C043</v>
          </cell>
          <cell r="B1689" t="str">
            <v>CV.GEMILANG BUAH UTAMA</v>
          </cell>
          <cell r="C1689">
            <v>556200.00000000012</v>
          </cell>
          <cell r="D1689">
            <v>1075945.9090909092</v>
          </cell>
        </row>
        <row r="1690">
          <cell r="A1690" t="str">
            <v>C0439</v>
          </cell>
          <cell r="B1690" t="str">
            <v>ICUT COSMETIC</v>
          </cell>
          <cell r="C1690">
            <v>12984034.090909095</v>
          </cell>
          <cell r="D1690">
            <v>199800.00000000006</v>
          </cell>
        </row>
        <row r="1691">
          <cell r="A1691" t="str">
            <v>C044</v>
          </cell>
          <cell r="B1691" t="str">
            <v>CITRA EXPRESS PADANG BARU</v>
          </cell>
          <cell r="C1691">
            <v>3411206.5909090913</v>
          </cell>
          <cell r="D1691">
            <v>37084.090909090912</v>
          </cell>
        </row>
        <row r="1692">
          <cell r="A1692" t="str">
            <v>C0445</v>
          </cell>
          <cell r="B1692" t="str">
            <v>ARCI MART</v>
          </cell>
          <cell r="C1692">
            <v>-158871.27272727271</v>
          </cell>
          <cell r="D1692">
            <v>4131692.2272727271</v>
          </cell>
        </row>
        <row r="1693">
          <cell r="A1693" t="str">
            <v>C0457</v>
          </cell>
          <cell r="B1693" t="str">
            <v>ADI TOSERBA</v>
          </cell>
          <cell r="C1693">
            <v>25782676.363636371</v>
          </cell>
          <cell r="D1693">
            <v>2251200</v>
          </cell>
        </row>
        <row r="1694">
          <cell r="A1694" t="str">
            <v>C049</v>
          </cell>
          <cell r="B1694" t="str">
            <v>BINTAN SUKSES ABADI</v>
          </cell>
          <cell r="C1694">
            <v>2098702.6363636367</v>
          </cell>
          <cell r="D1694">
            <v>606600</v>
          </cell>
        </row>
        <row r="1695">
          <cell r="A1695" t="str">
            <v>C0491</v>
          </cell>
          <cell r="B1695" t="str">
            <v>ANANDA SWALAYAN</v>
          </cell>
          <cell r="D1695">
            <v>116550.00000000003</v>
          </cell>
        </row>
        <row r="1696">
          <cell r="A1696" t="str">
            <v>C0515</v>
          </cell>
          <cell r="B1696" t="str">
            <v>FAJAR MART</v>
          </cell>
          <cell r="C1696">
            <v>2422917.2727272729</v>
          </cell>
          <cell r="D1696">
            <v>567000</v>
          </cell>
        </row>
        <row r="1697">
          <cell r="A1697" t="str">
            <v>C0518</v>
          </cell>
          <cell r="B1697" t="str">
            <v>TUNAS BARU</v>
          </cell>
          <cell r="C1697">
            <v>2243622</v>
          </cell>
          <cell r="D1697">
            <v>5175185.4545454541</v>
          </cell>
        </row>
        <row r="1698">
          <cell r="A1698" t="str">
            <v>C0519</v>
          </cell>
          <cell r="B1698" t="str">
            <v>PILAR MART</v>
          </cell>
          <cell r="C1698">
            <v>639595.90909090918</v>
          </cell>
          <cell r="D1698">
            <v>113400</v>
          </cell>
        </row>
        <row r="1699">
          <cell r="A1699" t="str">
            <v>C0530</v>
          </cell>
          <cell r="B1699" t="str">
            <v>SELAYANG BARU 2</v>
          </cell>
          <cell r="C1699">
            <v>286077.27272727271</v>
          </cell>
          <cell r="D1699">
            <v>10903300.90909091</v>
          </cell>
        </row>
        <row r="1700">
          <cell r="A1700" t="str">
            <v>C0568</v>
          </cell>
          <cell r="B1700" t="str">
            <v>UNA COS</v>
          </cell>
          <cell r="C1700">
            <v>-87412.5</v>
          </cell>
          <cell r="D1700">
            <v>476881.36363636365</v>
          </cell>
        </row>
        <row r="1701">
          <cell r="A1701" t="str">
            <v>C0581</v>
          </cell>
          <cell r="B1701" t="str">
            <v>NUSA INDAH</v>
          </cell>
          <cell r="C1701">
            <v>6145510.0909090927</v>
          </cell>
          <cell r="D1701">
            <v>1631511.8181818179</v>
          </cell>
        </row>
        <row r="1702">
          <cell r="A1702" t="str">
            <v>C0582</v>
          </cell>
          <cell r="B1702" t="str">
            <v>SUMBER COSMETIC</v>
          </cell>
          <cell r="C1702">
            <v>6467162.7272727275</v>
          </cell>
          <cell r="D1702">
            <v>386762.72727272729</v>
          </cell>
        </row>
        <row r="1703">
          <cell r="A1703" t="str">
            <v>C0625</v>
          </cell>
          <cell r="B1703" t="str">
            <v>MV. BINTANG COS</v>
          </cell>
          <cell r="C1703">
            <v>4773339.7727272734</v>
          </cell>
          <cell r="D1703">
            <v>453600</v>
          </cell>
        </row>
        <row r="1704">
          <cell r="A1704" t="str">
            <v>C0650</v>
          </cell>
          <cell r="B1704" t="str">
            <v>ADI MARKET</v>
          </cell>
          <cell r="C1704">
            <v>770443.36363636376</v>
          </cell>
          <cell r="D1704">
            <v>993792.27272727259</v>
          </cell>
        </row>
        <row r="1705">
          <cell r="A1705" t="str">
            <v>C0653</v>
          </cell>
          <cell r="B1705" t="str">
            <v>MHD MARKET</v>
          </cell>
          <cell r="C1705">
            <v>1068158.8636363635</v>
          </cell>
          <cell r="D1705">
            <v>951494.99999999988</v>
          </cell>
        </row>
        <row r="1706">
          <cell r="A1706" t="str">
            <v>C0662</v>
          </cell>
          <cell r="B1706" t="str">
            <v>BASRAH JAYA</v>
          </cell>
          <cell r="C1706">
            <v>487759.09090909094</v>
          </cell>
          <cell r="D1706">
            <v>606441.81818181823</v>
          </cell>
        </row>
        <row r="1707">
          <cell r="A1707" t="str">
            <v>C0669</v>
          </cell>
          <cell r="B1707" t="str">
            <v>DVR SHOP</v>
          </cell>
          <cell r="C1707">
            <v>993647.72727272718</v>
          </cell>
          <cell r="D1707">
            <v>620361.81818181812</v>
          </cell>
        </row>
        <row r="1708">
          <cell r="A1708" t="str">
            <v>C0672</v>
          </cell>
          <cell r="B1708" t="str">
            <v>NANGGROE SWALAYAN</v>
          </cell>
          <cell r="C1708">
            <v>286001.59090909094</v>
          </cell>
          <cell r="D1708">
            <v>9220416.8181818165</v>
          </cell>
        </row>
        <row r="1709">
          <cell r="A1709" t="str">
            <v>C068</v>
          </cell>
          <cell r="B1709" t="str">
            <v>MEGA TOY</v>
          </cell>
          <cell r="C1709">
            <v>88800.000000000015</v>
          </cell>
          <cell r="D1709">
            <v>441362.72727272729</v>
          </cell>
        </row>
        <row r="1710">
          <cell r="A1710" t="str">
            <v>C0695</v>
          </cell>
          <cell r="B1710" t="str">
            <v>FIDA COS</v>
          </cell>
          <cell r="C1710">
            <v>1988443.6363636365</v>
          </cell>
          <cell r="D1710">
            <v>8049886.3636363652</v>
          </cell>
        </row>
        <row r="1711">
          <cell r="A1711" t="str">
            <v>C0718</v>
          </cell>
          <cell r="B1711" t="str">
            <v>HS OFFICIAL</v>
          </cell>
          <cell r="C1711">
            <v>34026793.636363655</v>
          </cell>
          <cell r="D1711">
            <v>4430975.4545454551</v>
          </cell>
        </row>
        <row r="1712">
          <cell r="A1712">
            <v>200053</v>
          </cell>
          <cell r="B1712" t="str">
            <v>HS OFFICIAL ( PAJAK )</v>
          </cell>
          <cell r="D1712">
            <v>24912339.818181816</v>
          </cell>
        </row>
        <row r="1713">
          <cell r="A1713" t="str">
            <v>C072</v>
          </cell>
          <cell r="B1713" t="str">
            <v>HOKI MART</v>
          </cell>
          <cell r="C1713">
            <v>1642187.1818181816</v>
          </cell>
          <cell r="D1713">
            <v>1890501.3636363633</v>
          </cell>
        </row>
        <row r="1714">
          <cell r="A1714" t="str">
            <v>C073</v>
          </cell>
          <cell r="B1714" t="str">
            <v>CT MART / BUDI</v>
          </cell>
          <cell r="C1714">
            <v>480583.63636363629</v>
          </cell>
          <cell r="D1714">
            <v>264888.18181818182</v>
          </cell>
        </row>
        <row r="1715">
          <cell r="A1715" t="str">
            <v>C076</v>
          </cell>
          <cell r="B1715" t="str">
            <v>CV. BINTAN MARINDO PERMAI</v>
          </cell>
          <cell r="C1715">
            <v>206038.63636363635</v>
          </cell>
          <cell r="D1715">
            <v>1589323.6363636362</v>
          </cell>
        </row>
        <row r="1716">
          <cell r="A1716" t="str">
            <v>C0768</v>
          </cell>
          <cell r="B1716" t="str">
            <v>TABINA 2</v>
          </cell>
          <cell r="C1716">
            <v>1059985.2272727275</v>
          </cell>
          <cell r="D1716">
            <v>317865.09090909094</v>
          </cell>
        </row>
        <row r="1717">
          <cell r="A1717" t="str">
            <v>C0770</v>
          </cell>
          <cell r="B1717" t="str">
            <v>HIJRAH SWALAYAN</v>
          </cell>
          <cell r="C1717">
            <v>1476231.1363636365</v>
          </cell>
          <cell r="D1717">
            <v>867770.99999999988</v>
          </cell>
        </row>
        <row r="1718">
          <cell r="A1718" t="str">
            <v>C0790</v>
          </cell>
          <cell r="B1718" t="str">
            <v>HSCO</v>
          </cell>
          <cell r="C1718">
            <v>-44400.000000000007</v>
          </cell>
          <cell r="D1718">
            <v>4755870</v>
          </cell>
        </row>
        <row r="1719">
          <cell r="A1719" t="str">
            <v>C0793</v>
          </cell>
          <cell r="B1719" t="str">
            <v>PLANET COS</v>
          </cell>
          <cell r="C1719">
            <v>4705118.1818181816</v>
          </cell>
          <cell r="D1719">
            <v>331057.18181818182</v>
          </cell>
        </row>
        <row r="1720">
          <cell r="A1720" t="str">
            <v>C0814</v>
          </cell>
          <cell r="B1720" t="str">
            <v>VYA OLSHOP</v>
          </cell>
          <cell r="C1720">
            <v>6788869.5454545459</v>
          </cell>
          <cell r="D1720">
            <v>3593077.4545454565</v>
          </cell>
        </row>
        <row r="1721">
          <cell r="A1721" t="str">
            <v>C0819</v>
          </cell>
          <cell r="B1721" t="str">
            <v>ALVIN SWALAYAN (PAJAK )</v>
          </cell>
          <cell r="C1721">
            <v>-67760.454545454559</v>
          </cell>
          <cell r="D1721">
            <v>6497218.9090909101</v>
          </cell>
        </row>
        <row r="1722">
          <cell r="A1722" t="str">
            <v>C0901</v>
          </cell>
          <cell r="B1722" t="str">
            <v>MERRY JAYA</v>
          </cell>
          <cell r="C1722">
            <v>686239.09090909082</v>
          </cell>
          <cell r="D1722">
            <v>210000</v>
          </cell>
        </row>
        <row r="1723">
          <cell r="A1723" t="str">
            <v>C0947</v>
          </cell>
          <cell r="B1723" t="str">
            <v>ARIQA COS</v>
          </cell>
          <cell r="C1723">
            <v>8035809.5454545468</v>
          </cell>
          <cell r="D1723">
            <v>10605249.545454551</v>
          </cell>
        </row>
        <row r="1724">
          <cell r="A1724" t="str">
            <v>C0950</v>
          </cell>
          <cell r="B1724" t="str">
            <v>CITRA COS ULIM</v>
          </cell>
          <cell r="C1724">
            <v>5497798.1818181816</v>
          </cell>
          <cell r="D1724">
            <v>133200.00000000003</v>
          </cell>
        </row>
        <row r="1725">
          <cell r="A1725" t="str">
            <v>C0957</v>
          </cell>
          <cell r="B1725" t="str">
            <v>DUNIA ANAK</v>
          </cell>
          <cell r="C1725">
            <v>2517088.6363636362</v>
          </cell>
          <cell r="D1725">
            <v>175178.18181818185</v>
          </cell>
        </row>
        <row r="1726">
          <cell r="A1726" t="str">
            <v>C0969</v>
          </cell>
          <cell r="B1726" t="str">
            <v>ASYIFA COS</v>
          </cell>
          <cell r="C1726">
            <v>1457404.7727272727</v>
          </cell>
          <cell r="D1726">
            <v>265945.90909090906</v>
          </cell>
        </row>
        <row r="1727">
          <cell r="A1727" t="str">
            <v>C1296</v>
          </cell>
          <cell r="B1727" t="str">
            <v>CAHAYA CITRA</v>
          </cell>
          <cell r="C1727">
            <v>9778655.4545454551</v>
          </cell>
          <cell r="D1727">
            <v>1991181.8181818179</v>
          </cell>
        </row>
        <row r="1728">
          <cell r="A1728" t="str">
            <v>C1328</v>
          </cell>
          <cell r="B1728" t="str">
            <v>MITA AGUNG</v>
          </cell>
          <cell r="C1728">
            <v>372354.54545454553</v>
          </cell>
          <cell r="D1728">
            <v>813891.81818181812</v>
          </cell>
        </row>
        <row r="1729">
          <cell r="A1729" t="str">
            <v>C1332</v>
          </cell>
          <cell r="B1729" t="str">
            <v>RESTU IBU</v>
          </cell>
          <cell r="C1729">
            <v>551995.90909090906</v>
          </cell>
          <cell r="D1729">
            <v>688704.54545454541</v>
          </cell>
        </row>
        <row r="1730">
          <cell r="A1730" t="str">
            <v>C1333</v>
          </cell>
          <cell r="B1730" t="str">
            <v>OSAKA MART</v>
          </cell>
          <cell r="C1730">
            <v>1353190.9090909089</v>
          </cell>
          <cell r="D1730">
            <v>205022.04545454547</v>
          </cell>
        </row>
        <row r="1731">
          <cell r="A1731" t="str">
            <v>C1335</v>
          </cell>
          <cell r="B1731" t="str">
            <v>RAUDHAH MARKET</v>
          </cell>
          <cell r="C1731">
            <v>1323581.7272727275</v>
          </cell>
          <cell r="D1731">
            <v>6992999.9999999981</v>
          </cell>
        </row>
        <row r="1732">
          <cell r="A1732" t="str">
            <v>C1982</v>
          </cell>
          <cell r="B1732" t="str">
            <v>UD. BALQIS</v>
          </cell>
          <cell r="C1732">
            <v>63000</v>
          </cell>
          <cell r="D1732">
            <v>52977.272727272728</v>
          </cell>
        </row>
        <row r="1733">
          <cell r="A1733" t="str">
            <v>C1983</v>
          </cell>
          <cell r="B1733" t="str">
            <v>KHANSA COS</v>
          </cell>
          <cell r="C1733">
            <v>1862152.7272727273</v>
          </cell>
          <cell r="D1733">
            <v>909090</v>
          </cell>
        </row>
        <row r="1734">
          <cell r="A1734" t="str">
            <v>C2012</v>
          </cell>
          <cell r="B1734" t="str">
            <v>IIS KOSMETIK</v>
          </cell>
          <cell r="C1734">
            <v>1096972.5804545456</v>
          </cell>
          <cell r="D1734">
            <v>344352.27272727265</v>
          </cell>
        </row>
        <row r="1735">
          <cell r="A1735" t="str">
            <v>C2020</v>
          </cell>
          <cell r="B1735" t="str">
            <v>BATRAS</v>
          </cell>
          <cell r="C1735">
            <v>399600.00000000012</v>
          </cell>
          <cell r="D1735">
            <v>52977.272727272728</v>
          </cell>
        </row>
        <row r="1736">
          <cell r="A1736" t="str">
            <v>C2028</v>
          </cell>
          <cell r="B1736" t="str">
            <v>BABA COSMETIK</v>
          </cell>
          <cell r="C1736">
            <v>3100521.2727272734</v>
          </cell>
          <cell r="D1736">
            <v>953590.90909090883</v>
          </cell>
        </row>
        <row r="1737">
          <cell r="A1737" t="str">
            <v>C2029</v>
          </cell>
          <cell r="B1737" t="str">
            <v>WARISAN MURNI SWALAYAN</v>
          </cell>
          <cell r="C1737">
            <v>2057622.9545454548</v>
          </cell>
          <cell r="D1737">
            <v>1446279.5454545459</v>
          </cell>
        </row>
        <row r="1738">
          <cell r="A1738" t="str">
            <v>C2032</v>
          </cell>
          <cell r="B1738" t="str">
            <v>JASA DELIMA 3</v>
          </cell>
          <cell r="C1738">
            <v>10934594.318181816</v>
          </cell>
          <cell r="D1738">
            <v>635727.27272727259</v>
          </cell>
        </row>
        <row r="1739">
          <cell r="A1739" t="str">
            <v>C2033</v>
          </cell>
          <cell r="B1739" t="str">
            <v>BINTANG PERDANA PERLAK</v>
          </cell>
          <cell r="C1739">
            <v>439983.40909090918</v>
          </cell>
          <cell r="D1739">
            <v>2860772.7272727266</v>
          </cell>
        </row>
        <row r="1740">
          <cell r="A1740" t="str">
            <v>C2048</v>
          </cell>
          <cell r="B1740" t="str">
            <v>GLOBAL COSMETIK</v>
          </cell>
          <cell r="C1740">
            <v>6812727.5454545459</v>
          </cell>
          <cell r="D1740">
            <v>921804.54545454541</v>
          </cell>
        </row>
        <row r="1741">
          <cell r="A1741" t="str">
            <v>C2073</v>
          </cell>
          <cell r="B1741" t="str">
            <v>MAKMUR SWALAYAN 2</v>
          </cell>
          <cell r="C1741">
            <v>649138.63636363647</v>
          </cell>
          <cell r="D1741">
            <v>238397.72727272726</v>
          </cell>
        </row>
        <row r="1742">
          <cell r="A1742" t="str">
            <v>C2077</v>
          </cell>
          <cell r="B1742" t="str">
            <v>N CELL</v>
          </cell>
          <cell r="C1742">
            <v>146065.90909090912</v>
          </cell>
          <cell r="D1742">
            <v>6156692.7272727285</v>
          </cell>
        </row>
        <row r="1743">
          <cell r="A1743" t="str">
            <v>C2080</v>
          </cell>
          <cell r="B1743" t="str">
            <v>S'RAIYA STORE</v>
          </cell>
          <cell r="C1743">
            <v>1341379.5454545454</v>
          </cell>
          <cell r="D1743">
            <v>838100.45454545435</v>
          </cell>
        </row>
        <row r="1744">
          <cell r="A1744" t="str">
            <v>C2084</v>
          </cell>
          <cell r="B1744" t="str">
            <v>ABBASY BAROQAH</v>
          </cell>
          <cell r="C1744">
            <v>178600</v>
          </cell>
          <cell r="D1744">
            <v>378863.18181818182</v>
          </cell>
        </row>
        <row r="1745">
          <cell r="A1745" t="str">
            <v>C2103</v>
          </cell>
          <cell r="B1745" t="str">
            <v>KHANSA 2 TENOM</v>
          </cell>
          <cell r="C1745">
            <v>586325.45454545459</v>
          </cell>
          <cell r="D1745">
            <v>1172916.8181818181</v>
          </cell>
        </row>
        <row r="1746">
          <cell r="A1746" t="str">
            <v>C2106</v>
          </cell>
          <cell r="B1746" t="str">
            <v>RIYAN COSMETIC</v>
          </cell>
          <cell r="C1746">
            <v>1669290.6818181819</v>
          </cell>
          <cell r="D1746">
            <v>185420.45454545456</v>
          </cell>
        </row>
        <row r="1747">
          <cell r="A1747" t="str">
            <v>C2128</v>
          </cell>
          <cell r="B1747" t="str">
            <v>NAZAR SWALAYAN</v>
          </cell>
          <cell r="C1747">
            <v>1220457.2727272729</v>
          </cell>
          <cell r="D1747">
            <v>864589.09090909094</v>
          </cell>
        </row>
        <row r="1748">
          <cell r="A1748" t="str">
            <v>C2129</v>
          </cell>
          <cell r="B1748" t="str">
            <v>SINAR BARU</v>
          </cell>
          <cell r="C1748">
            <v>869078.86363636365</v>
          </cell>
          <cell r="D1748">
            <v>52977.272727272728</v>
          </cell>
        </row>
        <row r="1749">
          <cell r="A1749" t="str">
            <v>C2131</v>
          </cell>
          <cell r="B1749" t="str">
            <v>FIFI MARKET</v>
          </cell>
          <cell r="C1749">
            <v>450000</v>
          </cell>
          <cell r="D1749">
            <v>964943.18181818165</v>
          </cell>
        </row>
        <row r="1750">
          <cell r="A1750" t="str">
            <v>C2134</v>
          </cell>
          <cell r="B1750" t="str">
            <v>SINAR DUNIA</v>
          </cell>
          <cell r="C1750">
            <v>673752.27272727282</v>
          </cell>
          <cell r="D1750">
            <v>181939.09090909091</v>
          </cell>
        </row>
        <row r="1751">
          <cell r="A1751" t="str">
            <v>C2135</v>
          </cell>
          <cell r="B1751" t="str">
            <v>BERINGIN JAYA SWALAYAN</v>
          </cell>
          <cell r="C1751">
            <v>666000.00000000012</v>
          </cell>
          <cell r="D1751">
            <v>283958.18181818182</v>
          </cell>
        </row>
        <row r="1752">
          <cell r="A1752" t="str">
            <v>C2136</v>
          </cell>
          <cell r="B1752" t="str">
            <v>MOLLY SHOP</v>
          </cell>
          <cell r="C1752">
            <v>3025191.8181818179</v>
          </cell>
          <cell r="D1752">
            <v>672281.59090909082</v>
          </cell>
        </row>
        <row r="1753">
          <cell r="A1753" t="str">
            <v>C2137</v>
          </cell>
          <cell r="B1753" t="str">
            <v>NUROEL GALERY</v>
          </cell>
          <cell r="C1753">
            <v>27109882.500000011</v>
          </cell>
          <cell r="D1753">
            <v>8164800</v>
          </cell>
        </row>
        <row r="1754">
          <cell r="A1754" t="str">
            <v>C3391</v>
          </cell>
          <cell r="B1754" t="str">
            <v>FARAS SWALAYAN</v>
          </cell>
          <cell r="C1754">
            <v>412840.90909090906</v>
          </cell>
          <cell r="D1754">
            <v>22200.000000000004</v>
          </cell>
        </row>
        <row r="1755">
          <cell r="A1755" t="str">
            <v>C3394</v>
          </cell>
          <cell r="B1755" t="str">
            <v>NERDY SHOP</v>
          </cell>
          <cell r="C1755">
            <v>70913701.363636374</v>
          </cell>
          <cell r="D1755">
            <v>304997.72727272729</v>
          </cell>
        </row>
        <row r="1756">
          <cell r="A1756" t="str">
            <v>C4494</v>
          </cell>
          <cell r="B1756" t="str">
            <v>TK. BUKET MAHKOTA</v>
          </cell>
          <cell r="C1756">
            <v>318804.54545454547</v>
          </cell>
          <cell r="D1756">
            <v>726988.63636363635</v>
          </cell>
        </row>
        <row r="1757">
          <cell r="A1757" t="str">
            <v>C4599</v>
          </cell>
          <cell r="B1757" t="str">
            <v>NR COSMETIC</v>
          </cell>
          <cell r="C1757">
            <v>61039060.909090906</v>
          </cell>
          <cell r="D1757">
            <v>153734.09090909091</v>
          </cell>
        </row>
        <row r="1758">
          <cell r="A1758" t="str">
            <v>C6003</v>
          </cell>
          <cell r="B1758" t="str">
            <v>PUFA COS</v>
          </cell>
          <cell r="C1758">
            <v>-1191988.6363636365</v>
          </cell>
          <cell r="D1758">
            <v>839765.45454545447</v>
          </cell>
        </row>
        <row r="1759">
          <cell r="A1759" t="str">
            <v>C6009</v>
          </cell>
          <cell r="B1759" t="str">
            <v>RUMAISA COS MERDU</v>
          </cell>
          <cell r="C1759">
            <v>2400000</v>
          </cell>
          <cell r="D1759">
            <v>22780.227272727272</v>
          </cell>
        </row>
        <row r="1760">
          <cell r="A1760" t="str">
            <v>C6011</v>
          </cell>
          <cell r="B1760" t="str">
            <v>WIWW SHOP</v>
          </cell>
          <cell r="C1760">
            <v>28321516.363636374</v>
          </cell>
          <cell r="D1760">
            <v>113400</v>
          </cell>
        </row>
        <row r="1761">
          <cell r="A1761" t="str">
            <v>C6017</v>
          </cell>
          <cell r="B1761" t="str">
            <v>LADYS/ ERA KOSMETIK</v>
          </cell>
          <cell r="C1761">
            <v>14985725.31818183</v>
          </cell>
          <cell r="D1761">
            <v>751063.63636363624</v>
          </cell>
        </row>
        <row r="1762">
          <cell r="A1762" t="str">
            <v>C6018</v>
          </cell>
          <cell r="B1762" t="str">
            <v>SEJAHTERA MAJU</v>
          </cell>
          <cell r="C1762">
            <v>735627.27272727271</v>
          </cell>
          <cell r="D1762">
            <v>345865.90909090918</v>
          </cell>
        </row>
        <row r="1763">
          <cell r="A1763" t="str">
            <v>C6019</v>
          </cell>
          <cell r="B1763" t="str">
            <v>ARKAN 561 MART</v>
          </cell>
          <cell r="C1763">
            <v>190740.68181818182</v>
          </cell>
          <cell r="D1763">
            <v>2644625.4545454541</v>
          </cell>
        </row>
        <row r="1764">
          <cell r="A1764" t="str">
            <v>C6025</v>
          </cell>
          <cell r="B1764" t="str">
            <v>MA'RIFAT SWALAYAN</v>
          </cell>
          <cell r="C1764">
            <v>446579.31818181823</v>
          </cell>
          <cell r="D1764">
            <v>22073976.818181828</v>
          </cell>
        </row>
        <row r="1765">
          <cell r="A1765" t="str">
            <v>C6036</v>
          </cell>
          <cell r="B1765" t="str">
            <v>MIRAY SWALAYAN</v>
          </cell>
          <cell r="C1765">
            <v>332598</v>
          </cell>
          <cell r="D1765">
            <v>133200.00000000003</v>
          </cell>
        </row>
        <row r="1766">
          <cell r="A1766" t="str">
            <v>C6051</v>
          </cell>
          <cell r="B1766" t="str">
            <v>(TOKO HAYANA SHOP)</v>
          </cell>
          <cell r="C1766">
            <v>61273953.318181798</v>
          </cell>
          <cell r="D1766">
            <v>1769318.1818181816</v>
          </cell>
        </row>
        <row r="1767">
          <cell r="A1767" t="str">
            <v>C6062</v>
          </cell>
          <cell r="B1767" t="str">
            <v>UD. LENA</v>
          </cell>
          <cell r="C1767">
            <v>679950</v>
          </cell>
          <cell r="D1767">
            <v>453600</v>
          </cell>
        </row>
        <row r="1768">
          <cell r="A1768" t="str">
            <v>C6076</v>
          </cell>
          <cell r="B1768" t="str">
            <v>DKS 88 MINIMART</v>
          </cell>
          <cell r="C1768">
            <v>215281.81818181818</v>
          </cell>
          <cell r="D1768">
            <v>282954.54545454547</v>
          </cell>
        </row>
        <row r="1769">
          <cell r="A1769" t="str">
            <v>C6090</v>
          </cell>
          <cell r="B1769" t="str">
            <v>ARKAN MART</v>
          </cell>
          <cell r="C1769">
            <v>323766.81818181823</v>
          </cell>
          <cell r="D1769">
            <v>768927.27272727259</v>
          </cell>
        </row>
        <row r="1770">
          <cell r="A1770" t="str">
            <v>C6094</v>
          </cell>
          <cell r="B1770" t="str">
            <v>QORY STORE</v>
          </cell>
          <cell r="C1770">
            <v>12091827.272727279</v>
          </cell>
          <cell r="D1770">
            <v>3176290.2272727271</v>
          </cell>
        </row>
        <row r="1771">
          <cell r="A1771" t="str">
            <v>C6100</v>
          </cell>
          <cell r="B1771" t="str">
            <v>AL-BARKI STORE</v>
          </cell>
          <cell r="C1771">
            <v>705435</v>
          </cell>
          <cell r="D1771">
            <v>33524100</v>
          </cell>
        </row>
        <row r="1772">
          <cell r="A1772" t="str">
            <v>C6101</v>
          </cell>
          <cell r="B1772" t="str">
            <v>ARON MART</v>
          </cell>
          <cell r="C1772">
            <v>2061281.5909090906</v>
          </cell>
          <cell r="D1772">
            <v>22200.000000000004</v>
          </cell>
        </row>
        <row r="1773">
          <cell r="A1773" t="str">
            <v>C6109</v>
          </cell>
          <cell r="B1773" t="str">
            <v>FAMILY MART BIREUN</v>
          </cell>
          <cell r="C1773">
            <v>7881137.7272727275</v>
          </cell>
          <cell r="D1773">
            <v>283958.18181818182</v>
          </cell>
        </row>
        <row r="1774">
          <cell r="A1774" t="str">
            <v>C6112</v>
          </cell>
          <cell r="B1774" t="str">
            <v>KOREA MARKET</v>
          </cell>
          <cell r="C1774">
            <v>2321637.9545454551</v>
          </cell>
          <cell r="D1774">
            <v>3643412.727272728</v>
          </cell>
        </row>
        <row r="1775">
          <cell r="A1775" t="str">
            <v>C6121</v>
          </cell>
          <cell r="B1775" t="str">
            <v>SITI OLSHOP</v>
          </cell>
          <cell r="C1775">
            <v>2705351.3636363628</v>
          </cell>
          <cell r="D1775">
            <v>19449820.909090906</v>
          </cell>
        </row>
        <row r="1776">
          <cell r="A1776" t="str">
            <v>C6126</v>
          </cell>
          <cell r="B1776" t="str">
            <v>LINA BEAUTY</v>
          </cell>
          <cell r="C1776">
            <v>1200000</v>
          </cell>
          <cell r="D1776">
            <v>1271454.5454545454</v>
          </cell>
        </row>
        <row r="1777">
          <cell r="A1777" t="str">
            <v>C6134</v>
          </cell>
          <cell r="B1777" t="str">
            <v>MAUZA 2</v>
          </cell>
          <cell r="C1777">
            <v>558297.95454545459</v>
          </cell>
          <cell r="D1777">
            <v>266400.00000000006</v>
          </cell>
        </row>
        <row r="1778">
          <cell r="A1778" t="str">
            <v>C6135</v>
          </cell>
          <cell r="B1778" t="str">
            <v>MANDIRI</v>
          </cell>
          <cell r="C1778">
            <v>133200.00000000003</v>
          </cell>
          <cell r="D1778">
            <v>133200.00000000003</v>
          </cell>
        </row>
        <row r="1779">
          <cell r="A1779" t="str">
            <v>C6141</v>
          </cell>
          <cell r="B1779" t="str">
            <v>SYAFIQA</v>
          </cell>
          <cell r="C1779">
            <v>1949383.6363636362</v>
          </cell>
          <cell r="D1779">
            <v>90909</v>
          </cell>
        </row>
        <row r="1780">
          <cell r="A1780" t="str">
            <v>C6153</v>
          </cell>
          <cell r="B1780" t="str">
            <v>MALINDO SWALAYAN</v>
          </cell>
          <cell r="C1780">
            <v>1180272.2727272725</v>
          </cell>
          <cell r="D1780">
            <v>133200.00000000003</v>
          </cell>
        </row>
        <row r="1781">
          <cell r="A1781" t="str">
            <v>C6155</v>
          </cell>
          <cell r="B1781" t="str">
            <v>DE' KHAIRA SHOP</v>
          </cell>
          <cell r="C1781">
            <v>14609190.000000004</v>
          </cell>
          <cell r="D1781">
            <v>15644782.272727279</v>
          </cell>
        </row>
        <row r="1782">
          <cell r="A1782" t="str">
            <v>C6168</v>
          </cell>
          <cell r="B1782" t="str">
            <v>JASA DELIMA</v>
          </cell>
          <cell r="C1782">
            <v>17767824.545454554</v>
          </cell>
          <cell r="D1782">
            <v>114430.9090909091</v>
          </cell>
        </row>
        <row r="1783">
          <cell r="A1783" t="str">
            <v>C640</v>
          </cell>
          <cell r="B1783" t="str">
            <v>WANDA COS</v>
          </cell>
          <cell r="C1783">
            <v>9468462.2727272753</v>
          </cell>
          <cell r="D1783">
            <v>114430.9090909091</v>
          </cell>
        </row>
        <row r="1784">
          <cell r="A1784" t="str">
            <v>C642</v>
          </cell>
          <cell r="B1784" t="str">
            <v>D. ROYAL MART</v>
          </cell>
          <cell r="C1784">
            <v>1958329.7727272725</v>
          </cell>
          <cell r="D1784">
            <v>114430.9090909091</v>
          </cell>
        </row>
        <row r="1785">
          <cell r="A1785" t="str">
            <v>C925</v>
          </cell>
          <cell r="B1785" t="str">
            <v xml:space="preserve">MUKHSIN COS </v>
          </cell>
          <cell r="C1785">
            <v>111766063.63636366</v>
          </cell>
          <cell r="D1785">
            <v>114430.9090909091</v>
          </cell>
        </row>
        <row r="1786">
          <cell r="A1786" t="str">
            <v>C928</v>
          </cell>
          <cell r="B1786" t="str">
            <v>NAZWA ULEE GLE ( PAJAK)</v>
          </cell>
          <cell r="C1786">
            <v>2961597.2727272725</v>
          </cell>
          <cell r="D1786">
            <v>121847.72727272728</v>
          </cell>
        </row>
        <row r="1787">
          <cell r="A1787" t="str">
            <v>C980</v>
          </cell>
          <cell r="B1787" t="str">
            <v>TAMAN BERKAH</v>
          </cell>
          <cell r="C1787">
            <v>365089.09090909088</v>
          </cell>
          <cell r="D1787">
            <v>228861.81818181821</v>
          </cell>
        </row>
        <row r="1788">
          <cell r="A1788" t="str">
            <v>C991</v>
          </cell>
          <cell r="B1788" t="str">
            <v>TOKO AMALIA</v>
          </cell>
          <cell r="C1788">
            <v>5053926.1363636376</v>
          </cell>
          <cell r="D1788">
            <v>114430.9090909091</v>
          </cell>
        </row>
        <row r="1789">
          <cell r="A1789" t="str">
            <v>CAHY</v>
          </cell>
          <cell r="B1789" t="str">
            <v>CAHAYA BEAUTY</v>
          </cell>
          <cell r="C1789">
            <v>60489414.818181798</v>
          </cell>
          <cell r="D1789">
            <v>114430.9090909091</v>
          </cell>
        </row>
        <row r="1790">
          <cell r="A1790" t="str">
            <v>CB</v>
          </cell>
          <cell r="B1790" t="str">
            <v>CITRA BERINGIN,TK</v>
          </cell>
          <cell r="C1790">
            <v>450310.81818181818</v>
          </cell>
          <cell r="D1790">
            <v>381436.36363636365</v>
          </cell>
        </row>
        <row r="1791">
          <cell r="A1791" t="str">
            <v>CERE</v>
          </cell>
          <cell r="B1791" t="str">
            <v>CEREA TOKO</v>
          </cell>
          <cell r="C1791">
            <v>9043614.2727272715</v>
          </cell>
          <cell r="D1791">
            <v>18699917.727272723</v>
          </cell>
        </row>
        <row r="1792">
          <cell r="A1792" t="str">
            <v>CESS</v>
          </cell>
          <cell r="B1792" t="str">
            <v>CASSIA BEAUTY</v>
          </cell>
          <cell r="C1792">
            <v>2104562.1818181816</v>
          </cell>
          <cell r="D1792">
            <v>688704.54545454541</v>
          </cell>
        </row>
        <row r="1793">
          <cell r="A1793" t="str">
            <v>CH.MT</v>
          </cell>
          <cell r="B1793" t="str">
            <v>CAHAYA MITRA ,TOKO</v>
          </cell>
          <cell r="C1793">
            <v>1759151.0909090908</v>
          </cell>
          <cell r="D1793">
            <v>953590.90909090906</v>
          </cell>
        </row>
        <row r="1794">
          <cell r="A1794" t="str">
            <v>CHLS</v>
          </cell>
          <cell r="B1794" t="str">
            <v>CHELSIE TKO</v>
          </cell>
          <cell r="C1794">
            <v>22584704.454545461</v>
          </cell>
          <cell r="D1794">
            <v>18020749.090909094</v>
          </cell>
        </row>
        <row r="1795">
          <cell r="A1795" t="str">
            <v>CITRAKB</v>
          </cell>
          <cell r="B1795" t="str">
            <v>CITRA NIAGA, KOBAR SM</v>
          </cell>
          <cell r="C1795">
            <v>1794092.1818181821</v>
          </cell>
          <cell r="D1795">
            <v>1377409.0909090908</v>
          </cell>
        </row>
        <row r="1796">
          <cell r="A1796" t="str">
            <v>CK</v>
          </cell>
          <cell r="B1796" t="str">
            <v>CITRA KITA ,TK</v>
          </cell>
          <cell r="C1796">
            <v>489512.18181818182</v>
          </cell>
          <cell r="D1796">
            <v>344352.27272727271</v>
          </cell>
        </row>
        <row r="1797">
          <cell r="A1797" t="str">
            <v>CM</v>
          </cell>
          <cell r="B1797" t="str">
            <v>CITRA MANDIRI CV,DELTA PAWAN</v>
          </cell>
          <cell r="C1797">
            <v>1777306.0909090908</v>
          </cell>
          <cell r="D1797">
            <v>158931.81818181818</v>
          </cell>
        </row>
        <row r="1798">
          <cell r="A1798" t="str">
            <v>CNIM</v>
          </cell>
          <cell r="B1798" t="str">
            <v>CITRA NIAGA, IMBON SM</v>
          </cell>
          <cell r="C1798">
            <v>1633520.7272727275</v>
          </cell>
          <cell r="D1798">
            <v>688704.5454545453</v>
          </cell>
        </row>
        <row r="1799">
          <cell r="A1799" t="str">
            <v>CR.</v>
          </cell>
          <cell r="B1799" t="str">
            <v>CENTRAL REZEKI,NGABANG</v>
          </cell>
          <cell r="C1799">
            <v>536659.77272727271</v>
          </cell>
          <cell r="D1799">
            <v>629704.54545454541</v>
          </cell>
        </row>
        <row r="1800">
          <cell r="A1800" t="str">
            <v>CS-SW</v>
          </cell>
          <cell r="B1800" t="str">
            <v>EKARIC DWI PUTRA,PT</v>
          </cell>
          <cell r="C1800">
            <v>1181475.8181818181</v>
          </cell>
          <cell r="D1800">
            <v>344352.27272727265</v>
          </cell>
        </row>
        <row r="1801">
          <cell r="A1801" t="str">
            <v>CST0000032</v>
          </cell>
          <cell r="B1801" t="str">
            <v>AMANAH</v>
          </cell>
          <cell r="C1801">
            <v>317863.63636363635</v>
          </cell>
          <cell r="D1801">
            <v>741681.818181818</v>
          </cell>
        </row>
        <row r="1802">
          <cell r="A1802" t="str">
            <v>CST0000061</v>
          </cell>
          <cell r="B1802" t="str">
            <v>BILLA PANJANG</v>
          </cell>
          <cell r="C1802">
            <v>208931.81818181818</v>
          </cell>
          <cell r="D1802">
            <v>1134774.5454545454</v>
          </cell>
        </row>
        <row r="1803">
          <cell r="A1803" t="str">
            <v>CST0000087</v>
          </cell>
          <cell r="B1803" t="str">
            <v>ARDI</v>
          </cell>
          <cell r="C1803">
            <v>281154.54545454547</v>
          </cell>
          <cell r="D1803">
            <v>344352.27272727276</v>
          </cell>
        </row>
        <row r="1804">
          <cell r="A1804" t="str">
            <v>CST0000147</v>
          </cell>
          <cell r="B1804" t="str">
            <v>FAJAR JAYA TOKO</v>
          </cell>
          <cell r="C1804">
            <v>566400</v>
          </cell>
          <cell r="D1804">
            <v>19714736.363636371</v>
          </cell>
        </row>
        <row r="1805">
          <cell r="A1805" t="str">
            <v>CST0000162</v>
          </cell>
          <cell r="B1805" t="str">
            <v>NUFUS</v>
          </cell>
          <cell r="C1805">
            <v>3309782.727272728</v>
          </cell>
          <cell r="D1805">
            <v>688704.54545454541</v>
          </cell>
        </row>
        <row r="1806">
          <cell r="A1806" t="str">
            <v>CST0000189</v>
          </cell>
          <cell r="B1806" t="str">
            <v>APT. ROWOREJO</v>
          </cell>
          <cell r="C1806">
            <v>608179.09090909082</v>
          </cell>
          <cell r="D1806">
            <v>1524797.7272727273</v>
          </cell>
        </row>
        <row r="1807">
          <cell r="A1807" t="str">
            <v>CST0000196</v>
          </cell>
          <cell r="B1807" t="str">
            <v>MS</v>
          </cell>
          <cell r="C1807">
            <v>172554.54545454547</v>
          </cell>
          <cell r="D1807">
            <v>344352.27272727271</v>
          </cell>
        </row>
        <row r="1808">
          <cell r="A1808" t="str">
            <v>CST0000199</v>
          </cell>
          <cell r="B1808" t="str">
            <v>SAP</v>
          </cell>
          <cell r="C1808">
            <v>3319404.5454545449</v>
          </cell>
          <cell r="D1808">
            <v>344352.27272727271</v>
          </cell>
        </row>
        <row r="1809">
          <cell r="A1809" t="str">
            <v>CST0000200</v>
          </cell>
          <cell r="B1809" t="str">
            <v>YOGI TOKO</v>
          </cell>
          <cell r="C1809">
            <v>486818.18181818177</v>
          </cell>
          <cell r="D1809">
            <v>1535735.1818181819</v>
          </cell>
        </row>
        <row r="1810">
          <cell r="A1810" t="str">
            <v>CST0000206</v>
          </cell>
          <cell r="B1810" t="str">
            <v>BALI PERDANA</v>
          </cell>
          <cell r="C1810">
            <v>465651.13636363635</v>
          </cell>
          <cell r="D1810">
            <v>317863.63636363635</v>
          </cell>
        </row>
        <row r="1811">
          <cell r="A1811" t="str">
            <v>CST0000259</v>
          </cell>
          <cell r="B1811" t="str">
            <v>CV. CHANDRA PERDANA ABADI</v>
          </cell>
          <cell r="C1811">
            <v>3171370.9090909092</v>
          </cell>
          <cell r="D1811">
            <v>952379.45454545447</v>
          </cell>
        </row>
        <row r="1812">
          <cell r="A1812" t="str">
            <v>CST0000260</v>
          </cell>
          <cell r="B1812" t="str">
            <v>PT. SEKAWAN CHANDRA ABADI</v>
          </cell>
          <cell r="C1812">
            <v>591226.36363636365</v>
          </cell>
          <cell r="D1812">
            <v>573214.09090909082</v>
          </cell>
        </row>
        <row r="1813">
          <cell r="A1813" t="str">
            <v>CST0000283</v>
          </cell>
          <cell r="B1813" t="str">
            <v>BAGE</v>
          </cell>
          <cell r="C1813">
            <v>573463.63636363624</v>
          </cell>
          <cell r="D1813">
            <v>546725.45454545447</v>
          </cell>
        </row>
        <row r="1814">
          <cell r="A1814" t="str">
            <v>CST0000293</v>
          </cell>
          <cell r="B1814" t="str">
            <v>LAMPUNG JAYA TOKO</v>
          </cell>
          <cell r="C1814">
            <v>569863.63636363635</v>
          </cell>
          <cell r="D1814">
            <v>344352.27272727271</v>
          </cell>
        </row>
        <row r="1815">
          <cell r="A1815" t="str">
            <v>CST0000297</v>
          </cell>
          <cell r="B1815" t="str">
            <v>MITRA ABADI</v>
          </cell>
          <cell r="C1815">
            <v>1089061.3636363638</v>
          </cell>
          <cell r="D1815">
            <v>-185420.45454545453</v>
          </cell>
        </row>
        <row r="1816">
          <cell r="A1816" t="str">
            <v>CST0000352</v>
          </cell>
          <cell r="B1816" t="str">
            <v>MM NANA</v>
          </cell>
          <cell r="C1816">
            <v>514162.5</v>
          </cell>
          <cell r="D1816">
            <v>408000</v>
          </cell>
        </row>
        <row r="1817">
          <cell r="A1817" t="str">
            <v>CST0000369</v>
          </cell>
          <cell r="B1817" t="str">
            <v>BILAL</v>
          </cell>
          <cell r="C1817">
            <v>457924.54545454541</v>
          </cell>
          <cell r="D1817">
            <v>124239.27272727274</v>
          </cell>
        </row>
        <row r="1818">
          <cell r="A1818" t="str">
            <v>CST0000385</v>
          </cell>
          <cell r="B1818" t="str">
            <v>TELAGA SARI TOKO</v>
          </cell>
          <cell r="C1818">
            <v>207670.90909090912</v>
          </cell>
          <cell r="D1818">
            <v>-498215.1750000001</v>
          </cell>
        </row>
        <row r="1819">
          <cell r="A1819" t="str">
            <v>CST0000386</v>
          </cell>
          <cell r="B1819" t="str">
            <v>ANDINI</v>
          </cell>
          <cell r="C1819">
            <v>249295.90909090909</v>
          </cell>
          <cell r="D1819">
            <v>567223.63636363635</v>
          </cell>
        </row>
        <row r="1820">
          <cell r="A1820" t="str">
            <v>CST0000406</v>
          </cell>
          <cell r="B1820" t="str">
            <v>SAYLENDRA</v>
          </cell>
          <cell r="C1820">
            <v>2095870.9090909092</v>
          </cell>
          <cell r="D1820">
            <v>114430.9090909091</v>
          </cell>
        </row>
        <row r="1821">
          <cell r="A1821" t="str">
            <v>CST0000516</v>
          </cell>
          <cell r="B1821" t="str">
            <v>ANAS</v>
          </cell>
          <cell r="C1821">
            <v>66600</v>
          </cell>
          <cell r="D1821">
            <v>190718.18181818182</v>
          </cell>
        </row>
        <row r="1822">
          <cell r="A1822" t="str">
            <v>CST0000529</v>
          </cell>
          <cell r="B1822" t="str">
            <v>ARI</v>
          </cell>
          <cell r="C1822">
            <v>421800.00000000012</v>
          </cell>
          <cell r="D1822">
            <v>286077.27272727276</v>
          </cell>
        </row>
        <row r="1823">
          <cell r="A1823" t="str">
            <v>CST0000613</v>
          </cell>
          <cell r="B1823" t="str">
            <v>LEO TOKO</v>
          </cell>
          <cell r="C1823">
            <v>26488.636363636364</v>
          </cell>
          <cell r="D1823">
            <v>-19071.818181818184</v>
          </cell>
        </row>
        <row r="1824">
          <cell r="A1824" t="str">
            <v>CST0000616</v>
          </cell>
          <cell r="B1824" t="str">
            <v>P'DAIS</v>
          </cell>
          <cell r="C1824">
            <v>490557.95454545453</v>
          </cell>
          <cell r="D1824">
            <v>114430.9090909091</v>
          </cell>
        </row>
        <row r="1825">
          <cell r="A1825" t="str">
            <v>CST0000628</v>
          </cell>
          <cell r="B1825" t="str">
            <v>AGUNG BAKAU</v>
          </cell>
          <cell r="C1825">
            <v>998999.99999999977</v>
          </cell>
          <cell r="D1825">
            <v>2877158.1818181826</v>
          </cell>
        </row>
        <row r="1826">
          <cell r="A1826" t="str">
            <v>CST0000635</v>
          </cell>
          <cell r="B1826" t="str">
            <v>BERLIANA</v>
          </cell>
          <cell r="C1826">
            <v>154989.54545454547</v>
          </cell>
          <cell r="D1826">
            <v>1280419.3636363635</v>
          </cell>
        </row>
        <row r="1827">
          <cell r="A1827" t="str">
            <v>CST0000664</v>
          </cell>
          <cell r="B1827" t="str">
            <v>SS JAYA</v>
          </cell>
          <cell r="C1827">
            <v>231954.54545454544</v>
          </cell>
          <cell r="D1827">
            <v>1028590.9090909091</v>
          </cell>
        </row>
        <row r="1828">
          <cell r="A1828" t="str">
            <v>CST0000665</v>
          </cell>
          <cell r="B1828" t="str">
            <v>TOKO 99</v>
          </cell>
          <cell r="C1828">
            <v>266400.00000000006</v>
          </cell>
          <cell r="D1828">
            <v>1017834.5454545454</v>
          </cell>
        </row>
        <row r="1829">
          <cell r="A1829" t="str">
            <v>CST0000682</v>
          </cell>
          <cell r="B1829" t="str">
            <v>LIA JAYA</v>
          </cell>
          <cell r="C1829">
            <v>556261.36363636353</v>
          </cell>
          <cell r="D1829">
            <v>4817265.4090909092</v>
          </cell>
        </row>
        <row r="1830">
          <cell r="A1830" t="str">
            <v>CST0000708</v>
          </cell>
          <cell r="B1830" t="str">
            <v xml:space="preserve">FANTASI COSMETIK </v>
          </cell>
          <cell r="C1830">
            <v>344161.36363636365</v>
          </cell>
          <cell r="D1830">
            <v>2803348.1818181826</v>
          </cell>
        </row>
        <row r="1831">
          <cell r="A1831" t="str">
            <v>CST0000713</v>
          </cell>
          <cell r="B1831" t="str">
            <v>PESONA CANTIK COSMETIC</v>
          </cell>
          <cell r="C1831">
            <v>317863.63636363635</v>
          </cell>
          <cell r="D1831">
            <v>866400</v>
          </cell>
        </row>
        <row r="1832">
          <cell r="A1832" t="str">
            <v>CST0000717</v>
          </cell>
          <cell r="B1832" t="str">
            <v>CV SURYA KENCANA PERSADA</v>
          </cell>
          <cell r="C1832">
            <v>317863.63636363635</v>
          </cell>
          <cell r="D1832">
            <v>264886.36363636365</v>
          </cell>
        </row>
        <row r="1833">
          <cell r="A1833" t="str">
            <v>CST0000744</v>
          </cell>
          <cell r="B1833" t="str">
            <v>SYIFA CELL</v>
          </cell>
          <cell r="C1833">
            <v>16650.000000000004</v>
          </cell>
          <cell r="D1833">
            <v>1353029.1818181816</v>
          </cell>
        </row>
        <row r="1834">
          <cell r="A1834" t="str">
            <v>CST0000758</v>
          </cell>
          <cell r="B1834" t="str">
            <v>KOSMETIK DEWI</v>
          </cell>
          <cell r="C1834">
            <v>283958.18181818182</v>
          </cell>
          <cell r="D1834">
            <v>1104197.7272727271</v>
          </cell>
        </row>
        <row r="1835">
          <cell r="A1835" t="str">
            <v>CST0001518</v>
          </cell>
          <cell r="B1835" t="str">
            <v>TOKO ABID OLSHOP</v>
          </cell>
          <cell r="C1835">
            <v>635727.27272727271</v>
          </cell>
          <cell r="D1835">
            <v>21423692.727272738</v>
          </cell>
        </row>
        <row r="1836">
          <cell r="A1836" t="str">
            <v>CST0002622</v>
          </cell>
          <cell r="B1836" t="str">
            <v>MARKET UNGU 2</v>
          </cell>
          <cell r="C1836">
            <v>123966.81818181819</v>
          </cell>
          <cell r="D1836">
            <v>716400</v>
          </cell>
        </row>
        <row r="1837">
          <cell r="A1837" t="str">
            <v>CST0002800</v>
          </cell>
          <cell r="B1837" t="str">
            <v>SALSA SHOP</v>
          </cell>
          <cell r="C1837">
            <v>1458433.4090909089</v>
          </cell>
          <cell r="D1837">
            <v>3002612.7272727271</v>
          </cell>
        </row>
        <row r="1838">
          <cell r="A1838" t="str">
            <v>CST0006152</v>
          </cell>
          <cell r="B1838" t="str">
            <v xml:space="preserve">TOKO SAFWA </v>
          </cell>
          <cell r="C1838">
            <v>5021467.4999999991</v>
          </cell>
          <cell r="D1838">
            <v>1507532.7272727273</v>
          </cell>
        </row>
        <row r="1839">
          <cell r="A1839" t="str">
            <v>CST0006189</v>
          </cell>
          <cell r="B1839" t="str">
            <v>PUTRA ABADI TOKO</v>
          </cell>
          <cell r="C1839">
            <v>1460681.8181818181</v>
          </cell>
          <cell r="D1839">
            <v>333000</v>
          </cell>
        </row>
        <row r="1840">
          <cell r="A1840" t="str">
            <v>CST0006652</v>
          </cell>
          <cell r="B1840" t="str">
            <v>YOLYN</v>
          </cell>
          <cell r="C1840">
            <v>183906.81818181818</v>
          </cell>
          <cell r="D1840">
            <v>528204.54545454553</v>
          </cell>
        </row>
        <row r="1841">
          <cell r="A1841" t="str">
            <v>CST0006668</v>
          </cell>
          <cell r="B1841" t="str">
            <v>NELLY</v>
          </cell>
          <cell r="C1841">
            <v>388853.18181818182</v>
          </cell>
          <cell r="D1841">
            <v>450000</v>
          </cell>
        </row>
        <row r="1842">
          <cell r="A1842" t="str">
            <v>CST0006698</v>
          </cell>
          <cell r="B1842" t="str">
            <v>ABUN</v>
          </cell>
          <cell r="C1842">
            <v>7946590.9090909092</v>
          </cell>
          <cell r="D1842">
            <v>288000</v>
          </cell>
        </row>
        <row r="1843">
          <cell r="A1843" t="str">
            <v>CST0006753</v>
          </cell>
          <cell r="B1843" t="str">
            <v>BERSAUDARA</v>
          </cell>
          <cell r="C1843">
            <v>18957427.09090909</v>
          </cell>
          <cell r="D1843">
            <v>4965085</v>
          </cell>
        </row>
        <row r="1844">
          <cell r="A1844" t="str">
            <v>CST0007026</v>
          </cell>
          <cell r="B1844" t="str">
            <v>RIZKI</v>
          </cell>
          <cell r="C1844">
            <v>317863.63636363635</v>
          </cell>
          <cell r="D1844">
            <v>242931.81818181815</v>
          </cell>
        </row>
        <row r="1845">
          <cell r="A1845" t="str">
            <v>CST0007066</v>
          </cell>
          <cell r="B1845" t="str">
            <v>SALATUN</v>
          </cell>
          <cell r="C1845">
            <v>155400.00000000003</v>
          </cell>
          <cell r="D1845">
            <v>33300.000000000007</v>
          </cell>
        </row>
        <row r="1846">
          <cell r="A1846" t="str">
            <v>CST0007102</v>
          </cell>
          <cell r="B1846" t="str">
            <v>JOHAN TOKO</v>
          </cell>
          <cell r="C1846">
            <v>637240.90909090906</v>
          </cell>
          <cell r="D1846">
            <v>175200</v>
          </cell>
        </row>
        <row r="1847">
          <cell r="A1847" t="str">
            <v>CST0007104</v>
          </cell>
          <cell r="B1847" t="str">
            <v>KURNIA INDAH</v>
          </cell>
          <cell r="C1847">
            <v>741681.818181818</v>
          </cell>
          <cell r="D1847">
            <v>78900</v>
          </cell>
        </row>
        <row r="1848">
          <cell r="A1848" t="str">
            <v>CST0007149</v>
          </cell>
          <cell r="B1848" t="str">
            <v>TOKO FINA</v>
          </cell>
          <cell r="C1848">
            <v>315020.45454545453</v>
          </cell>
          <cell r="D1848">
            <v>1387998.4090909092</v>
          </cell>
        </row>
        <row r="1849">
          <cell r="A1849" t="str">
            <v>CST0007192</v>
          </cell>
          <cell r="B1849" t="str">
            <v>GEO FARMA</v>
          </cell>
          <cell r="C1849">
            <v>18542.045454545456</v>
          </cell>
          <cell r="D1849">
            <v>2400330.4090909092</v>
          </cell>
        </row>
        <row r="1850">
          <cell r="A1850" t="str">
            <v>CST0007297</v>
          </cell>
          <cell r="B1850" t="str">
            <v>ROBIN</v>
          </cell>
          <cell r="C1850">
            <v>590048.18181818188</v>
          </cell>
          <cell r="D1850">
            <v>168000</v>
          </cell>
        </row>
        <row r="1851">
          <cell r="A1851" t="str">
            <v>CST0007327</v>
          </cell>
          <cell r="B1851" t="str">
            <v>PT. SEKAWAN CHANDRA ABADI</v>
          </cell>
          <cell r="C1851">
            <v>9355643.1818181854</v>
          </cell>
          <cell r="D1851">
            <v>1489385.4545454555</v>
          </cell>
        </row>
        <row r="1852">
          <cell r="A1852" t="str">
            <v>CST0007328</v>
          </cell>
          <cell r="B1852" t="str">
            <v>PT. SEKAWAN CHANDRA ABADI</v>
          </cell>
          <cell r="C1852">
            <v>5646586.3636363642</v>
          </cell>
          <cell r="D1852">
            <v>69372200</v>
          </cell>
        </row>
        <row r="1853">
          <cell r="A1853" t="str">
            <v>CST0007339</v>
          </cell>
          <cell r="B1853" t="str">
            <v>IWAN PARFUME</v>
          </cell>
          <cell r="C1853">
            <v>694910.45454545459</v>
          </cell>
          <cell r="D1853">
            <v>36467181.81818182</v>
          </cell>
        </row>
        <row r="1854">
          <cell r="A1854" t="str">
            <v>CST0007464</v>
          </cell>
          <cell r="B1854" t="str">
            <v>TOKO HANIF</v>
          </cell>
          <cell r="C1854">
            <v>88500</v>
          </cell>
          <cell r="D1854">
            <v>35944447.272727273</v>
          </cell>
        </row>
        <row r="1855">
          <cell r="A1855" t="str">
            <v>CST0007693</v>
          </cell>
          <cell r="B1855" t="str">
            <v>TOKO GM</v>
          </cell>
          <cell r="C1855">
            <v>141777.27272727274</v>
          </cell>
          <cell r="D1855">
            <v>15151.5</v>
          </cell>
        </row>
        <row r="1856">
          <cell r="A1856" t="str">
            <v>CST0009189</v>
          </cell>
          <cell r="B1856" t="str">
            <v>TOKO IIT</v>
          </cell>
          <cell r="C1856">
            <v>978693.72727272718</v>
          </cell>
          <cell r="D1856">
            <v>0</v>
          </cell>
        </row>
        <row r="1857">
          <cell r="A1857" t="str">
            <v>CST0009230</v>
          </cell>
          <cell r="B1857" t="str">
            <v>FITRI KOTA</v>
          </cell>
          <cell r="C1857">
            <v>237863.63636363635</v>
          </cell>
          <cell r="D1857">
            <v>44400</v>
          </cell>
        </row>
        <row r="1858">
          <cell r="A1858" t="str">
            <v>CST0009296</v>
          </cell>
          <cell r="B1858" t="str">
            <v>RIA</v>
          </cell>
          <cell r="C1858">
            <v>532800.00000000012</v>
          </cell>
          <cell r="D1858">
            <v>44400</v>
          </cell>
        </row>
        <row r="1859">
          <cell r="A1859" t="str">
            <v>CST0009384</v>
          </cell>
          <cell r="B1859" t="str">
            <v>WAYAN</v>
          </cell>
          <cell r="C1859">
            <v>577909.09090909082</v>
          </cell>
          <cell r="D1859">
            <v>1227861.8181818184</v>
          </cell>
        </row>
        <row r="1860">
          <cell r="A1860" t="str">
            <v>CST0009431</v>
          </cell>
          <cell r="B1860" t="str">
            <v>BU YANI</v>
          </cell>
          <cell r="C1860">
            <v>317863.63636363635</v>
          </cell>
          <cell r="D1860">
            <v>244553.18181818191</v>
          </cell>
        </row>
        <row r="1861">
          <cell r="A1861" t="str">
            <v>CST0009722</v>
          </cell>
          <cell r="B1861" t="str">
            <v>SANTI BUDI</v>
          </cell>
          <cell r="C1861">
            <v>317863.63636363635</v>
          </cell>
          <cell r="D1861">
            <v>152574.54545454559</v>
          </cell>
        </row>
        <row r="1862">
          <cell r="A1862" t="str">
            <v>CST0009990</v>
          </cell>
          <cell r="B1862" t="str">
            <v>LINA</v>
          </cell>
          <cell r="C1862">
            <v>265500</v>
          </cell>
          <cell r="D1862">
            <v>75757.5</v>
          </cell>
        </row>
        <row r="1863">
          <cell r="A1863" t="str">
            <v>CST0010012</v>
          </cell>
          <cell r="B1863" t="str">
            <v>MITA</v>
          </cell>
          <cell r="C1863">
            <v>317863.63636363635</v>
          </cell>
          <cell r="D1863">
            <v>76287.272727272793</v>
          </cell>
        </row>
        <row r="1864">
          <cell r="A1864" t="str">
            <v>CST0010057</v>
          </cell>
          <cell r="B1864" t="str">
            <v>ALEN SISKA</v>
          </cell>
          <cell r="C1864">
            <v>566284.09090909094</v>
          </cell>
          <cell r="D1864">
            <v>144098.181818182</v>
          </cell>
        </row>
        <row r="1865">
          <cell r="A1865" t="str">
            <v>CST0010086</v>
          </cell>
          <cell r="B1865" t="str">
            <v>TAQWA MULIA</v>
          </cell>
          <cell r="C1865">
            <v>222857.72727272724</v>
          </cell>
          <cell r="D1865">
            <v>341400</v>
          </cell>
        </row>
        <row r="1866">
          <cell r="A1866" t="str">
            <v>CST0010237</v>
          </cell>
          <cell r="B1866" t="str">
            <v>SOLIHIN</v>
          </cell>
          <cell r="C1866">
            <v>543273.86363636365</v>
          </cell>
          <cell r="D1866">
            <v>434110.90909090941</v>
          </cell>
        </row>
        <row r="1867">
          <cell r="A1867" t="str">
            <v>CST0010256</v>
          </cell>
          <cell r="B1867" t="str">
            <v>SUPRIHATIN</v>
          </cell>
          <cell r="C1867">
            <v>1425575.5909090908</v>
          </cell>
          <cell r="D1867">
            <v>285000</v>
          </cell>
        </row>
        <row r="1868">
          <cell r="A1868" t="str">
            <v>CST0010387</v>
          </cell>
          <cell r="B1868" t="str">
            <v>NUNING</v>
          </cell>
          <cell r="C1868">
            <v>231500.13636363635</v>
          </cell>
          <cell r="D1868">
            <v>13475233.63636364</v>
          </cell>
        </row>
        <row r="1869">
          <cell r="A1869" t="str">
            <v>CST0010575</v>
          </cell>
          <cell r="B1869" t="str">
            <v>VERI</v>
          </cell>
          <cell r="C1869">
            <v>229854.54545454544</v>
          </cell>
          <cell r="D1869">
            <v>979153.63636363728</v>
          </cell>
        </row>
        <row r="1870">
          <cell r="A1870" t="str">
            <v>CST0010599</v>
          </cell>
          <cell r="B1870" t="str">
            <v>NIKEN MART</v>
          </cell>
          <cell r="C1870">
            <v>423818.18181818177</v>
          </cell>
          <cell r="D1870">
            <v>136060.22727272729</v>
          </cell>
        </row>
        <row r="1871">
          <cell r="A1871" t="str">
            <v>CST0010656</v>
          </cell>
          <cell r="B1871" t="str">
            <v>AYU</v>
          </cell>
          <cell r="C1871">
            <v>133200.00000000003</v>
          </cell>
          <cell r="D1871">
            <v>944592.27272727364</v>
          </cell>
        </row>
        <row r="1872">
          <cell r="A1872" t="str">
            <v>CST0010668</v>
          </cell>
          <cell r="B1872" t="str">
            <v>PB PUNGGUR</v>
          </cell>
          <cell r="C1872">
            <v>4556730.909090911</v>
          </cell>
          <cell r="D1872">
            <v>22780.227272727301</v>
          </cell>
        </row>
        <row r="1873">
          <cell r="A1873" t="str">
            <v>CST0010679</v>
          </cell>
          <cell r="B1873" t="str">
            <v>MULTI MART 41</v>
          </cell>
          <cell r="C1873">
            <v>1264750.4545454544</v>
          </cell>
          <cell r="D1873">
            <v>282797.72727272758</v>
          </cell>
        </row>
        <row r="1874">
          <cell r="A1874" t="str">
            <v>CST0010680</v>
          </cell>
          <cell r="B1874" t="str">
            <v>PUTRA BARU ( SWALAYAN )</v>
          </cell>
          <cell r="C1874">
            <v>9195397.2272727285</v>
          </cell>
          <cell r="D1874">
            <v>7023357.2727272771</v>
          </cell>
        </row>
        <row r="1875">
          <cell r="A1875" t="str">
            <v>CST0010683</v>
          </cell>
          <cell r="B1875" t="str">
            <v>PB 21 PUSAT KADO</v>
          </cell>
          <cell r="C1875">
            <v>4561990.3636363642</v>
          </cell>
          <cell r="D1875">
            <v>4358600.4545454588</v>
          </cell>
        </row>
        <row r="1876">
          <cell r="A1876" t="str">
            <v>CST0010702</v>
          </cell>
          <cell r="B1876" t="str">
            <v>ULFI TOKO</v>
          </cell>
          <cell r="C1876">
            <v>136142290.1818181</v>
          </cell>
          <cell r="D1876">
            <v>26488.6363636364</v>
          </cell>
        </row>
        <row r="1877">
          <cell r="A1877" t="str">
            <v>CST0010713</v>
          </cell>
          <cell r="B1877" t="str">
            <v>AGUS TOKO SEPUTIH</v>
          </cell>
          <cell r="C1877">
            <v>646895.45454545447</v>
          </cell>
          <cell r="D1877">
            <v>69400</v>
          </cell>
        </row>
        <row r="1878">
          <cell r="A1878" t="str">
            <v>CST0010745</v>
          </cell>
          <cell r="B1878" t="str">
            <v>AZAHRA KALI</v>
          </cell>
          <cell r="C1878">
            <v>234960</v>
          </cell>
          <cell r="D1878">
            <v>156706.772727273</v>
          </cell>
        </row>
        <row r="1879">
          <cell r="A1879" t="str">
            <v>CST0010755</v>
          </cell>
          <cell r="B1879" t="str">
            <v>TOKO SILALAHI</v>
          </cell>
          <cell r="C1879">
            <v>-403200</v>
          </cell>
          <cell r="D1879">
            <v>21000</v>
          </cell>
        </row>
        <row r="1880">
          <cell r="A1880" t="str">
            <v>CST0010817</v>
          </cell>
          <cell r="B1880" t="str">
            <v>DANISAH</v>
          </cell>
          <cell r="C1880">
            <v>425937.27272727271</v>
          </cell>
          <cell r="D1880">
            <v>132443.181818182</v>
          </cell>
        </row>
        <row r="1881">
          <cell r="A1881" t="str">
            <v>CST0010891</v>
          </cell>
          <cell r="B1881" t="str">
            <v>LELI TOKO</v>
          </cell>
          <cell r="C1881">
            <v>1349665.0909090906</v>
          </cell>
          <cell r="D1881">
            <v>47200</v>
          </cell>
        </row>
        <row r="1882">
          <cell r="A1882" t="str">
            <v>CST0010938</v>
          </cell>
          <cell r="B1882" t="str">
            <v>SINAR MULIA</v>
          </cell>
          <cell r="C1882">
            <v>18300425.454545453</v>
          </cell>
          <cell r="D1882">
            <v>1418201.5909090906</v>
          </cell>
        </row>
        <row r="1883">
          <cell r="A1883" t="str">
            <v>CST0010954</v>
          </cell>
          <cell r="B1883" t="str">
            <v>AVI SENA</v>
          </cell>
          <cell r="C1883">
            <v>276739.54545454541</v>
          </cell>
          <cell r="D1883">
            <v>1086034.0909090908</v>
          </cell>
        </row>
        <row r="1884">
          <cell r="A1884" t="str">
            <v>CST0010959</v>
          </cell>
          <cell r="B1884" t="str">
            <v>NINING</v>
          </cell>
          <cell r="C1884">
            <v>231700</v>
          </cell>
          <cell r="D1884">
            <v>624631.59090909082</v>
          </cell>
        </row>
        <row r="1885">
          <cell r="A1885" t="str">
            <v>CST0011254</v>
          </cell>
          <cell r="B1885" t="str">
            <v>HSN / SOLEH</v>
          </cell>
          <cell r="C1885">
            <v>1575799.7727272722</v>
          </cell>
          <cell r="D1885">
            <v>4211275</v>
          </cell>
        </row>
        <row r="1886">
          <cell r="A1886" t="str">
            <v>CST0011396</v>
          </cell>
          <cell r="B1886" t="str">
            <v>CV. FEMINA LAMPUNG</v>
          </cell>
          <cell r="C1886">
            <v>1101501614.7272723</v>
          </cell>
          <cell r="D1886">
            <v>532800.00000000012</v>
          </cell>
        </row>
        <row r="1887">
          <cell r="A1887" t="str">
            <v>CST0011420</v>
          </cell>
          <cell r="B1887" t="str">
            <v>TONO</v>
          </cell>
          <cell r="C1887">
            <v>426697.95454545453</v>
          </cell>
          <cell r="D1887">
            <v>32694.54545454546</v>
          </cell>
        </row>
        <row r="1888">
          <cell r="A1888" t="str">
            <v>CST0011428</v>
          </cell>
          <cell r="B1888" t="str">
            <v>SANTO</v>
          </cell>
          <cell r="C1888">
            <v>1136168.1818181816</v>
          </cell>
          <cell r="D1888">
            <v>31747671.590909094</v>
          </cell>
        </row>
        <row r="1889">
          <cell r="A1889" t="str">
            <v>CST0011452</v>
          </cell>
          <cell r="B1889" t="str">
            <v>TOKO MUNASRI</v>
          </cell>
          <cell r="C1889">
            <v>865090.90909090894</v>
          </cell>
          <cell r="D1889">
            <v>14914781.818181816</v>
          </cell>
        </row>
        <row r="1890">
          <cell r="A1890" t="str">
            <v>CST0011463</v>
          </cell>
          <cell r="B1890" t="str">
            <v>TOTOK</v>
          </cell>
          <cell r="C1890">
            <v>741681.818181818</v>
          </cell>
          <cell r="D1890">
            <v>240814.95454545453</v>
          </cell>
        </row>
        <row r="1891">
          <cell r="A1891" t="str">
            <v>CST0011511</v>
          </cell>
          <cell r="B1891" t="str">
            <v>IDZA</v>
          </cell>
          <cell r="C1891">
            <v>317863.63636363635</v>
          </cell>
          <cell r="D1891">
            <v>1446086.3636363638</v>
          </cell>
        </row>
        <row r="1892">
          <cell r="A1892" t="str">
            <v>CST0011534</v>
          </cell>
          <cell r="B1892" t="str">
            <v>LIBRA</v>
          </cell>
          <cell r="C1892">
            <v>-84000</v>
          </cell>
          <cell r="D1892">
            <v>133200.00000000003</v>
          </cell>
        </row>
        <row r="1893">
          <cell r="A1893" t="str">
            <v>CST0011561</v>
          </cell>
          <cell r="B1893" t="str">
            <v>KARYA TANI</v>
          </cell>
          <cell r="C1893">
            <v>759542.72727272718</v>
          </cell>
          <cell r="D1893">
            <v>2178244.0909090913</v>
          </cell>
        </row>
        <row r="1894">
          <cell r="A1894" t="str">
            <v>CST0011572</v>
          </cell>
          <cell r="B1894" t="str">
            <v>SINAR BARU</v>
          </cell>
          <cell r="C1894">
            <v>52977.272727272728</v>
          </cell>
          <cell r="D1894">
            <v>2159344.0909090913</v>
          </cell>
        </row>
        <row r="1895">
          <cell r="A1895" t="str">
            <v>CST0011589</v>
          </cell>
          <cell r="B1895" t="str">
            <v>MBC CANTER</v>
          </cell>
          <cell r="C1895">
            <v>446440.90909090906</v>
          </cell>
          <cell r="D1895">
            <v>2159344.0909090913</v>
          </cell>
        </row>
        <row r="1896">
          <cell r="A1896" t="str">
            <v>CST0011626</v>
          </cell>
          <cell r="B1896" t="str">
            <v>MENARA METRO</v>
          </cell>
          <cell r="C1896">
            <v>649785.54545454541</v>
          </cell>
          <cell r="D1896">
            <v>102386424.54545453</v>
          </cell>
        </row>
        <row r="1897">
          <cell r="A1897" t="str">
            <v>CST0011654</v>
          </cell>
          <cell r="B1897" t="str">
            <v>MU TOKO SEPUTIH</v>
          </cell>
          <cell r="C1897">
            <v>303029.99999999994</v>
          </cell>
          <cell r="D1897">
            <v>382137.95454545447</v>
          </cell>
        </row>
        <row r="1898">
          <cell r="A1898" t="str">
            <v>CST0011801</v>
          </cell>
          <cell r="B1898" t="str">
            <v>SUM TOKO</v>
          </cell>
          <cell r="C1898">
            <v>342081.81818181818</v>
          </cell>
          <cell r="D1898">
            <v>245342.04545454547</v>
          </cell>
        </row>
        <row r="1899">
          <cell r="A1899" t="str">
            <v>CST0011828</v>
          </cell>
          <cell r="B1899" t="str">
            <v>TOKO MITA</v>
          </cell>
          <cell r="C1899">
            <v>232443.18181818179</v>
          </cell>
          <cell r="D1899">
            <v>112636.36363636363</v>
          </cell>
        </row>
        <row r="1900">
          <cell r="A1900" t="str">
            <v>CST0011839</v>
          </cell>
          <cell r="B1900" t="str">
            <v>SITI AGIL</v>
          </cell>
          <cell r="C1900">
            <v>0</v>
          </cell>
          <cell r="D1900">
            <v>54488.636363636368</v>
          </cell>
        </row>
        <row r="1901">
          <cell r="A1901" t="str">
            <v>CST0011849</v>
          </cell>
          <cell r="B1901" t="str">
            <v>INDO M</v>
          </cell>
          <cell r="C1901">
            <v>470712.95454545453</v>
          </cell>
          <cell r="D1901">
            <v>717352.0454545453</v>
          </cell>
        </row>
        <row r="1902">
          <cell r="A1902" t="str">
            <v>CST0011878</v>
          </cell>
          <cell r="B1902" t="str">
            <v>NUNUNG</v>
          </cell>
          <cell r="C1902">
            <v>657891.81818181812</v>
          </cell>
          <cell r="D1902">
            <v>1074579.5454545454</v>
          </cell>
        </row>
        <row r="1903">
          <cell r="A1903" t="str">
            <v>CST0011946</v>
          </cell>
          <cell r="B1903" t="str">
            <v>NITA</v>
          </cell>
          <cell r="C1903">
            <v>245836.36363636365</v>
          </cell>
          <cell r="D1903">
            <v>1712037.5000000002</v>
          </cell>
        </row>
        <row r="1904">
          <cell r="A1904" t="str">
            <v>CST0011998</v>
          </cell>
          <cell r="B1904" t="str">
            <v>BU SUGENG</v>
          </cell>
          <cell r="C1904">
            <v>238397.72727272729</v>
          </cell>
          <cell r="D1904">
            <v>55626.136363636375</v>
          </cell>
        </row>
        <row r="1905">
          <cell r="A1905" t="str">
            <v>CST0012067</v>
          </cell>
          <cell r="B1905" t="str">
            <v>DARA PS</v>
          </cell>
          <cell r="C1905">
            <v>1133080.3636363635</v>
          </cell>
          <cell r="D1905">
            <v>425352.27272727276</v>
          </cell>
        </row>
        <row r="1906">
          <cell r="A1906" t="str">
            <v>CST0012081</v>
          </cell>
          <cell r="B1906" t="str">
            <v>SAHABAT</v>
          </cell>
          <cell r="C1906">
            <v>573671.59090909082</v>
          </cell>
          <cell r="D1906">
            <v>2064916.8181818177</v>
          </cell>
        </row>
        <row r="1907">
          <cell r="A1907" t="str">
            <v>CST0012330</v>
          </cell>
          <cell r="B1907" t="str">
            <v>RA. SUPERMARKET &amp; DEPT. STORE</v>
          </cell>
          <cell r="C1907">
            <v>1240272.2727272727</v>
          </cell>
          <cell r="D1907">
            <v>1208905.9090909092</v>
          </cell>
        </row>
        <row r="1908">
          <cell r="A1908" t="str">
            <v>CST0012572</v>
          </cell>
          <cell r="B1908" t="str">
            <v>PT. SEKAWAN CHANDRA PERSADA</v>
          </cell>
          <cell r="C1908">
            <v>1493959.0909090908</v>
          </cell>
          <cell r="D1908">
            <v>917566.36363636341</v>
          </cell>
        </row>
        <row r="1909">
          <cell r="A1909" t="str">
            <v>CST0012583</v>
          </cell>
          <cell r="B1909" t="str">
            <v>PATONAH</v>
          </cell>
          <cell r="C1909">
            <v>47200</v>
          </cell>
          <cell r="D1909">
            <v>1519072.4999999998</v>
          </cell>
        </row>
        <row r="1910">
          <cell r="A1910" t="str">
            <v>CST0012596</v>
          </cell>
          <cell r="B1910" t="str">
            <v>SITI ARIAH</v>
          </cell>
          <cell r="C1910">
            <v>380863.63636363635</v>
          </cell>
          <cell r="D1910">
            <v>102948171.81818181</v>
          </cell>
        </row>
        <row r="1911">
          <cell r="A1911" t="str">
            <v>CST0012622</v>
          </cell>
          <cell r="B1911" t="str">
            <v>IIM TOKO</v>
          </cell>
          <cell r="C1911">
            <v>344352.27272727271</v>
          </cell>
          <cell r="D1911">
            <v>146645165.45454538</v>
          </cell>
        </row>
        <row r="1912">
          <cell r="A1912" t="str">
            <v>CST0012674</v>
          </cell>
          <cell r="B1912" t="str">
            <v>MERTASARI 2</v>
          </cell>
          <cell r="C1912">
            <v>12680388389.386387</v>
          </cell>
          <cell r="D1912">
            <v>10578901434.285002</v>
          </cell>
        </row>
        <row r="1913">
          <cell r="A1913" t="str">
            <v>CST0012802</v>
          </cell>
          <cell r="B1913" t="str">
            <v>TOKO RATU</v>
          </cell>
          <cell r="C1913">
            <v>1140882.9545454544</v>
          </cell>
          <cell r="D1913">
            <v>569904.09090909082</v>
          </cell>
        </row>
        <row r="1914">
          <cell r="A1914" t="str">
            <v>CST0012872</v>
          </cell>
          <cell r="B1914" t="str">
            <v>TOKO RAFI</v>
          </cell>
          <cell r="C1914">
            <v>233796.36363636365</v>
          </cell>
        </row>
        <row r="1915">
          <cell r="A1915" t="str">
            <v>CST0012889</v>
          </cell>
          <cell r="B1915" t="str">
            <v>SHANTY</v>
          </cell>
          <cell r="C1915">
            <v>317863.63636363635</v>
          </cell>
          <cell r="D1915">
            <v>384463.63636363635</v>
          </cell>
        </row>
        <row r="1916">
          <cell r="A1916" t="str">
            <v>CST0012954</v>
          </cell>
          <cell r="B1916" t="str">
            <v>LUMAYAN</v>
          </cell>
          <cell r="C1916">
            <v>555050.45454545447</v>
          </cell>
        </row>
        <row r="1917">
          <cell r="A1917" t="str">
            <v>CST0013213</v>
          </cell>
          <cell r="B1917" t="str">
            <v>AMAN JAYA</v>
          </cell>
          <cell r="C1917">
            <v>2775639.9999999991</v>
          </cell>
        </row>
        <row r="1918">
          <cell r="A1918" t="str">
            <v>CST0013673</v>
          </cell>
          <cell r="B1918" t="str">
            <v>CERIA</v>
          </cell>
          <cell r="C1918">
            <v>17686191.000000004</v>
          </cell>
          <cell r="D1918">
            <v>22863049.090909086</v>
          </cell>
        </row>
        <row r="1919">
          <cell r="A1919" t="str">
            <v>CST0013686</v>
          </cell>
          <cell r="B1919" t="str">
            <v>PUTRA BARU/PONCOWATI</v>
          </cell>
          <cell r="C1919">
            <v>10878432.181818185</v>
          </cell>
          <cell r="D1919">
            <v>5983312.7727272734</v>
          </cell>
        </row>
        <row r="1920">
          <cell r="A1920" t="str">
            <v>CST0013692</v>
          </cell>
          <cell r="B1920" t="str">
            <v>PUTRA BARU/PROKLAMATOR</v>
          </cell>
          <cell r="C1920">
            <v>27604063.863636363</v>
          </cell>
          <cell r="D1920">
            <v>20202764.454545453</v>
          </cell>
        </row>
        <row r="1921">
          <cell r="A1921" t="str">
            <v>CST0013699</v>
          </cell>
          <cell r="B1921" t="str">
            <v>PUTRA BARU / BANDAR JAYA</v>
          </cell>
          <cell r="C1921">
            <v>6468884.3181818202</v>
          </cell>
          <cell r="D1921">
            <v>4419163.1818181835</v>
          </cell>
        </row>
        <row r="1922">
          <cell r="A1922" t="str">
            <v>CST0013720</v>
          </cell>
          <cell r="B1922" t="str">
            <v>AMINAH</v>
          </cell>
          <cell r="C1922">
            <v>1695513.4090909099</v>
          </cell>
          <cell r="D1922">
            <v>573818.18181818177</v>
          </cell>
        </row>
        <row r="1923">
          <cell r="A1923" t="str">
            <v>CST0013728</v>
          </cell>
          <cell r="B1923" t="str">
            <v>MULUD</v>
          </cell>
          <cell r="C1923">
            <v>238397.72727272726</v>
          </cell>
        </row>
        <row r="1924">
          <cell r="A1924" t="str">
            <v>CST0013736</v>
          </cell>
          <cell r="B1924" t="str">
            <v>AMIN</v>
          </cell>
          <cell r="C1924">
            <v>264886.36363636365</v>
          </cell>
        </row>
        <row r="1925">
          <cell r="A1925" t="str">
            <v>CST0013795</v>
          </cell>
          <cell r="B1925" t="str">
            <v>TEGAR</v>
          </cell>
          <cell r="C1925">
            <v>2149646.8181818184</v>
          </cell>
          <cell r="D1925">
            <v>2046508.1818181814</v>
          </cell>
        </row>
        <row r="1926">
          <cell r="A1926" t="str">
            <v>CST0013836</v>
          </cell>
          <cell r="B1926" t="str">
            <v>QUEEN KOSMETIK</v>
          </cell>
          <cell r="C1926">
            <v>1748975.2272727271</v>
          </cell>
          <cell r="D1926">
            <v>2111828.6363636362</v>
          </cell>
        </row>
        <row r="1927">
          <cell r="A1927" t="str">
            <v>CST0013840</v>
          </cell>
          <cell r="B1927" t="str">
            <v>DEWI B.JAYA</v>
          </cell>
          <cell r="C1927">
            <v>807621.81818181823</v>
          </cell>
          <cell r="D1927">
            <v>565418.18181818188</v>
          </cell>
        </row>
        <row r="1928">
          <cell r="A1928" t="str">
            <v>CST0014246</v>
          </cell>
          <cell r="B1928" t="str">
            <v>INDAH</v>
          </cell>
          <cell r="C1928">
            <v>527451.81818181823</v>
          </cell>
          <cell r="D1928">
            <v>0</v>
          </cell>
        </row>
        <row r="1929">
          <cell r="A1929" t="str">
            <v>CST0014419</v>
          </cell>
          <cell r="B1929" t="str">
            <v>ARMY</v>
          </cell>
          <cell r="C1929">
            <v>635727.27272727259</v>
          </cell>
          <cell r="D1929">
            <v>953590.90909090894</v>
          </cell>
        </row>
        <row r="1930">
          <cell r="A1930" t="str">
            <v>CST0014882</v>
          </cell>
          <cell r="B1930" t="str">
            <v>SARMINI</v>
          </cell>
          <cell r="C1930">
            <v>317863.63636363635</v>
          </cell>
        </row>
        <row r="1931">
          <cell r="A1931" t="str">
            <v>CST0015086</v>
          </cell>
          <cell r="B1931" t="str">
            <v>KENCANA</v>
          </cell>
          <cell r="C1931">
            <v>560436.36363636365</v>
          </cell>
          <cell r="D1931">
            <v>749397.27272727259</v>
          </cell>
        </row>
        <row r="1932">
          <cell r="A1932" t="str">
            <v>CST0015089</v>
          </cell>
          <cell r="B1932" t="str">
            <v>TANJUNG</v>
          </cell>
          <cell r="C1932">
            <v>13133792.045454545</v>
          </cell>
        </row>
        <row r="1933">
          <cell r="A1933" t="str">
            <v>CST0015101</v>
          </cell>
          <cell r="B1933" t="str">
            <v>TIGA SATU</v>
          </cell>
          <cell r="C1933">
            <v>408443.18181818182</v>
          </cell>
        </row>
        <row r="1934">
          <cell r="A1934" t="str">
            <v>CST0015111</v>
          </cell>
          <cell r="B1934" t="str">
            <v>ANEKA BARU</v>
          </cell>
          <cell r="C1934">
            <v>1060993.1818181816</v>
          </cell>
          <cell r="D1934">
            <v>1063693.1818181819</v>
          </cell>
        </row>
        <row r="1935">
          <cell r="A1935" t="str">
            <v>CST0015115</v>
          </cell>
          <cell r="B1935" t="str">
            <v>ANEKA WARNA</v>
          </cell>
          <cell r="C1935">
            <v>317863.63636363635</v>
          </cell>
        </row>
        <row r="1936">
          <cell r="A1936" t="str">
            <v>CST0015150</v>
          </cell>
          <cell r="B1936" t="str">
            <v>DELAPAN JAYA</v>
          </cell>
          <cell r="C1936">
            <v>601063.63636363624</v>
          </cell>
        </row>
        <row r="1937">
          <cell r="A1937" t="str">
            <v>CST0016610</v>
          </cell>
          <cell r="B1937" t="str">
            <v>SRC ANDO</v>
          </cell>
          <cell r="C1937">
            <v>0</v>
          </cell>
          <cell r="D1937">
            <v>126000</v>
          </cell>
        </row>
        <row r="1938">
          <cell r="A1938" t="str">
            <v>CST0016661</v>
          </cell>
          <cell r="B1938" t="str">
            <v>FARABI</v>
          </cell>
          <cell r="C1938">
            <v>242102.27272727271</v>
          </cell>
          <cell r="D1938">
            <v>99900.000000000029</v>
          </cell>
        </row>
        <row r="1939">
          <cell r="A1939" t="str">
            <v>CST0016694</v>
          </cell>
          <cell r="B1939" t="str">
            <v>WINO (WINOV)</v>
          </cell>
          <cell r="C1939">
            <v>235420.45454545453</v>
          </cell>
        </row>
        <row r="1940">
          <cell r="A1940" t="str">
            <v>CST0018208</v>
          </cell>
          <cell r="B1940" t="str">
            <v>DONA</v>
          </cell>
          <cell r="C1940">
            <v>0</v>
          </cell>
        </row>
        <row r="1941">
          <cell r="A1941" t="str">
            <v>CST0018266</v>
          </cell>
          <cell r="B1941" t="str">
            <v>YASIN</v>
          </cell>
          <cell r="C1941">
            <v>953590.90909090883</v>
          </cell>
          <cell r="D1941">
            <v>257015.45454545459</v>
          </cell>
        </row>
        <row r="1942">
          <cell r="A1942" t="str">
            <v>CST0018274</v>
          </cell>
          <cell r="B1942" t="str">
            <v>KURNIA ABADI</v>
          </cell>
          <cell r="C1942">
            <v>317863.63636363629</v>
          </cell>
        </row>
        <row r="1943">
          <cell r="A1943" t="str">
            <v>CST0019310</v>
          </cell>
          <cell r="B1943" t="str">
            <v>ARIF SRIBAWONO</v>
          </cell>
          <cell r="C1943">
            <v>556261.36363636353</v>
          </cell>
          <cell r="D1943">
            <v>894170.45454545435</v>
          </cell>
        </row>
        <row r="1944">
          <cell r="A1944" t="str">
            <v>CST0019317</v>
          </cell>
          <cell r="B1944" t="str">
            <v>APT TEGAR FARMA</v>
          </cell>
          <cell r="C1944">
            <v>421605.68181818171</v>
          </cell>
          <cell r="D1944">
            <v>789896.18181818177</v>
          </cell>
        </row>
        <row r="1945">
          <cell r="A1945" t="str">
            <v>CST0019480</v>
          </cell>
          <cell r="B1945" t="str">
            <v>TOKO ANSORI</v>
          </cell>
          <cell r="C1945">
            <v>635727.27272727259</v>
          </cell>
          <cell r="D1945">
            <v>317863.63636363635</v>
          </cell>
        </row>
        <row r="1946">
          <cell r="A1946" t="str">
            <v>CST0019553</v>
          </cell>
          <cell r="B1946" t="str">
            <v>TOKO GIRI</v>
          </cell>
          <cell r="C1946">
            <v>1041518.6363636364</v>
          </cell>
          <cell r="D1946">
            <v>309531.81818181818</v>
          </cell>
        </row>
        <row r="1947">
          <cell r="A1947" t="str">
            <v>CST0019596</v>
          </cell>
          <cell r="B1947" t="str">
            <v>DANI/RIA</v>
          </cell>
          <cell r="C1947">
            <v>394150.90909090912</v>
          </cell>
          <cell r="D1947">
            <v>609238.63636363624</v>
          </cell>
        </row>
        <row r="1948">
          <cell r="A1948" t="str">
            <v>CST0019658</v>
          </cell>
          <cell r="B1948" t="str">
            <v>ERIK KOSMETIK</v>
          </cell>
          <cell r="C1948">
            <v>317863.63636363635</v>
          </cell>
        </row>
        <row r="1949">
          <cell r="A1949" t="str">
            <v>CST0019998</v>
          </cell>
          <cell r="B1949" t="str">
            <v xml:space="preserve">PAIRIN </v>
          </cell>
          <cell r="C1949">
            <v>439948.09090909094</v>
          </cell>
        </row>
        <row r="1950">
          <cell r="A1950" t="str">
            <v>CST0020045</v>
          </cell>
          <cell r="B1950" t="str">
            <v>TOKO NANA</v>
          </cell>
          <cell r="C1950">
            <v>155877.27272727274</v>
          </cell>
        </row>
        <row r="1951">
          <cell r="A1951" t="str">
            <v>CST0020050</v>
          </cell>
          <cell r="B1951" t="str">
            <v>TOKO INTAN</v>
          </cell>
          <cell r="C1951">
            <v>317863.63636363635</v>
          </cell>
        </row>
        <row r="1952">
          <cell r="A1952" t="str">
            <v>CST0020083</v>
          </cell>
          <cell r="B1952" t="str">
            <v>TOKO MBAH LEBO</v>
          </cell>
          <cell r="C1952">
            <v>4525857.2727272734</v>
          </cell>
          <cell r="D1952">
            <v>521863.63636363635</v>
          </cell>
        </row>
        <row r="1953">
          <cell r="A1953" t="str">
            <v>CST0020133</v>
          </cell>
          <cell r="B1953" t="str">
            <v>BAGUS</v>
          </cell>
          <cell r="C1953">
            <v>1804000.0000000014</v>
          </cell>
          <cell r="D1953">
            <v>549904.09090909082</v>
          </cell>
        </row>
        <row r="1954">
          <cell r="A1954" t="str">
            <v>CST0020145</v>
          </cell>
          <cell r="B1954" t="str">
            <v xml:space="preserve">SIFA/MBAK  MUN </v>
          </cell>
          <cell r="C1954">
            <v>384463.63636363635</v>
          </cell>
          <cell r="D1954">
            <v>442360.22727272724</v>
          </cell>
        </row>
        <row r="1955">
          <cell r="A1955" t="str">
            <v>CST0020189</v>
          </cell>
          <cell r="B1955" t="str">
            <v>TOKO WINDA</v>
          </cell>
          <cell r="C1955">
            <v>400320.90909090912</v>
          </cell>
          <cell r="D1955">
            <v>698742.72727272729</v>
          </cell>
        </row>
        <row r="1956">
          <cell r="A1956" t="str">
            <v>CST0020244</v>
          </cell>
          <cell r="B1956" t="str">
            <v>TOKO GRIYA COSMETIC</v>
          </cell>
          <cell r="C1956">
            <v>1832472.5000000002</v>
          </cell>
          <cell r="D1956">
            <v>1670997.9545454546</v>
          </cell>
        </row>
        <row r="1957">
          <cell r="A1957" t="str">
            <v>CST0020441</v>
          </cell>
          <cell r="B1957" t="str">
            <v>MM RUMAH BUKU</v>
          </cell>
          <cell r="C1957">
            <v>348590.45454545447</v>
          </cell>
          <cell r="D1957">
            <v>653629.77272727271</v>
          </cell>
        </row>
        <row r="1958">
          <cell r="A1958" t="str">
            <v>CST0020658</v>
          </cell>
          <cell r="B1958" t="str">
            <v>TOKO OKY</v>
          </cell>
          <cell r="C1958">
            <v>-1.4551915228366852E-11</v>
          </cell>
          <cell r="D1958">
            <v>35318.181818181816</v>
          </cell>
        </row>
        <row r="1959">
          <cell r="A1959" t="str">
            <v>CST0020736</v>
          </cell>
          <cell r="B1959" t="str">
            <v>SRC RUDI</v>
          </cell>
          <cell r="C1959">
            <v>614164.31818181823</v>
          </cell>
        </row>
        <row r="1960">
          <cell r="A1960" t="str">
            <v>CST0021179</v>
          </cell>
          <cell r="B1960" t="str">
            <v>SINAR MM</v>
          </cell>
          <cell r="C1960">
            <v>-22780.227272727272</v>
          </cell>
          <cell r="D1960">
            <v>451063.63636363635</v>
          </cell>
        </row>
        <row r="1961">
          <cell r="A1961" t="str">
            <v>CST0021278</v>
          </cell>
          <cell r="B1961" t="str">
            <v>SRC ENI</v>
          </cell>
          <cell r="C1961">
            <v>678920.45454545447</v>
          </cell>
          <cell r="D1961">
            <v>-56318.181818181816</v>
          </cell>
        </row>
        <row r="1962">
          <cell r="A1962" t="str">
            <v>CST0021308</v>
          </cell>
          <cell r="B1962" t="str">
            <v>ERNI</v>
          </cell>
          <cell r="C1962">
            <v>2.9103830456733704E-11</v>
          </cell>
        </row>
        <row r="1963">
          <cell r="A1963" t="str">
            <v>CST0021329</v>
          </cell>
          <cell r="B1963" t="str">
            <v>TOKO BUDI JAYA</v>
          </cell>
          <cell r="C1963">
            <v>1016858.6363636364</v>
          </cell>
          <cell r="D1963">
            <v>96872.727272727279</v>
          </cell>
        </row>
        <row r="1964">
          <cell r="A1964" t="str">
            <v>CST0021350</v>
          </cell>
          <cell r="B1964" t="str">
            <v>NAHWA</v>
          </cell>
          <cell r="C1964">
            <v>894216.81818181835</v>
          </cell>
        </row>
        <row r="1965">
          <cell r="A1965" t="str">
            <v>CST0021843</v>
          </cell>
          <cell r="B1965" t="str">
            <v>ZIDAN</v>
          </cell>
          <cell r="C1965">
            <v>317863.63636363629</v>
          </cell>
          <cell r="D1965">
            <v>635727.27272727259</v>
          </cell>
        </row>
        <row r="1966">
          <cell r="A1966" t="str">
            <v>CST0021913</v>
          </cell>
          <cell r="B1966" t="str">
            <v>TOKO TATA</v>
          </cell>
          <cell r="C1966">
            <v>126524.09090909093</v>
          </cell>
          <cell r="D1966">
            <v>90086.363636363647</v>
          </cell>
        </row>
        <row r="1967">
          <cell r="A1967" t="str">
            <v>CST0022009</v>
          </cell>
          <cell r="B1967" t="str">
            <v>PATENT FARMA TO</v>
          </cell>
          <cell r="C1967">
            <v>920475</v>
          </cell>
        </row>
        <row r="1968">
          <cell r="A1968" t="str">
            <v>CST0022010</v>
          </cell>
          <cell r="B1968" t="str">
            <v>HASBI COSMETIK</v>
          </cell>
          <cell r="C1968">
            <v>2919865.0909090922</v>
          </cell>
          <cell r="D1968">
            <v>5692953.8636363652</v>
          </cell>
        </row>
        <row r="1969">
          <cell r="A1969" t="str">
            <v>CST0022014</v>
          </cell>
          <cell r="B1969" t="str">
            <v>CARNI SEHAT APOTIK</v>
          </cell>
          <cell r="C1969">
            <v>2664000</v>
          </cell>
          <cell r="D1969">
            <v>19187326.772727281</v>
          </cell>
        </row>
        <row r="1970">
          <cell r="A1970" t="str">
            <v>CST0022015</v>
          </cell>
          <cell r="B1970" t="str">
            <v>DIDI COSMETIC</v>
          </cell>
          <cell r="C1970">
            <v>25923236.181818191</v>
          </cell>
          <cell r="D1970">
            <v>19436606.454545457</v>
          </cell>
        </row>
        <row r="1971">
          <cell r="A1971" t="str">
            <v>CST0022017</v>
          </cell>
          <cell r="B1971" t="str">
            <v>HAIDIL COSMETIK</v>
          </cell>
          <cell r="C1971">
            <v>-544076.59090909094</v>
          </cell>
          <cell r="D1971">
            <v>962835.27272727271</v>
          </cell>
        </row>
        <row r="1972">
          <cell r="A1972" t="str">
            <v>CST0022020</v>
          </cell>
          <cell r="B1972" t="str">
            <v>ARAZAKI TOKO CR</v>
          </cell>
          <cell r="C1972">
            <v>3199854.5454545454</v>
          </cell>
        </row>
        <row r="1973">
          <cell r="A1973" t="str">
            <v>CST0022021</v>
          </cell>
          <cell r="B1973" t="str">
            <v>YUS CARNI SEHAT TOKO OBAT</v>
          </cell>
          <cell r="C1973">
            <v>1414660.9090909089</v>
          </cell>
        </row>
        <row r="1974">
          <cell r="A1974" t="str">
            <v>CST0022034</v>
          </cell>
          <cell r="B1974" t="str">
            <v>KHATULISTIWA NEW/TOKO NK</v>
          </cell>
          <cell r="C1974">
            <v>273585055.4654544</v>
          </cell>
          <cell r="D1974">
            <v>269732741.3636362</v>
          </cell>
        </row>
        <row r="1975">
          <cell r="A1975" t="str">
            <v>CST0022038</v>
          </cell>
          <cell r="B1975" t="str">
            <v>HAPITS APOTEK</v>
          </cell>
          <cell r="C1975">
            <v>773525.45454545447</v>
          </cell>
          <cell r="D1975">
            <v>546725.45454545447</v>
          </cell>
        </row>
        <row r="1976">
          <cell r="A1976" t="str">
            <v>CST0022040</v>
          </cell>
          <cell r="B1976" t="str">
            <v>DUA SAUDARA TOKO</v>
          </cell>
          <cell r="C1976">
            <v>679925.45454545447</v>
          </cell>
          <cell r="D1976">
            <v>660125.45454545459</v>
          </cell>
        </row>
        <row r="1977">
          <cell r="A1977" t="str">
            <v>CST0022045</v>
          </cell>
          <cell r="B1977" t="str">
            <v>HOSSANA</v>
          </cell>
          <cell r="C1977">
            <v>1997427.2727272722</v>
          </cell>
          <cell r="D1977">
            <v>1561281.8181818181</v>
          </cell>
        </row>
        <row r="1978">
          <cell r="A1978" t="str">
            <v>CST0022053</v>
          </cell>
          <cell r="B1978" t="str">
            <v>MARANATHA APOTEK</v>
          </cell>
          <cell r="C1978">
            <v>2756482.0909090922</v>
          </cell>
          <cell r="D1978">
            <v>300000</v>
          </cell>
        </row>
        <row r="1979">
          <cell r="A1979" t="str">
            <v>CST0022061</v>
          </cell>
          <cell r="B1979" t="str">
            <v>MEDISTRO FARMA APOTIK</v>
          </cell>
          <cell r="C1979">
            <v>1972822.7727272732</v>
          </cell>
          <cell r="D1979">
            <v>470438.18181818177</v>
          </cell>
        </row>
        <row r="1980">
          <cell r="A1980" t="str">
            <v>CST0022074</v>
          </cell>
          <cell r="B1980" t="str">
            <v>SRIWIJAYA TOKO OBAT</v>
          </cell>
          <cell r="C1980">
            <v>317863.63636363635</v>
          </cell>
        </row>
        <row r="1981">
          <cell r="A1981" t="str">
            <v>CST0022081</v>
          </cell>
          <cell r="B1981" t="str">
            <v>DIJA RB TOKO</v>
          </cell>
          <cell r="C1981">
            <v>136681.36363636365</v>
          </cell>
        </row>
        <row r="1982">
          <cell r="A1982" t="str">
            <v>CST0022084</v>
          </cell>
          <cell r="B1982" t="str">
            <v>KOYA MM</v>
          </cell>
          <cell r="C1982">
            <v>456238.63636363635</v>
          </cell>
          <cell r="D1982">
            <v>177600.00000000003</v>
          </cell>
        </row>
        <row r="1983">
          <cell r="A1983" t="str">
            <v>CST0022087</v>
          </cell>
          <cell r="B1983" t="str">
            <v>OSHENA COSMETIC</v>
          </cell>
          <cell r="C1983">
            <v>2119090.9090909092</v>
          </cell>
          <cell r="D1983">
            <v>1578343.0909090908</v>
          </cell>
        </row>
        <row r="1984">
          <cell r="A1984" t="str">
            <v>CST0022109</v>
          </cell>
          <cell r="B1984" t="str">
            <v>NRL TOKO</v>
          </cell>
          <cell r="C1984">
            <v>832222.49999999988</v>
          </cell>
          <cell r="D1984">
            <v>637896.36363636353</v>
          </cell>
        </row>
        <row r="1985">
          <cell r="A1985" t="str">
            <v>CST0022117</v>
          </cell>
          <cell r="B1985" t="str">
            <v>TEGAR MINI MARKET</v>
          </cell>
          <cell r="C1985">
            <v>419352.27272727271</v>
          </cell>
          <cell r="D1985">
            <v>252000</v>
          </cell>
        </row>
        <row r="1986">
          <cell r="A1986" t="str">
            <v>CST0022130</v>
          </cell>
          <cell r="B1986" t="str">
            <v>URANO TOKO</v>
          </cell>
          <cell r="C1986">
            <v>259588.63636363641</v>
          </cell>
        </row>
        <row r="1987">
          <cell r="A1987" t="str">
            <v>CST0022146</v>
          </cell>
          <cell r="B1987" t="str">
            <v>SINAR BARU TOKO</v>
          </cell>
          <cell r="C1987">
            <v>2262920.7272727271</v>
          </cell>
          <cell r="D1987">
            <v>3734650.9090909087</v>
          </cell>
        </row>
        <row r="1988">
          <cell r="A1988" t="str">
            <v>CST0022150</v>
          </cell>
          <cell r="B1988" t="str">
            <v>SAUDARA DISVA</v>
          </cell>
          <cell r="C1988">
            <v>899554.09090909071</v>
          </cell>
        </row>
        <row r="1989">
          <cell r="A1989" t="str">
            <v>CST0022156</v>
          </cell>
          <cell r="B1989" t="str">
            <v>MATA AIR MM.</v>
          </cell>
          <cell r="C1989">
            <v>335875.90909090906</v>
          </cell>
          <cell r="D1989">
            <v>1756030.2272727273</v>
          </cell>
        </row>
        <row r="1990">
          <cell r="A1990" t="str">
            <v>CST0022223</v>
          </cell>
          <cell r="B1990" t="str">
            <v>HARUM KOSMETIK</v>
          </cell>
          <cell r="C1990">
            <v>489510</v>
          </cell>
        </row>
        <row r="1991">
          <cell r="A1991" t="str">
            <v>CST0022242</v>
          </cell>
          <cell r="B1991" t="str">
            <v>ROLLI TOKO</v>
          </cell>
          <cell r="C1991">
            <v>133200.00000000003</v>
          </cell>
          <cell r="D1991">
            <v>218340.68181818182</v>
          </cell>
        </row>
        <row r="1992">
          <cell r="A1992" t="str">
            <v>CST0022272</v>
          </cell>
          <cell r="B1992" t="str">
            <v>AGHIS MM</v>
          </cell>
          <cell r="C1992">
            <v>452955.68181818188</v>
          </cell>
        </row>
        <row r="1993">
          <cell r="A1993" t="str">
            <v>CST0022316</v>
          </cell>
          <cell r="B1993" t="str">
            <v>MILA FARMA APOTEK</v>
          </cell>
          <cell r="C1993">
            <v>675816</v>
          </cell>
        </row>
        <row r="1994">
          <cell r="A1994" t="str">
            <v>CST0022380</v>
          </cell>
          <cell r="B1994" t="str">
            <v>DINI</v>
          </cell>
          <cell r="C1994">
            <v>24218.18181818182</v>
          </cell>
          <cell r="D1994">
            <v>0</v>
          </cell>
        </row>
        <row r="1995">
          <cell r="A1995" t="str">
            <v>CST0022405</v>
          </cell>
          <cell r="B1995" t="str">
            <v xml:space="preserve">EVA/SEMULI </v>
          </cell>
          <cell r="C1995">
            <v>548249.18181818177</v>
          </cell>
          <cell r="D1995">
            <v>1180389.5454545452</v>
          </cell>
        </row>
        <row r="1996">
          <cell r="A1996" t="str">
            <v>CST0022442</v>
          </cell>
          <cell r="B1996" t="str">
            <v>RETRI TOKO</v>
          </cell>
          <cell r="C1996">
            <v>1497036.8181818186</v>
          </cell>
        </row>
        <row r="1997">
          <cell r="A1997" t="str">
            <v>CST0022463</v>
          </cell>
          <cell r="B1997" t="str">
            <v>WIDA TOKO</v>
          </cell>
          <cell r="C1997">
            <v>0</v>
          </cell>
          <cell r="D1997">
            <v>16650.000000000004</v>
          </cell>
        </row>
        <row r="1998">
          <cell r="A1998" t="str">
            <v>CST0022477</v>
          </cell>
          <cell r="B1998" t="str">
            <v>REMAJA KAMPUS BKL</v>
          </cell>
          <cell r="C1998">
            <v>1444838.1818181821</v>
          </cell>
          <cell r="D1998">
            <v>996764.31818181812</v>
          </cell>
        </row>
        <row r="1999">
          <cell r="A1999" t="str">
            <v>CST0022500</v>
          </cell>
          <cell r="B1999" t="str">
            <v>KIDDY MM</v>
          </cell>
          <cell r="C1999">
            <v>205022.04545454547</v>
          </cell>
          <cell r="D1999">
            <v>346849.22727272729</v>
          </cell>
        </row>
        <row r="2000">
          <cell r="A2000" t="str">
            <v>CST0022510</v>
          </cell>
          <cell r="B2000" t="str">
            <v>MM 88</v>
          </cell>
          <cell r="C2000">
            <v>913222.95454545447</v>
          </cell>
          <cell r="D2000">
            <v>198900</v>
          </cell>
        </row>
        <row r="2001">
          <cell r="A2001" t="str">
            <v>CST0022562</v>
          </cell>
          <cell r="B2001" t="str">
            <v>KIKI TOKO</v>
          </cell>
          <cell r="C2001">
            <v>185420.45454545456</v>
          </cell>
        </row>
        <row r="2002">
          <cell r="A2002" t="str">
            <v>CST0022589</v>
          </cell>
          <cell r="B2002" t="str">
            <v>BAYU BAJAK TOKO</v>
          </cell>
          <cell r="C2002">
            <v>12109.09090909091</v>
          </cell>
        </row>
        <row r="2003">
          <cell r="A2003" t="str">
            <v>CST0022599</v>
          </cell>
          <cell r="B2003" t="str">
            <v>LIMA SAUDARA LS TOKO</v>
          </cell>
          <cell r="C2003">
            <v>178094.45454545456</v>
          </cell>
        </row>
        <row r="2004">
          <cell r="A2004" t="str">
            <v>CST0022649</v>
          </cell>
          <cell r="B2004" t="str">
            <v>TOKO HENNI</v>
          </cell>
          <cell r="C2004">
            <v>55626.136363636368</v>
          </cell>
        </row>
        <row r="2005">
          <cell r="A2005" t="str">
            <v>CST0022692</v>
          </cell>
          <cell r="B2005" t="str">
            <v>TIKHA MM</v>
          </cell>
          <cell r="C2005">
            <v>56000</v>
          </cell>
        </row>
        <row r="2006">
          <cell r="A2006" t="str">
            <v>CST0022695</v>
          </cell>
          <cell r="B2006" t="str">
            <v>BARATA</v>
          </cell>
          <cell r="C2006">
            <v>273362.72727272729</v>
          </cell>
          <cell r="D2006">
            <v>473665.90909090912</v>
          </cell>
        </row>
        <row r="2007">
          <cell r="A2007" t="str">
            <v>CST0022743</v>
          </cell>
          <cell r="B2007" t="str">
            <v>TOKO AMIR CHAN</v>
          </cell>
          <cell r="C2007">
            <v>530832.27272727259</v>
          </cell>
          <cell r="D2007">
            <v>322200</v>
          </cell>
        </row>
        <row r="2008">
          <cell r="A2008" t="str">
            <v>CST0022747</v>
          </cell>
          <cell r="B2008" t="str">
            <v>ELY BUAH</v>
          </cell>
          <cell r="C2008">
            <v>247731.81818181818</v>
          </cell>
          <cell r="D2008">
            <v>266400.00000000006</v>
          </cell>
        </row>
        <row r="2009">
          <cell r="A2009" t="str">
            <v>CST0022805</v>
          </cell>
          <cell r="B2009" t="str">
            <v>KAPUAS MM</v>
          </cell>
          <cell r="C2009">
            <v>736823.04545454553</v>
          </cell>
          <cell r="D2009">
            <v>793518.13636363635</v>
          </cell>
        </row>
        <row r="2010">
          <cell r="A2010" t="str">
            <v>CST0022823</v>
          </cell>
          <cell r="B2010" t="str">
            <v>ENGGI MART</v>
          </cell>
          <cell r="C2010">
            <v>111000.00000000003</v>
          </cell>
          <cell r="D2010">
            <v>59284.090909090912</v>
          </cell>
        </row>
        <row r="2011">
          <cell r="A2011" t="str">
            <v>CST0022883</v>
          </cell>
          <cell r="B2011" t="str">
            <v>AMANAH</v>
          </cell>
          <cell r="C2011">
            <v>1272044.8181818188</v>
          </cell>
          <cell r="D2011">
            <v>293191.36363636365</v>
          </cell>
        </row>
        <row r="2012">
          <cell r="A2012" t="str">
            <v>CST0022971</v>
          </cell>
          <cell r="B2012" t="str">
            <v xml:space="preserve">BALI MART </v>
          </cell>
          <cell r="C2012">
            <v>186439.63636363635</v>
          </cell>
        </row>
        <row r="2013">
          <cell r="A2013" t="str">
            <v>CST0022974</v>
          </cell>
          <cell r="B2013" t="str">
            <v>UCOK MERPAS</v>
          </cell>
          <cell r="C2013">
            <v>331354.54545454541</v>
          </cell>
          <cell r="D2013">
            <v>255426.13636363641</v>
          </cell>
        </row>
        <row r="2014">
          <cell r="A2014" t="str">
            <v>CST0022979</v>
          </cell>
          <cell r="B2014" t="str">
            <v>LIZA TOKO</v>
          </cell>
          <cell r="C2014">
            <v>205800</v>
          </cell>
        </row>
        <row r="2015">
          <cell r="A2015" t="str">
            <v>CST0022980</v>
          </cell>
          <cell r="B2015" t="str">
            <v xml:space="preserve">CACA TOKO </v>
          </cell>
          <cell r="C2015">
            <v>214977.27272727271</v>
          </cell>
        </row>
        <row r="2016">
          <cell r="A2016" t="str">
            <v>CST0023002</v>
          </cell>
          <cell r="B2016" t="str">
            <v>DENI</v>
          </cell>
          <cell r="C2016">
            <v>26488.636363636364</v>
          </cell>
        </row>
        <row r="2017">
          <cell r="A2017" t="str">
            <v>CST0023003</v>
          </cell>
          <cell r="B2017" t="str">
            <v>OLIVIA</v>
          </cell>
          <cell r="C2017">
            <v>12109.09090909091</v>
          </cell>
        </row>
        <row r="2018">
          <cell r="A2018" t="str">
            <v>CST0023007</v>
          </cell>
          <cell r="B2018" t="str">
            <v>TOKO EKA</v>
          </cell>
          <cell r="C2018">
            <v>36327.272727272728</v>
          </cell>
        </row>
        <row r="2019">
          <cell r="A2019" t="str">
            <v>CST0023055</v>
          </cell>
          <cell r="B2019" t="str">
            <v>ONE MART</v>
          </cell>
          <cell r="C2019">
            <v>1206061.3636363638</v>
          </cell>
          <cell r="D2019">
            <v>774129.54545454541</v>
          </cell>
        </row>
        <row r="2020">
          <cell r="A2020" t="str">
            <v>CST0023062</v>
          </cell>
          <cell r="B2020" t="str">
            <v>HANIF / HANIFA-MUKO</v>
          </cell>
          <cell r="C2020">
            <v>211909.09090909088</v>
          </cell>
        </row>
        <row r="2021">
          <cell r="A2021" t="str">
            <v>CST0023097</v>
          </cell>
          <cell r="B2021" t="str">
            <v>JB TRANSPORT</v>
          </cell>
          <cell r="C2021">
            <v>1425432.2727272727</v>
          </cell>
          <cell r="D2021">
            <v>614200</v>
          </cell>
        </row>
        <row r="2022">
          <cell r="A2022" t="str">
            <v>CST0023149</v>
          </cell>
          <cell r="B2022" t="str">
            <v>HOSSANA MM</v>
          </cell>
          <cell r="C2022">
            <v>1625408.1818181819</v>
          </cell>
        </row>
        <row r="2023">
          <cell r="A2023" t="str">
            <v>CST0023162</v>
          </cell>
          <cell r="B2023" t="str">
            <v>HENI</v>
          </cell>
          <cell r="C2023">
            <v>88800.000000000015</v>
          </cell>
          <cell r="D2023">
            <v>41650</v>
          </cell>
        </row>
        <row r="2024">
          <cell r="A2024" t="str">
            <v>CST0023218</v>
          </cell>
          <cell r="B2024" t="str">
            <v>CAHAYA TOKO</v>
          </cell>
          <cell r="C2024">
            <v>151800</v>
          </cell>
          <cell r="D2024">
            <v>44400.000000000007</v>
          </cell>
        </row>
        <row r="2025">
          <cell r="A2025" t="str">
            <v>CST0023253</v>
          </cell>
          <cell r="B2025" t="str">
            <v xml:space="preserve">NIDA TOKO </v>
          </cell>
          <cell r="C2025">
            <v>113400</v>
          </cell>
        </row>
        <row r="2026">
          <cell r="A2026" t="str">
            <v>CST0023372</v>
          </cell>
          <cell r="B2026" t="str">
            <v>TALANG 9 / T9 MINIMARKET</v>
          </cell>
          <cell r="C2026">
            <v>273806.59090909094</v>
          </cell>
          <cell r="D2026">
            <v>367736.04545454547</v>
          </cell>
        </row>
        <row r="2027">
          <cell r="A2027" t="str">
            <v>CST0023458</v>
          </cell>
          <cell r="B2027" t="str">
            <v>DIOS</v>
          </cell>
          <cell r="C2027">
            <v>16650.000000000004</v>
          </cell>
          <cell r="D2027">
            <v>40868.181818181823</v>
          </cell>
        </row>
        <row r="2028">
          <cell r="A2028" t="str">
            <v>CST0023495</v>
          </cell>
          <cell r="B2028" t="str">
            <v>JEREMI TOKO</v>
          </cell>
          <cell r="C2028">
            <v>0</v>
          </cell>
        </row>
        <row r="2029">
          <cell r="A2029" t="str">
            <v>CST0023558</v>
          </cell>
          <cell r="B2029" t="str">
            <v>ADVENT MM</v>
          </cell>
          <cell r="C2029">
            <v>561826.36363636376</v>
          </cell>
          <cell r="D2029">
            <v>345108</v>
          </cell>
        </row>
        <row r="2030">
          <cell r="A2030" t="str">
            <v>CST0023836</v>
          </cell>
          <cell r="B2030" t="str">
            <v>RAFI CURUP</v>
          </cell>
          <cell r="C2030">
            <v>337909.09090909088</v>
          </cell>
        </row>
        <row r="2031">
          <cell r="A2031" t="str">
            <v>CST0023849</v>
          </cell>
          <cell r="B2031" t="str">
            <v xml:space="preserve">ANAS TOKO </v>
          </cell>
          <cell r="C2031">
            <v>317863.63636363635</v>
          </cell>
        </row>
        <row r="2032">
          <cell r="A2032" t="str">
            <v>CST0023851</v>
          </cell>
          <cell r="B2032" t="str">
            <v xml:space="preserve">INDAH CURUP </v>
          </cell>
          <cell r="C2032">
            <v>226800</v>
          </cell>
        </row>
        <row r="2033">
          <cell r="A2033" t="str">
            <v>CST0023887</v>
          </cell>
          <cell r="B2033" t="str">
            <v>SUMBER TANI</v>
          </cell>
          <cell r="C2033">
            <v>451985.68181818182</v>
          </cell>
          <cell r="D2033">
            <v>1143293.8636363635</v>
          </cell>
        </row>
        <row r="2034">
          <cell r="A2034" t="str">
            <v>CST0023913</v>
          </cell>
          <cell r="B2034" t="str">
            <v>TIRA COS</v>
          </cell>
          <cell r="C2034">
            <v>648254.09090909082</v>
          </cell>
          <cell r="D2034">
            <v>699348.18181818165</v>
          </cell>
        </row>
        <row r="2035">
          <cell r="A2035" t="str">
            <v>CST0023928</v>
          </cell>
          <cell r="B2035" t="str">
            <v>DESI PUTRI HIJAU</v>
          </cell>
          <cell r="C2035">
            <v>211909.09090909088</v>
          </cell>
        </row>
        <row r="2036">
          <cell r="A2036" t="str">
            <v>CST0023979</v>
          </cell>
          <cell r="B2036" t="str">
            <v>INAL TOKO MANISAN</v>
          </cell>
          <cell r="C2036">
            <v>163699.77272727271</v>
          </cell>
          <cell r="D2036">
            <v>432895.90909090906</v>
          </cell>
        </row>
        <row r="2037">
          <cell r="A2037" t="str">
            <v>CST0023986</v>
          </cell>
          <cell r="B2037" t="str">
            <v>KOSMETIK DEVINA</v>
          </cell>
          <cell r="C2037">
            <v>4021417.6363636362</v>
          </cell>
          <cell r="D2037">
            <v>3224945.4545454546</v>
          </cell>
        </row>
        <row r="2038">
          <cell r="A2038" t="str">
            <v>CST0023990</v>
          </cell>
          <cell r="B2038" t="str">
            <v>MATA AIR M3A MM</v>
          </cell>
          <cell r="C2038">
            <v>2456174.4545454551</v>
          </cell>
          <cell r="D2038">
            <v>1600127.7272727275</v>
          </cell>
        </row>
        <row r="2039">
          <cell r="A2039" t="str">
            <v>CST0024050</v>
          </cell>
          <cell r="B2039" t="str">
            <v xml:space="preserve">GINTING </v>
          </cell>
          <cell r="C2039">
            <v>206500</v>
          </cell>
          <cell r="D2039">
            <v>354000</v>
          </cell>
        </row>
        <row r="2040">
          <cell r="A2040" t="str">
            <v>CST0024097</v>
          </cell>
          <cell r="B2040" t="str">
            <v>TULUS FARMA APOTIK</v>
          </cell>
          <cell r="C2040">
            <v>2604725.2272727275</v>
          </cell>
          <cell r="D2040">
            <v>426693.54545454553</v>
          </cell>
        </row>
        <row r="2041">
          <cell r="A2041" t="str">
            <v>CST0024103</v>
          </cell>
          <cell r="B2041" t="str">
            <v>PUTRI COSMETIC</v>
          </cell>
          <cell r="C2041">
            <v>7525629.5454545468</v>
          </cell>
          <cell r="D2041">
            <v>1139684.6363636365</v>
          </cell>
        </row>
        <row r="2042">
          <cell r="A2042" t="str">
            <v>CST0024113</v>
          </cell>
          <cell r="B2042" t="str">
            <v>KIREI COSMETIC</v>
          </cell>
          <cell r="C2042">
            <v>705657.27272727271</v>
          </cell>
          <cell r="D2042">
            <v>1738862.7272727271</v>
          </cell>
        </row>
        <row r="2043">
          <cell r="A2043" t="str">
            <v>CST0024134</v>
          </cell>
          <cell r="B2043" t="str">
            <v>TOKO RIZKY</v>
          </cell>
          <cell r="C2043">
            <v>52977.272727272728</v>
          </cell>
          <cell r="D2043">
            <v>211909.09090909091</v>
          </cell>
        </row>
        <row r="2044">
          <cell r="A2044" t="str">
            <v>CST0024156</v>
          </cell>
          <cell r="B2044" t="str">
            <v xml:space="preserve">ANUGRAH APOTIK </v>
          </cell>
          <cell r="C2044">
            <v>2003539.7727272732</v>
          </cell>
          <cell r="D2044">
            <v>1611166.3636363635</v>
          </cell>
        </row>
        <row r="2045">
          <cell r="A2045" t="str">
            <v>CST0024450</v>
          </cell>
          <cell r="B2045" t="str">
            <v>CARINGIN</v>
          </cell>
          <cell r="C2045">
            <v>874881.81818181812</v>
          </cell>
          <cell r="D2045">
            <v>530863.63636363624</v>
          </cell>
        </row>
        <row r="2046">
          <cell r="A2046" t="str">
            <v>CST0024530</v>
          </cell>
          <cell r="B2046" t="str">
            <v>SRC CELIN</v>
          </cell>
          <cell r="C2046">
            <v>52977.272727272728</v>
          </cell>
        </row>
        <row r="2047">
          <cell r="A2047" t="str">
            <v>CST0024573</v>
          </cell>
          <cell r="B2047" t="str">
            <v>KURNIAWAN/H.BAHAR</v>
          </cell>
          <cell r="C2047">
            <v>4091877.2727272739</v>
          </cell>
          <cell r="D2047">
            <v>1855718.1818181816</v>
          </cell>
        </row>
        <row r="2048">
          <cell r="A2048" t="str">
            <v>CST0024601</v>
          </cell>
          <cell r="B2048" t="str">
            <v>SAUDARA DISVA 2</v>
          </cell>
          <cell r="C2048">
            <v>1581969.9545454546</v>
          </cell>
          <cell r="D2048">
            <v>2296464.5454545454</v>
          </cell>
        </row>
        <row r="2049">
          <cell r="A2049" t="str">
            <v>CST0024717</v>
          </cell>
          <cell r="B2049" t="str">
            <v>MITRA USAHA</v>
          </cell>
          <cell r="C2049">
            <v>-44400.000000000007</v>
          </cell>
          <cell r="D2049">
            <v>706261.36363636353</v>
          </cell>
        </row>
        <row r="2050">
          <cell r="A2050" t="str">
            <v>CST0024837</v>
          </cell>
          <cell r="B2050" t="str">
            <v>EMAS MM</v>
          </cell>
          <cell r="C2050">
            <v>317863.63636363635</v>
          </cell>
        </row>
        <row r="2051">
          <cell r="A2051" t="str">
            <v>CST0024909</v>
          </cell>
          <cell r="B2051" t="str">
            <v>ALFIANDRA</v>
          </cell>
          <cell r="C2051">
            <v>18542.045454545456</v>
          </cell>
          <cell r="D2051">
            <v>72654.545454545456</v>
          </cell>
        </row>
        <row r="2052">
          <cell r="A2052" t="str">
            <v>CST0024932</v>
          </cell>
          <cell r="B2052" t="str">
            <v>GAURI</v>
          </cell>
          <cell r="C2052">
            <v>247800</v>
          </cell>
          <cell r="D2052">
            <v>146636.36363636365</v>
          </cell>
        </row>
        <row r="2053">
          <cell r="A2053" t="str">
            <v>CST0025019</v>
          </cell>
          <cell r="B2053" t="str">
            <v>TOKO SOFIA</v>
          </cell>
          <cell r="C2053">
            <v>105954.54545454544</v>
          </cell>
        </row>
        <row r="2054">
          <cell r="A2054" t="str">
            <v>CST0025138</v>
          </cell>
          <cell r="B2054" t="str">
            <v>LARAS</v>
          </cell>
          <cell r="C2054">
            <v>66600.000000000029</v>
          </cell>
        </row>
        <row r="2055">
          <cell r="A2055" t="str">
            <v>CST0025140</v>
          </cell>
          <cell r="B2055" t="str">
            <v xml:space="preserve">KUSUMA MART </v>
          </cell>
          <cell r="C2055">
            <v>1273236.5454545452</v>
          </cell>
          <cell r="D2055">
            <v>917609.0454545453</v>
          </cell>
        </row>
        <row r="2056">
          <cell r="A2056" t="str">
            <v>CST0025144</v>
          </cell>
          <cell r="B2056" t="str">
            <v>ANGEL KITTY</v>
          </cell>
          <cell r="C2056">
            <v>225531.81818181818</v>
          </cell>
        </row>
        <row r="2057">
          <cell r="A2057" t="str">
            <v>CST0025150</v>
          </cell>
          <cell r="B2057" t="str">
            <v>PT. MYLOVA GRUP INTERNASIONAL</v>
          </cell>
          <cell r="C2057">
            <v>95760883.909090817</v>
          </cell>
        </row>
        <row r="2058">
          <cell r="B2058" t="str">
            <v>MYLOVA GRUP INTERNASIONAL</v>
          </cell>
          <cell r="D2058">
            <v>52276634.318181813</v>
          </cell>
        </row>
        <row r="2059">
          <cell r="A2059" t="str">
            <v>CST0025200</v>
          </cell>
          <cell r="B2059" t="str">
            <v>TOKO JELSI</v>
          </cell>
          <cell r="C2059">
            <v>26488.636363636364</v>
          </cell>
          <cell r="D2059">
            <v>46000</v>
          </cell>
        </row>
        <row r="2060">
          <cell r="A2060" t="str">
            <v>CST0025361</v>
          </cell>
          <cell r="B2060" t="str">
            <v>TOKO BANG NUR</v>
          </cell>
          <cell r="C2060">
            <v>67745.454545454544</v>
          </cell>
          <cell r="D2060">
            <v>56700</v>
          </cell>
        </row>
        <row r="2061">
          <cell r="A2061" t="str">
            <v>CST0025468</v>
          </cell>
          <cell r="B2061" t="str">
            <v>DONI</v>
          </cell>
          <cell r="C2061">
            <v>245342.04545454547</v>
          </cell>
          <cell r="D2061">
            <v>231954</v>
          </cell>
        </row>
        <row r="2062">
          <cell r="A2062" t="str">
            <v>CST0025473</v>
          </cell>
          <cell r="B2062" t="str">
            <v>VELLY</v>
          </cell>
          <cell r="C2062">
            <v>463021.36363636353</v>
          </cell>
          <cell r="D2062">
            <v>730073.63636363624</v>
          </cell>
        </row>
        <row r="2063">
          <cell r="A2063" t="str">
            <v>CST0025485</v>
          </cell>
          <cell r="B2063" t="str">
            <v>SWAKARSA</v>
          </cell>
          <cell r="C2063">
            <v>919836.818181818</v>
          </cell>
          <cell r="D2063">
            <v>542863.63636363635</v>
          </cell>
        </row>
        <row r="2064">
          <cell r="A2064" t="str">
            <v>CST0025505</v>
          </cell>
          <cell r="B2064" t="str">
            <v>AA KORPRI</v>
          </cell>
          <cell r="C2064">
            <v>24218.18181818182</v>
          </cell>
          <cell r="D2064">
            <v>16650.000000000004</v>
          </cell>
        </row>
        <row r="2065">
          <cell r="A2065" t="str">
            <v>CST0025533</v>
          </cell>
          <cell r="B2065" t="str">
            <v>INARA FROZEN FOOD</v>
          </cell>
          <cell r="C2065">
            <v>975201.13636363624</v>
          </cell>
          <cell r="D2065">
            <v>2385712.4999999995</v>
          </cell>
        </row>
        <row r="2066">
          <cell r="A2066" t="str">
            <v>CST0025605</v>
          </cell>
          <cell r="B2066" t="str">
            <v>LESTARI</v>
          </cell>
          <cell r="C2066">
            <v>201540.68181818182</v>
          </cell>
          <cell r="D2066">
            <v>305904</v>
          </cell>
        </row>
        <row r="2067">
          <cell r="A2067" t="str">
            <v>CST0025702</v>
          </cell>
          <cell r="B2067" t="str">
            <v>TOKO PINGLED KOSMETIK</v>
          </cell>
          <cell r="C2067">
            <v>274505449.36363608</v>
          </cell>
          <cell r="D2067">
            <v>38249640</v>
          </cell>
        </row>
        <row r="2068">
          <cell r="A2068" t="str">
            <v>CST0025770</v>
          </cell>
          <cell r="B2068" t="str">
            <v>MM APRIAL</v>
          </cell>
          <cell r="C2068">
            <v>922847.72727272706</v>
          </cell>
        </row>
        <row r="2069">
          <cell r="A2069" t="str">
            <v>CST0025774</v>
          </cell>
          <cell r="B2069" t="str">
            <v>ZIDON</v>
          </cell>
          <cell r="C2069">
            <v>72654.545454545456</v>
          </cell>
        </row>
        <row r="2070">
          <cell r="A2070" t="str">
            <v>CST0025786</v>
          </cell>
          <cell r="B2070" t="str">
            <v>ABBASY</v>
          </cell>
          <cell r="C2070">
            <v>62361.818181818184</v>
          </cell>
          <cell r="D2070">
            <v>25000</v>
          </cell>
        </row>
        <row r="2071">
          <cell r="A2071" t="str">
            <v>CST0025877</v>
          </cell>
          <cell r="B2071" t="str">
            <v>MEME</v>
          </cell>
          <cell r="C2071">
            <v>1156159.0909090908</v>
          </cell>
        </row>
        <row r="2072">
          <cell r="A2072" t="str">
            <v>CST0025912</v>
          </cell>
          <cell r="B2072" t="str">
            <v>SRC CAHAYA</v>
          </cell>
          <cell r="C2072">
            <v>72654.545454545456</v>
          </cell>
        </row>
        <row r="2073">
          <cell r="A2073" t="str">
            <v>CST0025938</v>
          </cell>
          <cell r="B2073" t="str">
            <v>BUNDA COSMETIK</v>
          </cell>
          <cell r="C2073">
            <v>4006327.9090909096</v>
          </cell>
          <cell r="D2073">
            <v>1729176.3181818181</v>
          </cell>
        </row>
        <row r="2074">
          <cell r="A2074" t="str">
            <v>CST0026064</v>
          </cell>
          <cell r="B2074" t="str">
            <v>BAYU ATK</v>
          </cell>
          <cell r="C2074">
            <v>144488.63636363635</v>
          </cell>
        </row>
        <row r="2075">
          <cell r="A2075" t="str">
            <v>CST0026091</v>
          </cell>
          <cell r="B2075" t="str">
            <v>MELI</v>
          </cell>
          <cell r="C2075">
            <v>656852.59090909094</v>
          </cell>
          <cell r="D2075">
            <v>1481402.7272727271</v>
          </cell>
        </row>
        <row r="2076">
          <cell r="A2076" t="str">
            <v>CST0026117</v>
          </cell>
          <cell r="B2076" t="str">
            <v>SARI WANGI</v>
          </cell>
          <cell r="C2076">
            <v>2036708</v>
          </cell>
        </row>
        <row r="2077">
          <cell r="A2077" t="str">
            <v>CST0027131</v>
          </cell>
          <cell r="B2077" t="str">
            <v>PAK ROBERT</v>
          </cell>
          <cell r="C2077">
            <v>-18747834.409090906</v>
          </cell>
        </row>
        <row r="2078">
          <cell r="A2078" t="str">
            <v>CST0027350</v>
          </cell>
          <cell r="B2078" t="str">
            <v xml:space="preserve">NANO </v>
          </cell>
          <cell r="C2078">
            <v>259200.00000000003</v>
          </cell>
          <cell r="D2078">
            <v>606600</v>
          </cell>
        </row>
        <row r="2079">
          <cell r="A2079" t="str">
            <v>CST0027378</v>
          </cell>
          <cell r="B2079" t="str">
            <v>ALULA</v>
          </cell>
          <cell r="C2079">
            <v>26488.63636363636</v>
          </cell>
        </row>
        <row r="2080">
          <cell r="A2080" t="str">
            <v>CST0027459</v>
          </cell>
          <cell r="B2080" t="str">
            <v>TOKO UNI ITA</v>
          </cell>
          <cell r="C2080">
            <v>200454.54545454544</v>
          </cell>
        </row>
        <row r="2081">
          <cell r="A2081" t="str">
            <v>CST0027618</v>
          </cell>
          <cell r="B2081" t="str">
            <v>JOANA COSMETIC</v>
          </cell>
          <cell r="C2081">
            <v>16127140.636363637</v>
          </cell>
        </row>
        <row r="2082">
          <cell r="A2082" t="str">
            <v>CST0027650</v>
          </cell>
          <cell r="B2082" t="str">
            <v>RA BEAUTY</v>
          </cell>
          <cell r="C2082">
            <v>47169258.727272727</v>
          </cell>
          <cell r="D2082">
            <v>31910865.590909112</v>
          </cell>
        </row>
        <row r="2083">
          <cell r="A2083" t="str">
            <v>CST0027663</v>
          </cell>
          <cell r="B2083" t="str">
            <v>TOKO KOSMETIK MAJU</v>
          </cell>
          <cell r="C2083">
            <v>177650</v>
          </cell>
          <cell r="D2083">
            <v>495337.5</v>
          </cell>
        </row>
        <row r="2084">
          <cell r="A2084" t="str">
            <v>CST0027753</v>
          </cell>
          <cell r="B2084" t="str">
            <v>BERSAMA</v>
          </cell>
          <cell r="C2084">
            <v>257841.81818181821</v>
          </cell>
          <cell r="D2084">
            <v>508581.81818181812</v>
          </cell>
        </row>
        <row r="2085">
          <cell r="A2085" t="str">
            <v>CST0027803</v>
          </cell>
          <cell r="B2085" t="str">
            <v>NADA BABY SHOP</v>
          </cell>
          <cell r="C2085">
            <v>317863.63636363635</v>
          </cell>
        </row>
        <row r="2086">
          <cell r="A2086" t="str">
            <v>CST0027821</v>
          </cell>
          <cell r="B2086" t="str">
            <v>EREN</v>
          </cell>
          <cell r="C2086">
            <v>428056.36363636359</v>
          </cell>
          <cell r="D2086">
            <v>415871.59090909094</v>
          </cell>
        </row>
        <row r="2087">
          <cell r="A2087" t="str">
            <v>CST0027828</v>
          </cell>
          <cell r="B2087" t="str">
            <v>SRC LIFA</v>
          </cell>
          <cell r="C2087">
            <v>52977.272727272721</v>
          </cell>
          <cell r="D2087">
            <v>26488.63636363636</v>
          </cell>
        </row>
        <row r="2088">
          <cell r="A2088" t="str">
            <v>CST0027860</v>
          </cell>
          <cell r="B2088" t="str">
            <v>ANAS 2</v>
          </cell>
          <cell r="C2088">
            <v>821920.90909090894</v>
          </cell>
          <cell r="D2088">
            <v>837504.99999999988</v>
          </cell>
        </row>
        <row r="2089">
          <cell r="A2089" t="str">
            <v>CST0027917</v>
          </cell>
          <cell r="B2089" t="str">
            <v>IPONG</v>
          </cell>
          <cell r="C2089">
            <v>286077.27272727271</v>
          </cell>
        </row>
        <row r="2090">
          <cell r="A2090" t="str">
            <v>CST0028215</v>
          </cell>
          <cell r="B2090" t="str">
            <v>PAK ALI</v>
          </cell>
          <cell r="C2090">
            <v>895254.54545454553</v>
          </cell>
          <cell r="D2090">
            <v>897889.09090909071</v>
          </cell>
        </row>
        <row r="2091">
          <cell r="A2091" t="str">
            <v>CST0028260</v>
          </cell>
          <cell r="B2091" t="str">
            <v>MULTI MM</v>
          </cell>
          <cell r="C2091">
            <v>5644474.0909090899</v>
          </cell>
          <cell r="D2091">
            <v>18927172.045454539</v>
          </cell>
        </row>
        <row r="2092">
          <cell r="A2092" t="str">
            <v>CST0028756</v>
          </cell>
          <cell r="B2092" t="str">
            <v>SUMBER WARAS</v>
          </cell>
          <cell r="C2092">
            <v>-1.4551915228366852E-11</v>
          </cell>
          <cell r="D2092">
            <v>168265.90909090912</v>
          </cell>
        </row>
        <row r="2093">
          <cell r="A2093" t="str">
            <v>CST0028769</v>
          </cell>
          <cell r="B2093" t="str">
            <v>TOKO UNI YANTI</v>
          </cell>
          <cell r="C2093">
            <v>3748577.7272727271</v>
          </cell>
        </row>
        <row r="2094">
          <cell r="A2094" t="str">
            <v>CST0028770</v>
          </cell>
          <cell r="B2094" t="str">
            <v>APOTIK  RESTU IBU</v>
          </cell>
          <cell r="C2094">
            <v>1556571.1363636365</v>
          </cell>
        </row>
        <row r="2095">
          <cell r="A2095" t="str">
            <v>CST0028839</v>
          </cell>
          <cell r="B2095" t="str">
            <v>TOKO MBAK TIWI</v>
          </cell>
          <cell r="C2095">
            <v>126000</v>
          </cell>
        </row>
        <row r="2096">
          <cell r="A2096" t="str">
            <v>CST0028984</v>
          </cell>
          <cell r="B2096" t="str">
            <v>TOKO DEVA</v>
          </cell>
          <cell r="C2096">
            <v>2642038.1959090913</v>
          </cell>
          <cell r="D2096">
            <v>2624963.1818181816</v>
          </cell>
        </row>
        <row r="2097">
          <cell r="A2097" t="str">
            <v>CST0028985</v>
          </cell>
          <cell r="B2097" t="str">
            <v>TOKO TAROM</v>
          </cell>
          <cell r="C2097">
            <v>502663.63636363635</v>
          </cell>
          <cell r="D2097">
            <v>685677.27272727271</v>
          </cell>
        </row>
        <row r="2098">
          <cell r="A2098" t="str">
            <v>CST0029043</v>
          </cell>
          <cell r="B2098" t="str">
            <v>MAHARANI KOSMETIK</v>
          </cell>
          <cell r="C2098">
            <v>267863.18181818182</v>
          </cell>
        </row>
        <row r="2099">
          <cell r="A2099" t="str">
            <v>CST0029086</v>
          </cell>
          <cell r="B2099" t="str">
            <v xml:space="preserve">TOKO DESHOP </v>
          </cell>
          <cell r="C2099">
            <v>111400563.5454545</v>
          </cell>
        </row>
        <row r="2100">
          <cell r="A2100" t="str">
            <v>CST0029226</v>
          </cell>
          <cell r="B2100" t="str">
            <v>TOKO HUDA</v>
          </cell>
          <cell r="C2100">
            <v>934519.09090909082</v>
          </cell>
        </row>
        <row r="2101">
          <cell r="A2101" t="str">
            <v>CST0029254</v>
          </cell>
          <cell r="B2101" t="str">
            <v xml:space="preserve">MEDIANA KOSMETIK </v>
          </cell>
          <cell r="C2101">
            <v>51536228.863636345</v>
          </cell>
          <cell r="D2101">
            <v>8840423.6363636367</v>
          </cell>
        </row>
        <row r="2102">
          <cell r="A2102" t="str">
            <v>CST0029260</v>
          </cell>
          <cell r="B2102" t="str">
            <v xml:space="preserve">MBA MUR </v>
          </cell>
          <cell r="C2102">
            <v>799200.00000000023</v>
          </cell>
          <cell r="D2102">
            <v>2080472.7272727271</v>
          </cell>
        </row>
        <row r="2103">
          <cell r="A2103" t="str">
            <v>CST0029265</v>
          </cell>
          <cell r="B2103" t="str">
            <v>NIZAR</v>
          </cell>
          <cell r="C2103">
            <v>635727.27272727271</v>
          </cell>
        </row>
        <row r="2104">
          <cell r="A2104" t="str">
            <v>CST0029294</v>
          </cell>
          <cell r="B2104" t="str">
            <v>TOKO ALYA</v>
          </cell>
          <cell r="C2104">
            <v>222578.86363636365</v>
          </cell>
          <cell r="D2104">
            <v>211909.09090909088</v>
          </cell>
        </row>
        <row r="2105">
          <cell r="A2105" t="str">
            <v>CST0029336</v>
          </cell>
          <cell r="B2105" t="str">
            <v>DIAH</v>
          </cell>
          <cell r="C2105">
            <v>1700570.4545454541</v>
          </cell>
          <cell r="D2105">
            <v>3143972.7272727275</v>
          </cell>
        </row>
        <row r="2106">
          <cell r="A2106" t="str">
            <v>CST0029350</v>
          </cell>
          <cell r="B2106" t="str">
            <v>RESTI KOSMETIK</v>
          </cell>
          <cell r="C2106">
            <v>1000105.6363636364</v>
          </cell>
          <cell r="D2106">
            <v>-1000105.6363636364</v>
          </cell>
        </row>
        <row r="2107">
          <cell r="A2107" t="str">
            <v>CST0029372</v>
          </cell>
          <cell r="B2107" t="str">
            <v>TOKO  MILENIAL KOSMETIK</v>
          </cell>
          <cell r="C2107">
            <v>-903690.90909090906</v>
          </cell>
        </row>
        <row r="2108">
          <cell r="A2108" t="str">
            <v>CST0029436</v>
          </cell>
          <cell r="B2108" t="str">
            <v>MBAK MAR</v>
          </cell>
          <cell r="C2108">
            <v>369265.90909090906</v>
          </cell>
        </row>
        <row r="2109">
          <cell r="A2109" t="str">
            <v>CST0029439</v>
          </cell>
          <cell r="B2109" t="str">
            <v>ALDERO</v>
          </cell>
          <cell r="C2109">
            <v>88295.454545454544</v>
          </cell>
          <cell r="D2109">
            <v>271367.72727272729</v>
          </cell>
        </row>
        <row r="2110">
          <cell r="A2110" t="str">
            <v>CST0029555</v>
          </cell>
          <cell r="B2110" t="str">
            <v>NENENG</v>
          </cell>
          <cell r="C2110">
            <v>3372123.1363636362</v>
          </cell>
          <cell r="D2110">
            <v>6427995.6818181835</v>
          </cell>
        </row>
        <row r="2111">
          <cell r="A2111" t="str">
            <v>CST0029561</v>
          </cell>
          <cell r="B2111" t="str">
            <v>WATI/IWAN</v>
          </cell>
          <cell r="C2111">
            <v>317863.63636363635</v>
          </cell>
        </row>
        <row r="2112">
          <cell r="A2112" t="str">
            <v>CST0029682</v>
          </cell>
          <cell r="B2112" t="str">
            <v>M MART</v>
          </cell>
          <cell r="C2112">
            <v>1038512.0454545454</v>
          </cell>
        </row>
        <row r="2113">
          <cell r="A2113" t="str">
            <v>CST0029824</v>
          </cell>
          <cell r="B2113" t="str">
            <v>MAHKOTA</v>
          </cell>
          <cell r="C2113">
            <v>317863.63636363635</v>
          </cell>
          <cell r="D2113">
            <v>321529.09090909094</v>
          </cell>
        </row>
        <row r="2114">
          <cell r="A2114" t="str">
            <v>CST0029867</v>
          </cell>
          <cell r="B2114" t="str">
            <v>LAPAK SOPOWAE</v>
          </cell>
          <cell r="C2114">
            <v>1385077.2727272727</v>
          </cell>
          <cell r="D2114">
            <v>751063.63636363647</v>
          </cell>
        </row>
        <row r="2115">
          <cell r="A2115" t="str">
            <v>CST0029871</v>
          </cell>
          <cell r="B2115" t="str">
            <v>APOTIK SIRAH</v>
          </cell>
          <cell r="C2115">
            <v>133200.00000000003</v>
          </cell>
          <cell r="D2115">
            <v>433200</v>
          </cell>
        </row>
        <row r="2116">
          <cell r="A2116" t="str">
            <v>CST0030062</v>
          </cell>
          <cell r="B2116" t="str">
            <v>MUAWANAH MART</v>
          </cell>
          <cell r="C2116">
            <v>0</v>
          </cell>
        </row>
        <row r="2117">
          <cell r="A2117" t="str">
            <v>CST0030246</v>
          </cell>
          <cell r="B2117" t="str">
            <v>DANI</v>
          </cell>
          <cell r="C2117">
            <v>541972.63636363635</v>
          </cell>
          <cell r="D2117">
            <v>340200</v>
          </cell>
        </row>
        <row r="2118">
          <cell r="A2118" t="str">
            <v>CST0030297</v>
          </cell>
          <cell r="B2118" t="str">
            <v>AZIZA STORE</v>
          </cell>
          <cell r="C2118">
            <v>21265852.636363629</v>
          </cell>
          <cell r="D2118">
            <v>22541232.954545457</v>
          </cell>
        </row>
        <row r="2119">
          <cell r="A2119" t="str">
            <v>CST0030396</v>
          </cell>
          <cell r="B2119" t="str">
            <v xml:space="preserve">SRC KHUSNUL </v>
          </cell>
          <cell r="C2119">
            <v>72654.545454545456</v>
          </cell>
        </row>
        <row r="2120">
          <cell r="A2120" t="str">
            <v>CST0030459</v>
          </cell>
          <cell r="B2120" t="str">
            <v>TOKO DIAN</v>
          </cell>
          <cell r="C2120">
            <v>317863.63636363635</v>
          </cell>
        </row>
        <row r="2121">
          <cell r="A2121" t="str">
            <v>CST0030546</v>
          </cell>
          <cell r="B2121" t="str">
            <v>NADIN/LILIK</v>
          </cell>
          <cell r="C2121">
            <v>998227.27272727271</v>
          </cell>
          <cell r="D2121">
            <v>693832.27272727271</v>
          </cell>
        </row>
        <row r="2122">
          <cell r="A2122" t="str">
            <v>CST0030572</v>
          </cell>
          <cell r="B2122" t="str">
            <v xml:space="preserve">TOKO SHABIL KOSMETIK </v>
          </cell>
          <cell r="C2122">
            <v>32949500</v>
          </cell>
          <cell r="D2122">
            <v>35064540.000000007</v>
          </cell>
        </row>
        <row r="2123">
          <cell r="A2123" t="str">
            <v>CST0030623</v>
          </cell>
          <cell r="B2123" t="str">
            <v>APT RUMONDANG</v>
          </cell>
          <cell r="C2123">
            <v>963202.50000000012</v>
          </cell>
        </row>
        <row r="2124">
          <cell r="A2124" t="str">
            <v>CST0030711</v>
          </cell>
          <cell r="B2124" t="str">
            <v>NEISA SKINCARE</v>
          </cell>
          <cell r="C2124">
            <v>1671927.2727272727</v>
          </cell>
          <cell r="D2124">
            <v>980079.54545454541</v>
          </cell>
        </row>
        <row r="2125">
          <cell r="A2125" t="str">
            <v>CST0030762</v>
          </cell>
          <cell r="B2125" t="str">
            <v>TOKO YASRIF</v>
          </cell>
          <cell r="C2125">
            <v>36327.272727272728</v>
          </cell>
        </row>
        <row r="2126">
          <cell r="A2126" t="str">
            <v>CST0030823</v>
          </cell>
          <cell r="B2126" t="str">
            <v>TOKO AMIR</v>
          </cell>
          <cell r="C2126">
            <v>207900</v>
          </cell>
        </row>
        <row r="2127">
          <cell r="A2127" t="str">
            <v>CST0030873</v>
          </cell>
          <cell r="B2127" t="str">
            <v>APOTEK ORYZA</v>
          </cell>
          <cell r="C2127">
            <v>423818.18181818171</v>
          </cell>
          <cell r="D2127">
            <v>492783.18181818177</v>
          </cell>
        </row>
        <row r="2128">
          <cell r="A2128" t="str">
            <v>CST0030895</v>
          </cell>
          <cell r="B2128" t="str">
            <v>DAPUR CANTIK</v>
          </cell>
          <cell r="C2128">
            <v>1133889.5454545454</v>
          </cell>
        </row>
        <row r="2129">
          <cell r="A2129" t="str">
            <v>CST0030915</v>
          </cell>
          <cell r="B2129" t="str">
            <v>HANIF MART</v>
          </cell>
          <cell r="C2129">
            <v>38000</v>
          </cell>
          <cell r="D2129">
            <v>303484.09090909094</v>
          </cell>
        </row>
        <row r="2130">
          <cell r="A2130" t="str">
            <v>CST0031017</v>
          </cell>
          <cell r="B2130" t="str">
            <v>NOVAL</v>
          </cell>
          <cell r="C2130">
            <v>24218.18181818182</v>
          </cell>
        </row>
        <row r="2131">
          <cell r="A2131" t="str">
            <v>CST0031242</v>
          </cell>
          <cell r="B2131" t="str">
            <v>GELORA FARMA</v>
          </cell>
          <cell r="C2131">
            <v>5112113.1818181835</v>
          </cell>
          <cell r="D2131">
            <v>3368625.0000000005</v>
          </cell>
        </row>
        <row r="2132">
          <cell r="A2132" t="str">
            <v>CST0031449</v>
          </cell>
          <cell r="B2132" t="str">
            <v>SHAFA</v>
          </cell>
          <cell r="C2132">
            <v>596372.72727272729</v>
          </cell>
          <cell r="D2132">
            <v>88800.000000000029</v>
          </cell>
        </row>
        <row r="2133">
          <cell r="A2133" t="str">
            <v>CST0031504</v>
          </cell>
          <cell r="B2133" t="str">
            <v>SRC RENNY</v>
          </cell>
          <cell r="C2133">
            <v>63000</v>
          </cell>
        </row>
        <row r="2134">
          <cell r="A2134" t="str">
            <v>CST0031568</v>
          </cell>
          <cell r="B2134" t="str">
            <v>JEAN SHOP</v>
          </cell>
          <cell r="C2134">
            <v>157257902.22727272</v>
          </cell>
          <cell r="D2134">
            <v>179010112.72727275</v>
          </cell>
        </row>
        <row r="2135">
          <cell r="A2135" t="str">
            <v>CST0031616</v>
          </cell>
          <cell r="B2135" t="str">
            <v>ALNAS 2</v>
          </cell>
          <cell r="C2135">
            <v>12109.09090909091</v>
          </cell>
        </row>
        <row r="2136">
          <cell r="A2136" t="str">
            <v>CST0031623</v>
          </cell>
          <cell r="B2136" t="str">
            <v>JOH SHOP</v>
          </cell>
          <cell r="C2136">
            <v>190718.18181818182</v>
          </cell>
        </row>
        <row r="2137">
          <cell r="A2137" t="str">
            <v>CST0031679</v>
          </cell>
          <cell r="B2137" t="str">
            <v>LUTFI STORE</v>
          </cell>
          <cell r="C2137">
            <v>3209212.6363636362</v>
          </cell>
          <cell r="D2137">
            <v>4020454.0909090908</v>
          </cell>
        </row>
        <row r="2138">
          <cell r="A2138" t="str">
            <v>CST0031686</v>
          </cell>
          <cell r="B2138" t="str">
            <v>REZEKI FARMA</v>
          </cell>
          <cell r="C2138">
            <v>1523454.5454545454</v>
          </cell>
        </row>
        <row r="2139">
          <cell r="A2139" t="str">
            <v>CST0031764</v>
          </cell>
          <cell r="B2139" t="str">
            <v>BERKAH KOSMETIK</v>
          </cell>
          <cell r="C2139">
            <v>2951199.5454545459</v>
          </cell>
          <cell r="D2139">
            <v>5411853.8181818184</v>
          </cell>
        </row>
        <row r="2140">
          <cell r="A2140" t="str">
            <v>CST0031817</v>
          </cell>
          <cell r="B2140" t="str">
            <v>NADIA BANDARA</v>
          </cell>
          <cell r="C2140">
            <v>193542.04545454547</v>
          </cell>
          <cell r="D2140">
            <v>226430.90909090912</v>
          </cell>
        </row>
        <row r="2141">
          <cell r="A2141" t="str">
            <v>CST0031831</v>
          </cell>
          <cell r="B2141" t="str">
            <v>TK DION</v>
          </cell>
          <cell r="C2141">
            <v>958261.36363636353</v>
          </cell>
        </row>
        <row r="2142">
          <cell r="A2142" t="str">
            <v>CST0031970</v>
          </cell>
          <cell r="B2142" t="str">
            <v>KALEA ABADI</v>
          </cell>
          <cell r="C2142">
            <v>1085007.2727272727</v>
          </cell>
        </row>
        <row r="2143">
          <cell r="A2143" t="str">
            <v>CST0032201</v>
          </cell>
          <cell r="B2143" t="str">
            <v>TOKO YATI/KASMIYATI</v>
          </cell>
          <cell r="C2143">
            <v>66600.000000000015</v>
          </cell>
        </row>
        <row r="2144">
          <cell r="A2144" t="str">
            <v>CST0032238</v>
          </cell>
          <cell r="B2144" t="str">
            <v>APOTIK LUMINTU</v>
          </cell>
          <cell r="C2144">
            <v>1448325.5454545454</v>
          </cell>
          <cell r="D2144">
            <v>2112320.7272727275</v>
          </cell>
        </row>
        <row r="2145">
          <cell r="A2145" t="str">
            <v>CST0032240</v>
          </cell>
          <cell r="B2145" t="str">
            <v>SUKSES</v>
          </cell>
          <cell r="C2145">
            <v>406800</v>
          </cell>
          <cell r="D2145">
            <v>317863.63636363635</v>
          </cell>
        </row>
        <row r="2146">
          <cell r="A2146" t="str">
            <v>CST0032253</v>
          </cell>
          <cell r="B2146" t="str">
            <v>JIHAN PARFUM &amp; KOSMETIK</v>
          </cell>
          <cell r="C2146">
            <v>276000</v>
          </cell>
          <cell r="D2146">
            <v>441272.72727272729</v>
          </cell>
        </row>
        <row r="2147">
          <cell r="A2147" t="str">
            <v>CST0032259</v>
          </cell>
          <cell r="B2147" t="str">
            <v>NYONYA FASHION</v>
          </cell>
          <cell r="C2147">
            <v>6772982.2727272753</v>
          </cell>
          <cell r="D2147">
            <v>7224523.2272727275</v>
          </cell>
        </row>
        <row r="2148">
          <cell r="A2148" t="str">
            <v>CST0032414</v>
          </cell>
          <cell r="B2148" t="str">
            <v>AIRIN MODE</v>
          </cell>
          <cell r="C2148">
            <v>535215</v>
          </cell>
        </row>
        <row r="2149">
          <cell r="A2149" t="str">
            <v>CST0032492</v>
          </cell>
          <cell r="B2149" t="str">
            <v>TOKO NUNUNG</v>
          </cell>
          <cell r="C2149">
            <v>4385134.0909090918</v>
          </cell>
        </row>
        <row r="2150">
          <cell r="A2150" t="str">
            <v>CST0032499</v>
          </cell>
          <cell r="B2150" t="str">
            <v>RATIH COSMETIK</v>
          </cell>
          <cell r="C2150">
            <v>401465.90909090906</v>
          </cell>
        </row>
        <row r="2151">
          <cell r="A2151" t="str">
            <v>CST0032505</v>
          </cell>
          <cell r="B2151" t="str">
            <v>REY KOSMETIK</v>
          </cell>
          <cell r="C2151">
            <v>1422666.8181818184</v>
          </cell>
        </row>
        <row r="2152">
          <cell r="A2152" t="str">
            <v>CST0032624</v>
          </cell>
          <cell r="B2152" t="str">
            <v>DESY FASHION</v>
          </cell>
          <cell r="C2152">
            <v>114280370.72727273</v>
          </cell>
          <cell r="D2152">
            <v>33172587.272727273</v>
          </cell>
        </row>
        <row r="2153">
          <cell r="A2153" t="str">
            <v>CST0032634</v>
          </cell>
          <cell r="B2153" t="str">
            <v>TOKO LASTRI</v>
          </cell>
          <cell r="C2153">
            <v>389568.18181818182</v>
          </cell>
        </row>
        <row r="2154">
          <cell r="A2154" t="str">
            <v>CST0032649</v>
          </cell>
          <cell r="B2154" t="str">
            <v>UB MANDIRI</v>
          </cell>
          <cell r="C2154">
            <v>18542.045454545456</v>
          </cell>
          <cell r="D2154">
            <v>0</v>
          </cell>
        </row>
        <row r="2155">
          <cell r="A2155" t="str">
            <v>CST0032970</v>
          </cell>
          <cell r="B2155" t="str">
            <v>APOTIK ABI UMI</v>
          </cell>
          <cell r="C2155">
            <v>141215.45454545456</v>
          </cell>
        </row>
        <row r="2156">
          <cell r="A2156" t="str">
            <v>CST0033024</v>
          </cell>
          <cell r="B2156" t="str">
            <v>C2 TOKO</v>
          </cell>
          <cell r="C2156">
            <v>74168.181818181823</v>
          </cell>
          <cell r="D2156">
            <v>457853.18181818177</v>
          </cell>
        </row>
        <row r="2157">
          <cell r="A2157" t="str">
            <v>CST0033111</v>
          </cell>
          <cell r="B2157" t="str">
            <v>SYAUQI</v>
          </cell>
          <cell r="C2157">
            <v>2856366.8181818188</v>
          </cell>
          <cell r="D2157">
            <v>2938225.7727272725</v>
          </cell>
        </row>
        <row r="2158">
          <cell r="A2158" t="str">
            <v>CST0033141</v>
          </cell>
          <cell r="B2158" t="str">
            <v>LAXMI KOSMETIK</v>
          </cell>
          <cell r="C2158">
            <v>1251886.3636363635</v>
          </cell>
          <cell r="D2158">
            <v>694486.36363636365</v>
          </cell>
        </row>
        <row r="2159">
          <cell r="A2159" t="str">
            <v>CST0033156</v>
          </cell>
          <cell r="B2159" t="str">
            <v>VIA PINK SHOP</v>
          </cell>
          <cell r="C2159">
            <v>14297572.636363642</v>
          </cell>
          <cell r="D2159">
            <v>9419468.1818181816</v>
          </cell>
        </row>
        <row r="2160">
          <cell r="A2160" t="str">
            <v>CST0033219</v>
          </cell>
          <cell r="B2160" t="str">
            <v>TOKO KIKI</v>
          </cell>
          <cell r="C2160">
            <v>37084.090909090912</v>
          </cell>
        </row>
        <row r="2161">
          <cell r="A2161" t="str">
            <v>CST0033261</v>
          </cell>
          <cell r="B2161" t="str">
            <v>ROMASI SILABAN ( EDP SASA KOTABUMI )</v>
          </cell>
          <cell r="C2161">
            <v>275928.18181818182</v>
          </cell>
        </row>
        <row r="2162">
          <cell r="A2162" t="str">
            <v>CST0033376</v>
          </cell>
          <cell r="B2162" t="str">
            <v>NADEERA KOSMETIK</v>
          </cell>
          <cell r="C2162">
            <v>4958346.1363636358</v>
          </cell>
          <cell r="D2162">
            <v>3209564.5454545445</v>
          </cell>
        </row>
        <row r="2163">
          <cell r="A2163" t="str">
            <v>CST0033505</v>
          </cell>
          <cell r="B2163" t="str">
            <v xml:space="preserve">RR STUF BEAUTY23 </v>
          </cell>
          <cell r="C2163">
            <v>1571719.0909090908</v>
          </cell>
        </row>
        <row r="2164">
          <cell r="A2164" t="str">
            <v>CST0033560</v>
          </cell>
          <cell r="B2164" t="str">
            <v xml:space="preserve">Gallery RJ </v>
          </cell>
          <cell r="C2164">
            <v>6476128.636363632</v>
          </cell>
          <cell r="D2164">
            <v>12883674.818181846</v>
          </cell>
        </row>
        <row r="2165">
          <cell r="A2165" t="str">
            <v>CST0033561</v>
          </cell>
          <cell r="B2165" t="str">
            <v>FAEZA KOSMETIK</v>
          </cell>
          <cell r="C2165">
            <v>1791993.4090909094</v>
          </cell>
          <cell r="D2165">
            <v>735314.77272727259</v>
          </cell>
        </row>
        <row r="2166">
          <cell r="A2166" t="str">
            <v>CST0033563</v>
          </cell>
          <cell r="B2166" t="str">
            <v>FIA STORE</v>
          </cell>
          <cell r="C2166">
            <v>215249.99999999997</v>
          </cell>
        </row>
        <row r="2167">
          <cell r="A2167" t="str">
            <v>CST0033582</v>
          </cell>
          <cell r="B2167" t="str">
            <v>RUMAH SKINCARE</v>
          </cell>
          <cell r="C2167">
            <v>1065372.9545454544</v>
          </cell>
        </row>
        <row r="2168">
          <cell r="A2168" t="str">
            <v>CST0033596</v>
          </cell>
          <cell r="B2168" t="str">
            <v>GALLERY KOSMETIK</v>
          </cell>
          <cell r="C2168">
            <v>6087897.2727272743</v>
          </cell>
          <cell r="D2168">
            <v>16700387.045454554</v>
          </cell>
        </row>
        <row r="2169">
          <cell r="A2169" t="str">
            <v>CST0033618</v>
          </cell>
          <cell r="B2169" t="str">
            <v>MIRANTI LINE SHOP</v>
          </cell>
          <cell r="C2169">
            <v>1938048.4090909087</v>
          </cell>
          <cell r="D2169">
            <v>1685885.4545454541</v>
          </cell>
        </row>
        <row r="2170">
          <cell r="A2170" t="str">
            <v>CST0033624</v>
          </cell>
          <cell r="B2170" t="str">
            <v>PONPES SUNANUL HUDA</v>
          </cell>
          <cell r="C2170">
            <v>147852</v>
          </cell>
        </row>
        <row r="2171">
          <cell r="A2171" t="str">
            <v>CST0033653</v>
          </cell>
          <cell r="B2171" t="str">
            <v>PAK EKO KOSMETIK</v>
          </cell>
          <cell r="C2171">
            <v>481436.36363636353</v>
          </cell>
        </row>
        <row r="2172">
          <cell r="A2172" t="str">
            <v>CST0033760</v>
          </cell>
          <cell r="B2172" t="str">
            <v>RUMAH CANTIK</v>
          </cell>
          <cell r="C2172">
            <v>1649399</v>
          </cell>
          <cell r="D2172">
            <v>1471747.0454545456</v>
          </cell>
        </row>
        <row r="2173">
          <cell r="A2173" t="str">
            <v>CST0033801</v>
          </cell>
          <cell r="B2173" t="str">
            <v>APT NAOMI</v>
          </cell>
          <cell r="C2173">
            <v>-73700.45454545453</v>
          </cell>
          <cell r="D2173">
            <v>333646.36363636365</v>
          </cell>
        </row>
        <row r="2174">
          <cell r="A2174" t="str">
            <v>CST0033813</v>
          </cell>
          <cell r="B2174" t="str">
            <v>TOKO SUSU &amp; PAMPERS KAFEL</v>
          </cell>
          <cell r="C2174">
            <v>674314.77272727271</v>
          </cell>
          <cell r="D2174">
            <v>635727.27272727271</v>
          </cell>
        </row>
        <row r="2175">
          <cell r="A2175" t="str">
            <v>CST0033847</v>
          </cell>
          <cell r="B2175" t="str">
            <v>TOKO ABN</v>
          </cell>
          <cell r="C2175">
            <v>375375</v>
          </cell>
          <cell r="D2175">
            <v>280703.86363636365</v>
          </cell>
        </row>
        <row r="2176">
          <cell r="A2176" t="str">
            <v>CST0033848</v>
          </cell>
          <cell r="B2176" t="str">
            <v>MURAH MART</v>
          </cell>
          <cell r="C2176">
            <v>317863.63636363635</v>
          </cell>
        </row>
        <row r="2177">
          <cell r="A2177" t="str">
            <v>CST0034319</v>
          </cell>
          <cell r="B2177" t="str">
            <v>TOKO SRC DEDY</v>
          </cell>
          <cell r="C2177">
            <v>211909.09090909088</v>
          </cell>
        </row>
        <row r="2178">
          <cell r="A2178" t="str">
            <v>CST0034401</v>
          </cell>
          <cell r="B2178" t="str">
            <v>BUNDA COSMETIC</v>
          </cell>
          <cell r="C2178">
            <v>1040727.2727272725</v>
          </cell>
          <cell r="D2178">
            <v>521094.54545454541</v>
          </cell>
        </row>
        <row r="2179">
          <cell r="A2179" t="str">
            <v>CST0034407</v>
          </cell>
          <cell r="B2179" t="str">
            <v>RINI KOSMETIK</v>
          </cell>
          <cell r="C2179">
            <v>317863.63636363635</v>
          </cell>
          <cell r="D2179">
            <v>236574.54545454547</v>
          </cell>
        </row>
        <row r="2180">
          <cell r="A2180" t="str">
            <v>CST0034424</v>
          </cell>
          <cell r="B2180" t="str">
            <v>PUTRI UJANG</v>
          </cell>
          <cell r="C2180">
            <v>517179.09090909094</v>
          </cell>
        </row>
        <row r="2181">
          <cell r="A2181" t="str">
            <v>CST0034447</v>
          </cell>
          <cell r="B2181" t="str">
            <v>GWEN</v>
          </cell>
          <cell r="C2181">
            <v>105899.31818181818</v>
          </cell>
          <cell r="D2181">
            <v>63318.181818181816</v>
          </cell>
        </row>
        <row r="2182">
          <cell r="A2182" t="str">
            <v>CST0034705</v>
          </cell>
          <cell r="B2182" t="str">
            <v>BUSTONI KOSMETIK</v>
          </cell>
          <cell r="C2182">
            <v>211909.09090909088</v>
          </cell>
          <cell r="D2182">
            <v>-211909.09090909088</v>
          </cell>
        </row>
        <row r="2183">
          <cell r="A2183" t="str">
            <v>CST0034760</v>
          </cell>
          <cell r="B2183" t="str">
            <v>ENI BABY SHOP</v>
          </cell>
          <cell r="C2183">
            <v>2738590.9090909087</v>
          </cell>
          <cell r="D2183">
            <v>5576953.6363636376</v>
          </cell>
        </row>
        <row r="2184">
          <cell r="A2184" t="str">
            <v>CST0034775</v>
          </cell>
          <cell r="B2184" t="str">
            <v xml:space="preserve">SAHABAT KOSMETIK </v>
          </cell>
          <cell r="C2184">
            <v>614385</v>
          </cell>
          <cell r="D2184">
            <v>428863.63636363635</v>
          </cell>
        </row>
        <row r="2185">
          <cell r="A2185" t="str">
            <v>CST0034777</v>
          </cell>
          <cell r="B2185" t="str">
            <v>RASYA CELL</v>
          </cell>
          <cell r="C2185">
            <v>255154.54545454544</v>
          </cell>
        </row>
        <row r="2186">
          <cell r="A2186" t="str">
            <v>CST0034944</v>
          </cell>
          <cell r="B2186" t="str">
            <v>IDA KOSMETIK</v>
          </cell>
          <cell r="C2186">
            <v>133200.00000000003</v>
          </cell>
        </row>
        <row r="2187">
          <cell r="A2187" t="str">
            <v>CST0034986</v>
          </cell>
          <cell r="B2187" t="str">
            <v>ZELINE KOSMETIK</v>
          </cell>
          <cell r="C2187">
            <v>1793318.1818181816</v>
          </cell>
          <cell r="D2187">
            <v>7453438.6363636386</v>
          </cell>
        </row>
        <row r="2188">
          <cell r="A2188" t="str">
            <v>CST0035068</v>
          </cell>
          <cell r="B2188" t="str">
            <v>TOKO ALBY</v>
          </cell>
          <cell r="C2188">
            <v>300000</v>
          </cell>
          <cell r="D2188">
            <v>3731719.0909090899</v>
          </cell>
        </row>
        <row r="2189">
          <cell r="A2189" t="str">
            <v>CST0035202</v>
          </cell>
          <cell r="B2189" t="str">
            <v>RINA KOSMETIK</v>
          </cell>
          <cell r="C2189">
            <v>886909.09090909082</v>
          </cell>
        </row>
        <row r="2190">
          <cell r="A2190" t="str">
            <v>CST0035227</v>
          </cell>
          <cell r="B2190" t="str">
            <v>DESY FASHION</v>
          </cell>
          <cell r="C2190">
            <v>1889395.9090909092</v>
          </cell>
          <cell r="D2190">
            <v>3669119.9999999995</v>
          </cell>
        </row>
        <row r="2191">
          <cell r="A2191" t="str">
            <v>CST0035270</v>
          </cell>
          <cell r="B2191" t="str">
            <v>COSME KOSMETIK</v>
          </cell>
          <cell r="C2191">
            <v>2960566.772727272</v>
          </cell>
          <cell r="D2191">
            <v>3689981.8181818179</v>
          </cell>
        </row>
        <row r="2192">
          <cell r="A2192" t="str">
            <v>CST0035341</v>
          </cell>
          <cell r="B2192" t="str">
            <v>AGAS MART</v>
          </cell>
          <cell r="C2192">
            <v>16650.000000000004</v>
          </cell>
        </row>
        <row r="2193">
          <cell r="A2193" t="str">
            <v>CST0035411</v>
          </cell>
          <cell r="B2193" t="str">
            <v>MIFEL</v>
          </cell>
          <cell r="C2193">
            <v>228861.81818181818</v>
          </cell>
        </row>
        <row r="2194">
          <cell r="A2194" t="str">
            <v>CST0035470</v>
          </cell>
          <cell r="B2194" t="str">
            <v>SAKA MART</v>
          </cell>
          <cell r="C2194">
            <v>147954.54545454547</v>
          </cell>
          <cell r="D2194">
            <v>177600.00000000003</v>
          </cell>
        </row>
        <row r="2195">
          <cell r="A2195" t="str">
            <v>CST0035506</v>
          </cell>
          <cell r="B2195" t="str">
            <v>PT. BENGKULU JAYA BERSAMA</v>
          </cell>
          <cell r="C2195">
            <v>12915480.63636364</v>
          </cell>
          <cell r="D2195">
            <v>15122028.454545457</v>
          </cell>
        </row>
        <row r="2196">
          <cell r="A2196" t="str">
            <v>CST0035520</v>
          </cell>
          <cell r="B2196" t="str">
            <v>LARAS SHOP</v>
          </cell>
          <cell r="C2196">
            <v>15852744.545454549</v>
          </cell>
          <cell r="D2196">
            <v>38118744.090909101</v>
          </cell>
        </row>
        <row r="2197">
          <cell r="A2197" t="str">
            <v>CST0035570</v>
          </cell>
          <cell r="B2197" t="str">
            <v>APOTIK 5 WAKTU</v>
          </cell>
          <cell r="C2197">
            <v>829051.36363636353</v>
          </cell>
          <cell r="D2197">
            <v>409385.45454545459</v>
          </cell>
        </row>
        <row r="2198">
          <cell r="A2198" t="str">
            <v>CST0035596</v>
          </cell>
          <cell r="B2198" t="str">
            <v>LR KOSMETIK</v>
          </cell>
          <cell r="C2198">
            <v>938965.40909090918</v>
          </cell>
          <cell r="D2198">
            <v>546725.45454545459</v>
          </cell>
        </row>
        <row r="2199">
          <cell r="A2199" t="str">
            <v>CST0035599</v>
          </cell>
          <cell r="B2199" t="str">
            <v>MM JAYA ABADI</v>
          </cell>
          <cell r="C2199">
            <v>1215969.5454545459</v>
          </cell>
          <cell r="D2199">
            <v>1052128.6363636362</v>
          </cell>
        </row>
        <row r="2200">
          <cell r="A2200" t="str">
            <v>CST0035613</v>
          </cell>
          <cell r="B2200" t="str">
            <v>ABADI JAYA/TUTI</v>
          </cell>
          <cell r="C2200">
            <v>582163.59090909094</v>
          </cell>
          <cell r="D2200">
            <v>1969006.6363636362</v>
          </cell>
        </row>
        <row r="2201">
          <cell r="A2201" t="str">
            <v>CST0035656</v>
          </cell>
          <cell r="B2201" t="str">
            <v>DYNA</v>
          </cell>
          <cell r="C2201">
            <v>804072.27272727259</v>
          </cell>
          <cell r="D2201">
            <v>337909.09090909088</v>
          </cell>
        </row>
        <row r="2202">
          <cell r="A2202" t="str">
            <v>CST0035697</v>
          </cell>
          <cell r="B2202" t="str">
            <v>PAK BADRUN</v>
          </cell>
          <cell r="C2202">
            <v>861727.27272727271</v>
          </cell>
          <cell r="D2202">
            <v>2042399.9999999995</v>
          </cell>
        </row>
        <row r="2203">
          <cell r="A2203" t="str">
            <v>CST0035717</v>
          </cell>
          <cell r="B2203" t="str">
            <v>KOSMETIK NOVISHA ARDY</v>
          </cell>
          <cell r="C2203">
            <v>857294.54545454541</v>
          </cell>
        </row>
        <row r="2204">
          <cell r="A2204" t="str">
            <v>CST0035723</v>
          </cell>
          <cell r="B2204" t="str">
            <v>AMESTUF</v>
          </cell>
          <cell r="C2204">
            <v>3839003.181818183</v>
          </cell>
          <cell r="D2204">
            <v>4210690.9090909101</v>
          </cell>
        </row>
        <row r="2205">
          <cell r="A2205" t="str">
            <v>CST0035774</v>
          </cell>
          <cell r="B2205" t="str">
            <v>UCOK MANNA</v>
          </cell>
          <cell r="C2205">
            <v>2558254.0909090908</v>
          </cell>
          <cell r="D2205">
            <v>6262210.7272727266</v>
          </cell>
        </row>
        <row r="2206">
          <cell r="A2206" t="str">
            <v>CST0035859</v>
          </cell>
          <cell r="B2206" t="str">
            <v>CAHAYA MART</v>
          </cell>
          <cell r="C2206">
            <v>190718.18181818182</v>
          </cell>
          <cell r="D2206">
            <v>129600.00000000001</v>
          </cell>
        </row>
        <row r="2207">
          <cell r="A2207" t="str">
            <v>CST0035861</v>
          </cell>
          <cell r="B2207" t="str">
            <v>HANA</v>
          </cell>
          <cell r="C2207">
            <v>12109.09090909091</v>
          </cell>
          <cell r="D2207">
            <v>426845.45454545447</v>
          </cell>
        </row>
        <row r="2208">
          <cell r="A2208" t="str">
            <v>CST0035873</v>
          </cell>
          <cell r="B2208" t="str">
            <v>KIREI KOSMETIK 2</v>
          </cell>
          <cell r="C2208">
            <v>2695120.227272728</v>
          </cell>
          <cell r="D2208">
            <v>417863.63636363635</v>
          </cell>
        </row>
        <row r="2209">
          <cell r="A2209" t="str">
            <v>CST0035916</v>
          </cell>
          <cell r="B2209" t="str">
            <v>ABDI SUSILO (SPV)</v>
          </cell>
          <cell r="C2209">
            <v>-291375</v>
          </cell>
        </row>
        <row r="2210">
          <cell r="A2210" t="str">
            <v>CST0035928</v>
          </cell>
          <cell r="B2210" t="str">
            <v>FIRMAN PRATAMA(SALES)</v>
          </cell>
          <cell r="C2210">
            <v>19071.818181818184</v>
          </cell>
        </row>
        <row r="2211">
          <cell r="A2211" t="str">
            <v>CST0036018</v>
          </cell>
          <cell r="B2211" t="str">
            <v>TOKO DIAJENG</v>
          </cell>
          <cell r="C2211">
            <v>246874.09090909088</v>
          </cell>
        </row>
        <row r="2212">
          <cell r="A2212" t="str">
            <v>CST0036088</v>
          </cell>
          <cell r="B2212" t="str">
            <v>ADIT TOKO</v>
          </cell>
          <cell r="C2212">
            <v>18542.045454545456</v>
          </cell>
        </row>
        <row r="2213">
          <cell r="A2213" t="str">
            <v>CST0036122</v>
          </cell>
          <cell r="B2213" t="str">
            <v xml:space="preserve">HAWWA PASSION </v>
          </cell>
          <cell r="C2213">
            <v>27864497.181818187</v>
          </cell>
          <cell r="D2213">
            <v>17929585.636363633</v>
          </cell>
        </row>
        <row r="2214">
          <cell r="A2214" t="str">
            <v>CST0036240</v>
          </cell>
          <cell r="B2214" t="str">
            <v>SRC LIA</v>
          </cell>
          <cell r="C2214">
            <v>26488.63636363636</v>
          </cell>
        </row>
        <row r="2215">
          <cell r="A2215" t="str">
            <v>CST0036317</v>
          </cell>
          <cell r="B2215" t="str">
            <v>RAFIKA JAYA ABADI</v>
          </cell>
          <cell r="C2215">
            <v>222239.65909090906</v>
          </cell>
        </row>
        <row r="2216">
          <cell r="A2216" t="str">
            <v>CST0036452</v>
          </cell>
          <cell r="B2216" t="str">
            <v>HADI</v>
          </cell>
          <cell r="C2216">
            <v>1580899.0909090906</v>
          </cell>
          <cell r="D2216">
            <v>450306.81818181812</v>
          </cell>
        </row>
        <row r="2217">
          <cell r="A2217" t="str">
            <v>CST0036455</v>
          </cell>
          <cell r="B2217" t="str">
            <v xml:space="preserve">TOKO IKA </v>
          </cell>
          <cell r="C2217">
            <v>317863.63636363635</v>
          </cell>
          <cell r="D2217">
            <v>247252.50000000003</v>
          </cell>
        </row>
        <row r="2218">
          <cell r="A2218" t="str">
            <v>CST0036507</v>
          </cell>
          <cell r="B2218" t="str">
            <v>SUCI COLLECTION</v>
          </cell>
          <cell r="C2218">
            <v>15000767.181818187</v>
          </cell>
          <cell r="D2218">
            <v>11089357.500000002</v>
          </cell>
        </row>
        <row r="2219">
          <cell r="A2219" t="str">
            <v>CST0036633</v>
          </cell>
          <cell r="B2219" t="str">
            <v>INDAH COSMETIC</v>
          </cell>
          <cell r="C2219">
            <v>687150.45454545447</v>
          </cell>
        </row>
        <row r="2220">
          <cell r="A2220" t="str">
            <v>CST0036653</v>
          </cell>
          <cell r="B2220" t="str">
            <v>TOKO HEI</v>
          </cell>
          <cell r="C2220">
            <v>16650.000000000004</v>
          </cell>
        </row>
        <row r="2221">
          <cell r="A2221" t="str">
            <v>CST0036676</v>
          </cell>
          <cell r="B2221" t="str">
            <v>APT. NAMEERA</v>
          </cell>
          <cell r="C2221">
            <v>656726.31818181823</v>
          </cell>
          <cell r="D2221">
            <v>132443.18181818182</v>
          </cell>
        </row>
        <row r="2222">
          <cell r="A2222" t="str">
            <v>CST0036728</v>
          </cell>
          <cell r="B2222" t="str">
            <v>LUHRETTA SHOP KOSMETIK</v>
          </cell>
          <cell r="C2222">
            <v>1655918.1818181816</v>
          </cell>
          <cell r="D2222">
            <v>2362581.8181818184</v>
          </cell>
        </row>
        <row r="2223">
          <cell r="A2223" t="str">
            <v>CST0036771</v>
          </cell>
          <cell r="B2223" t="str">
            <v xml:space="preserve">NOUNA SHOP KOSMETIK </v>
          </cell>
          <cell r="C2223">
            <v>1764276.7272727271</v>
          </cell>
        </row>
        <row r="2224">
          <cell r="A2224" t="str">
            <v>CST0036816</v>
          </cell>
          <cell r="B2224" t="str">
            <v>TK LINA</v>
          </cell>
          <cell r="C2224">
            <v>182241.81818181818</v>
          </cell>
          <cell r="D2224">
            <v>207443.18181818182</v>
          </cell>
        </row>
        <row r="2225">
          <cell r="A2225" t="str">
            <v>CST0036853</v>
          </cell>
          <cell r="B2225" t="str">
            <v>TOKO ADEK KEMBAR</v>
          </cell>
          <cell r="C2225">
            <v>286077.27272727276</v>
          </cell>
          <cell r="D2225">
            <v>228861.81818181821</v>
          </cell>
        </row>
        <row r="2226">
          <cell r="A2226" t="str">
            <v>CST0036903</v>
          </cell>
          <cell r="B2226" t="str">
            <v>PUTRI UJANG 2</v>
          </cell>
          <cell r="C2226">
            <v>2714959.9545454541</v>
          </cell>
          <cell r="D2226">
            <v>987709.09090909094</v>
          </cell>
        </row>
        <row r="2227">
          <cell r="A2227" t="str">
            <v>CST0036925</v>
          </cell>
          <cell r="B2227" t="str">
            <v>3 PUTRI</v>
          </cell>
          <cell r="C2227">
            <v>344352.27272727271</v>
          </cell>
        </row>
        <row r="2228">
          <cell r="A2228" t="str">
            <v>CST0037043</v>
          </cell>
          <cell r="B2228" t="str">
            <v>TK HANNY</v>
          </cell>
          <cell r="C2228">
            <v>200556.81818181818</v>
          </cell>
          <cell r="D2228">
            <v>229169.31818181818</v>
          </cell>
        </row>
        <row r="2229">
          <cell r="A2229" t="str">
            <v>CST0037125</v>
          </cell>
          <cell r="B2229" t="str">
            <v>T.O FAMILY</v>
          </cell>
          <cell r="C2229">
            <v>706716.818181818</v>
          </cell>
          <cell r="D2229">
            <v>141600</v>
          </cell>
        </row>
        <row r="2230">
          <cell r="A2230" t="str">
            <v>CST0037230</v>
          </cell>
          <cell r="B2230" t="str">
            <v>SENTRA MART</v>
          </cell>
          <cell r="C2230">
            <v>1020693.1154545455</v>
          </cell>
        </row>
        <row r="2231">
          <cell r="A2231" t="str">
            <v>CST0037256</v>
          </cell>
          <cell r="B2231" t="str">
            <v>ACIT MART</v>
          </cell>
          <cell r="C2231">
            <v>282096.40909090906</v>
          </cell>
          <cell r="D2231">
            <v>317863.63636363635</v>
          </cell>
        </row>
        <row r="2232">
          <cell r="A2232" t="str">
            <v>CST0037290</v>
          </cell>
          <cell r="B2232" t="str">
            <v>HI BEAUTY</v>
          </cell>
          <cell r="C2232">
            <v>2980298.8636363652</v>
          </cell>
          <cell r="D2232">
            <v>3930545.7272727275</v>
          </cell>
        </row>
        <row r="2233">
          <cell r="A2233" t="str">
            <v>CST0037488</v>
          </cell>
          <cell r="B2233" t="str">
            <v>RATNA KURNIATI</v>
          </cell>
          <cell r="C2233">
            <v>33239.454545454551</v>
          </cell>
          <cell r="D2233">
            <v>170977.27272727271</v>
          </cell>
        </row>
        <row r="2234">
          <cell r="A2234" t="str">
            <v>CST0037489</v>
          </cell>
          <cell r="B2234" t="str">
            <v>HERYANSYAH</v>
          </cell>
          <cell r="C2234">
            <v>946398.86363636353</v>
          </cell>
        </row>
        <row r="2235">
          <cell r="A2235" t="str">
            <v>CST0037517</v>
          </cell>
          <cell r="B2235" t="str">
            <v>FAUZAN</v>
          </cell>
          <cell r="C2235">
            <v>248478.54545454547</v>
          </cell>
          <cell r="D2235">
            <v>217192.13636363638</v>
          </cell>
        </row>
        <row r="2236">
          <cell r="A2236" t="str">
            <v>CST0037553</v>
          </cell>
          <cell r="B2236" t="str">
            <v>HQ MART</v>
          </cell>
          <cell r="C2236">
            <v>184465.90909090909</v>
          </cell>
          <cell r="D2236">
            <v>363102.27272727271</v>
          </cell>
        </row>
        <row r="2237">
          <cell r="A2237" t="str">
            <v>CST0037605</v>
          </cell>
          <cell r="B2237" t="str">
            <v>SRC NAHLA</v>
          </cell>
          <cell r="C2237">
            <v>236250</v>
          </cell>
        </row>
        <row r="2238">
          <cell r="A2238" t="str">
            <v>CST0037693</v>
          </cell>
          <cell r="B2238" t="str">
            <v>EMA ADMIN TLB</v>
          </cell>
          <cell r="C2238">
            <v>352691.54545454541</v>
          </cell>
        </row>
        <row r="2239">
          <cell r="A2239" t="str">
            <v>CST0037866</v>
          </cell>
          <cell r="B2239" t="str">
            <v>MARKET HOME</v>
          </cell>
          <cell r="C2239">
            <v>1126085.4545454544</v>
          </cell>
          <cell r="D2239">
            <v>1125361.3636363635</v>
          </cell>
        </row>
        <row r="2240">
          <cell r="A2240" t="str">
            <v>CST0037880</v>
          </cell>
          <cell r="B2240" t="str">
            <v>UMBRELLA BABY SHOP</v>
          </cell>
          <cell r="C2240">
            <v>317863.63636363635</v>
          </cell>
          <cell r="D2240">
            <v>40500</v>
          </cell>
        </row>
        <row r="2241">
          <cell r="A2241" t="str">
            <v>CST0037962</v>
          </cell>
          <cell r="B2241" t="str">
            <v>KEYSA</v>
          </cell>
          <cell r="C2241">
            <v>317863.63636363635</v>
          </cell>
        </row>
        <row r="2242">
          <cell r="A2242" t="str">
            <v>CST0037985</v>
          </cell>
          <cell r="B2242" t="str">
            <v>TOKO MBA TRI</v>
          </cell>
          <cell r="C2242">
            <v>696269.318181818</v>
          </cell>
        </row>
        <row r="2243">
          <cell r="A2243" t="str">
            <v>CST0037990</v>
          </cell>
          <cell r="B2243" t="str">
            <v>TOP MART</v>
          </cell>
          <cell r="C2243">
            <v>4892592.9545454541</v>
          </cell>
          <cell r="D2243">
            <v>18578349.545454554</v>
          </cell>
        </row>
        <row r="2244">
          <cell r="A2244" t="str">
            <v>CST0038006</v>
          </cell>
          <cell r="B2244" t="str">
            <v>TIKTOK KOSMETIK</v>
          </cell>
          <cell r="C2244">
            <v>760360.09090909082</v>
          </cell>
        </row>
        <row r="2245">
          <cell r="A2245" t="str">
            <v>CST0038029</v>
          </cell>
          <cell r="B2245" t="str">
            <v>KOSMETIK MAHARANI</v>
          </cell>
          <cell r="C2245">
            <v>2075790.6818181816</v>
          </cell>
          <cell r="D2245">
            <v>600000</v>
          </cell>
        </row>
        <row r="2246">
          <cell r="A2246" t="str">
            <v>CST0038044</v>
          </cell>
          <cell r="B2246" t="str">
            <v>GEAUTY STORE</v>
          </cell>
          <cell r="C2246">
            <v>2350292.7272727275</v>
          </cell>
          <cell r="D2246">
            <v>1682634.0909090906</v>
          </cell>
        </row>
        <row r="2247">
          <cell r="A2247" t="str">
            <v>CST0038087</v>
          </cell>
          <cell r="B2247" t="str">
            <v>Y DAN H</v>
          </cell>
          <cell r="C2247">
            <v>1369489.0909090913</v>
          </cell>
          <cell r="D2247">
            <v>1989636.4772727268</v>
          </cell>
        </row>
        <row r="2248">
          <cell r="A2248" t="str">
            <v>CST0038198</v>
          </cell>
          <cell r="B2248" t="str">
            <v>WR TIKA</v>
          </cell>
          <cell r="C2248">
            <v>79465.909090909088</v>
          </cell>
        </row>
        <row r="2249">
          <cell r="A2249" t="str">
            <v>CST0038247</v>
          </cell>
          <cell r="B2249" t="str">
            <v>KIOS PAKAN BURUNG DAN IKAN</v>
          </cell>
          <cell r="C2249">
            <v>0</v>
          </cell>
        </row>
        <row r="2250">
          <cell r="A2250" t="str">
            <v>CST0038277</v>
          </cell>
          <cell r="B2250" t="str">
            <v>NOVIA ANDRIYANI</v>
          </cell>
          <cell r="C2250">
            <v>63700</v>
          </cell>
          <cell r="D2250">
            <v>-22200.000000000004</v>
          </cell>
        </row>
        <row r="2251">
          <cell r="A2251" t="str">
            <v>CST0038611</v>
          </cell>
          <cell r="B2251" t="str">
            <v>APOTEK MUTIARA JAYA FARMA</v>
          </cell>
          <cell r="C2251">
            <v>1321568.1818181816</v>
          </cell>
          <cell r="D2251">
            <v>1274915.4545454544</v>
          </cell>
        </row>
        <row r="2252">
          <cell r="A2252" t="str">
            <v>CST0038617</v>
          </cell>
          <cell r="B2252" t="str">
            <v>TOKO ANGGA</v>
          </cell>
          <cell r="C2252">
            <v>26488.63636363636</v>
          </cell>
        </row>
        <row r="2253">
          <cell r="A2253" t="str">
            <v>CST0038634</v>
          </cell>
          <cell r="B2253" t="str">
            <v>TK BERKAH / PENGKOLANG</v>
          </cell>
          <cell r="C2253">
            <v>185420.45454545453</v>
          </cell>
        </row>
        <row r="2254">
          <cell r="A2254" t="str">
            <v>CST0038665</v>
          </cell>
          <cell r="B2254" t="str">
            <v>ARKHAN 12 CELL</v>
          </cell>
          <cell r="C2254">
            <v>853446.36363636365</v>
          </cell>
        </row>
        <row r="2255">
          <cell r="A2255" t="str">
            <v>CST0038754</v>
          </cell>
          <cell r="B2255" t="str">
            <v>MANTAN KARYAWAN</v>
          </cell>
          <cell r="C2255">
            <v>1762553.8636363647</v>
          </cell>
          <cell r="D2255">
            <v>11268536.727272727</v>
          </cell>
        </row>
        <row r="2256">
          <cell r="A2256" t="str">
            <v>CST0038820</v>
          </cell>
          <cell r="B2256" t="str">
            <v>GALERY MAUZA</v>
          </cell>
          <cell r="C2256">
            <v>3454142.0454545459</v>
          </cell>
          <cell r="D2256">
            <v>1559059.0909090908</v>
          </cell>
        </row>
        <row r="2257">
          <cell r="A2257" t="str">
            <v>CST0039018</v>
          </cell>
          <cell r="B2257" t="str">
            <v>NUANSA KOSMETIK</v>
          </cell>
          <cell r="C2257">
            <v>308700</v>
          </cell>
          <cell r="D2257">
            <v>1837472.1818181823</v>
          </cell>
        </row>
        <row r="2258">
          <cell r="A2258" t="str">
            <v>CST0039039</v>
          </cell>
          <cell r="B2258" t="str">
            <v>RATU BEAUTY</v>
          </cell>
          <cell r="C2258">
            <v>5566045.9090909092</v>
          </cell>
          <cell r="D2258">
            <v>5783228.8636363652</v>
          </cell>
        </row>
        <row r="2259">
          <cell r="A2259" t="str">
            <v>CST0039117</v>
          </cell>
          <cell r="B2259" t="str">
            <v>KANTOR MIX</v>
          </cell>
          <cell r="C2259">
            <v>14600178.921363657</v>
          </cell>
          <cell r="D2259">
            <v>20919184.568181835</v>
          </cell>
        </row>
        <row r="2260">
          <cell r="A2260" t="str">
            <v>CST0039119</v>
          </cell>
          <cell r="B2260" t="str">
            <v>SRC MURTI</v>
          </cell>
          <cell r="C2260">
            <v>317863.63636363635</v>
          </cell>
        </row>
        <row r="2261">
          <cell r="A2261" t="str">
            <v>CST0039128</v>
          </cell>
          <cell r="B2261" t="str">
            <v>TOKO REJEKI 888</v>
          </cell>
          <cell r="C2261">
            <v>334513.63636363629</v>
          </cell>
        </row>
        <row r="2262">
          <cell r="A2262" t="str">
            <v>CST0039179</v>
          </cell>
          <cell r="B2262" t="str">
            <v>ANI ADMIN TLB</v>
          </cell>
          <cell r="C2262">
            <v>72200</v>
          </cell>
          <cell r="D2262">
            <v>147559.09090909091</v>
          </cell>
        </row>
        <row r="2263">
          <cell r="A2263" t="str">
            <v>CST0039201</v>
          </cell>
          <cell r="B2263" t="str">
            <v>TOKO SLP</v>
          </cell>
          <cell r="C2263">
            <v>6233608.6363636367</v>
          </cell>
          <cell r="D2263">
            <v>8059656.8181818184</v>
          </cell>
        </row>
        <row r="2264">
          <cell r="A2264" t="str">
            <v>CST0039245</v>
          </cell>
          <cell r="B2264" t="str">
            <v>BUDE ROS</v>
          </cell>
          <cell r="C2264">
            <v>178916.59090909091</v>
          </cell>
        </row>
        <row r="2265">
          <cell r="A2265" t="str">
            <v>CST0039248</v>
          </cell>
          <cell r="B2265" t="str">
            <v>TOKO FAJAR</v>
          </cell>
          <cell r="C2265">
            <v>996096.81818181789</v>
          </cell>
        </row>
        <row r="2266">
          <cell r="A2266" t="str">
            <v>CST0039640</v>
          </cell>
          <cell r="B2266" t="str">
            <v>RJ TOSERBA</v>
          </cell>
          <cell r="C2266">
            <v>476795.45454545447</v>
          </cell>
          <cell r="D2266">
            <v>3133435.2272727275</v>
          </cell>
        </row>
        <row r="2267">
          <cell r="A2267" t="str">
            <v>CST0039655</v>
          </cell>
          <cell r="B2267" t="str">
            <v>LAKEYS STORE</v>
          </cell>
          <cell r="C2267">
            <v>2308004.5454545454</v>
          </cell>
          <cell r="D2267">
            <v>1371402.2727272725</v>
          </cell>
        </row>
        <row r="2268">
          <cell r="A2268" t="str">
            <v>CST0039668</v>
          </cell>
          <cell r="B2268" t="str">
            <v xml:space="preserve">BEAUTY STORE </v>
          </cell>
          <cell r="C2268">
            <v>916909.09090909082</v>
          </cell>
          <cell r="D2268">
            <v>2023800</v>
          </cell>
        </row>
        <row r="2269">
          <cell r="A2269" t="str">
            <v>CST0039695</v>
          </cell>
          <cell r="B2269" t="str">
            <v xml:space="preserve">A BEAUTY STORE </v>
          </cell>
          <cell r="C2269">
            <v>-85009.090909090941</v>
          </cell>
          <cell r="D2269">
            <v>493200</v>
          </cell>
        </row>
        <row r="2270">
          <cell r="A2270" t="str">
            <v>CST0039754</v>
          </cell>
          <cell r="B2270" t="str">
            <v>TOKO JUMIYATI</v>
          </cell>
          <cell r="C2270">
            <v>476795.45454545459</v>
          </cell>
        </row>
        <row r="2271">
          <cell r="A2271" t="str">
            <v>CST0039785</v>
          </cell>
          <cell r="B2271" t="str">
            <v>KANAYA SKINCARE</v>
          </cell>
          <cell r="C2271">
            <v>2116261.3636363642</v>
          </cell>
        </row>
        <row r="2272">
          <cell r="A2272" t="str">
            <v>CST0039794</v>
          </cell>
          <cell r="B2272" t="str">
            <v>MEIRITA STORE</v>
          </cell>
          <cell r="C2272">
            <v>465818.18181818177</v>
          </cell>
        </row>
        <row r="2273">
          <cell r="A2273" t="str">
            <v>CST0039808</v>
          </cell>
          <cell r="B2273" t="str">
            <v>PRIMA ADITYA</v>
          </cell>
          <cell r="C2273">
            <v>317863.63636363635</v>
          </cell>
          <cell r="D2273">
            <v>158931.81818181818</v>
          </cell>
        </row>
        <row r="2274">
          <cell r="A2274" t="str">
            <v>CST0039850</v>
          </cell>
          <cell r="B2274" t="str">
            <v>TOKO EKO</v>
          </cell>
          <cell r="C2274">
            <v>602819.99999999988</v>
          </cell>
          <cell r="D2274">
            <v>388963.63636363629</v>
          </cell>
        </row>
        <row r="2275">
          <cell r="A2275" t="str">
            <v>CST0039873</v>
          </cell>
          <cell r="B2275" t="str">
            <v>PESONA GLAM</v>
          </cell>
          <cell r="C2275">
            <v>1444800</v>
          </cell>
          <cell r="D2275">
            <v>3050547.2727272725</v>
          </cell>
        </row>
        <row r="2276">
          <cell r="A2276" t="str">
            <v>CST0039877</v>
          </cell>
          <cell r="B2276" t="str">
            <v>TOKO RAFA</v>
          </cell>
          <cell r="C2276">
            <v>662215.90909090894</v>
          </cell>
        </row>
        <row r="2277">
          <cell r="A2277" t="str">
            <v>CST0039894</v>
          </cell>
          <cell r="B2277" t="str">
            <v>ANDIKA WARDANA</v>
          </cell>
          <cell r="C2277">
            <v>317863.63636363635</v>
          </cell>
        </row>
        <row r="2278">
          <cell r="A2278" t="str">
            <v>CST0040026</v>
          </cell>
          <cell r="B2278" t="str">
            <v>MERI KOSMETIK</v>
          </cell>
          <cell r="C2278">
            <v>710425.22727272729</v>
          </cell>
        </row>
        <row r="2279">
          <cell r="A2279" t="str">
            <v>CST0040034</v>
          </cell>
          <cell r="B2279" t="str">
            <v>KONIK KOSMETIK</v>
          </cell>
          <cell r="C2279">
            <v>478510.909090909</v>
          </cell>
        </row>
        <row r="2280">
          <cell r="A2280" t="str">
            <v>CST0040049</v>
          </cell>
          <cell r="B2280" t="str">
            <v>APOTIK LAMSER</v>
          </cell>
          <cell r="C2280">
            <v>105954.54545454546</v>
          </cell>
          <cell r="D2280">
            <v>317863.63636363635</v>
          </cell>
        </row>
        <row r="2281">
          <cell r="A2281" t="str">
            <v>CST0040060</v>
          </cell>
          <cell r="B2281" t="str">
            <v>ALDA KOSMETIK</v>
          </cell>
          <cell r="C2281">
            <v>317863.63636363635</v>
          </cell>
        </row>
        <row r="2282">
          <cell r="A2282" t="str">
            <v>CST0040064</v>
          </cell>
          <cell r="B2282" t="str">
            <v>CK BEAUTY</v>
          </cell>
          <cell r="C2282">
            <v>2469409.7727272729</v>
          </cell>
          <cell r="D2282">
            <v>317863.63636363635</v>
          </cell>
        </row>
        <row r="2283">
          <cell r="A2283" t="str">
            <v>CST0040068</v>
          </cell>
          <cell r="B2283" t="str">
            <v>TOKO LUKI</v>
          </cell>
          <cell r="C2283">
            <v>264886.36363636365</v>
          </cell>
        </row>
        <row r="2284">
          <cell r="A2284" t="str">
            <v>CST0040106</v>
          </cell>
          <cell r="B2284" t="str">
            <v>TOKO CINDY</v>
          </cell>
          <cell r="C2284">
            <v>635727.27272727259</v>
          </cell>
        </row>
        <row r="2285">
          <cell r="A2285" t="str">
            <v>CST0040115</v>
          </cell>
          <cell r="B2285" t="str">
            <v>ANISA</v>
          </cell>
          <cell r="C2285">
            <v>-3.637978807091713E-11</v>
          </cell>
        </row>
        <row r="2286">
          <cell r="A2286" t="str">
            <v>CSW-NGB</v>
          </cell>
          <cell r="B2286" t="str">
            <v>CITRA SWALAYAN,CV NGABANG</v>
          </cell>
          <cell r="C2286">
            <v>1129778.1818181819</v>
          </cell>
          <cell r="D2286">
            <v>3585975.9545454555</v>
          </cell>
        </row>
        <row r="2287">
          <cell r="A2287" t="str">
            <v>CTRA-KL2</v>
          </cell>
          <cell r="B2287" t="str">
            <v>CITRA INDAH SWALAYAN</v>
          </cell>
          <cell r="C2287">
            <v>1687406.1818181823</v>
          </cell>
          <cell r="D2287">
            <v>530530.63636363635</v>
          </cell>
        </row>
        <row r="2288">
          <cell r="A2288" t="str">
            <v>CTRAM</v>
          </cell>
          <cell r="B2288" t="str">
            <v>EKARIC CITRA RETAILINDO,PT</v>
          </cell>
          <cell r="C2288">
            <v>392863.63636363635</v>
          </cell>
          <cell r="D2288">
            <v>1726481.8181818184</v>
          </cell>
        </row>
        <row r="2289">
          <cell r="B2289" t="str">
            <v>PT EKARIC CITRA RETAILINDO</v>
          </cell>
          <cell r="C2289">
            <v>768931.63636363635</v>
          </cell>
        </row>
        <row r="2290">
          <cell r="A2290" t="str">
            <v>D013</v>
          </cell>
          <cell r="B2290" t="str">
            <v>DELUNA OLSHOP</v>
          </cell>
          <cell r="C2290">
            <v>10817009.318181824</v>
          </cell>
          <cell r="D2290">
            <v>11238160.454545461</v>
          </cell>
        </row>
        <row r="2291">
          <cell r="A2291" t="str">
            <v>D018</v>
          </cell>
          <cell r="B2291" t="str">
            <v>DINDA TAPAN</v>
          </cell>
          <cell r="C2291">
            <v>1820857.5000000002</v>
          </cell>
          <cell r="D2291">
            <v>1634878.6363636365</v>
          </cell>
        </row>
        <row r="2292">
          <cell r="A2292" t="str">
            <v>D024</v>
          </cell>
          <cell r="B2292" t="str">
            <v>DOSEN PALANTA</v>
          </cell>
          <cell r="C2292">
            <v>393872.27272727276</v>
          </cell>
          <cell r="D2292">
            <v>551973.40909090906</v>
          </cell>
        </row>
        <row r="2293">
          <cell r="A2293" t="str">
            <v>D029</v>
          </cell>
          <cell r="B2293" t="str">
            <v>DD MART</v>
          </cell>
          <cell r="C2293">
            <v>1250306.5909090908</v>
          </cell>
        </row>
        <row r="2294">
          <cell r="A2294" t="str">
            <v>D030</v>
          </cell>
          <cell r="B2294" t="str">
            <v>D&amp;J MAKE UP STORE</v>
          </cell>
          <cell r="C2294">
            <v>1871434.5454545454</v>
          </cell>
        </row>
        <row r="2295">
          <cell r="A2295" t="str">
            <v>D035</v>
          </cell>
          <cell r="B2295" t="str">
            <v>DILA / JUNIARTI</v>
          </cell>
          <cell r="C2295">
            <v>38143.636363636368</v>
          </cell>
        </row>
        <row r="2296">
          <cell r="B2296" t="str">
            <v>DELAURY MAKE UP STORE</v>
          </cell>
          <cell r="D2296">
            <v>18144237.272727277</v>
          </cell>
        </row>
        <row r="2297">
          <cell r="A2297" t="str">
            <v>D049</v>
          </cell>
          <cell r="B2297" t="str">
            <v>DVYKRA COSMETIK</v>
          </cell>
          <cell r="C2297">
            <v>380863.63636363635</v>
          </cell>
        </row>
        <row r="2298">
          <cell r="A2298" t="str">
            <v>D055</v>
          </cell>
          <cell r="B2298" t="str">
            <v>DAILY BEAUTY KOSMETIK DMS</v>
          </cell>
          <cell r="C2298">
            <v>1694120.4545454546</v>
          </cell>
        </row>
        <row r="2299">
          <cell r="A2299" t="str">
            <v>D056</v>
          </cell>
          <cell r="B2299" t="str">
            <v>DD MM PASAMAN</v>
          </cell>
          <cell r="C2299">
            <v>2792320.6818181816</v>
          </cell>
          <cell r="D2299">
            <v>2479853.4090909087</v>
          </cell>
        </row>
        <row r="2300">
          <cell r="A2300" t="str">
            <v>D059</v>
          </cell>
          <cell r="B2300" t="str">
            <v>DAY BEAUTY DMS</v>
          </cell>
          <cell r="C2300">
            <v>659100</v>
          </cell>
        </row>
        <row r="2301">
          <cell r="A2301" t="str">
            <v>D060</v>
          </cell>
          <cell r="B2301" t="str">
            <v>DONA CAKE MINI MARKET</v>
          </cell>
          <cell r="C2301">
            <v>272331.81818181818</v>
          </cell>
        </row>
        <row r="2302">
          <cell r="A2302" t="str">
            <v>D077</v>
          </cell>
          <cell r="B2302" t="str">
            <v>DARREN ANDERSON</v>
          </cell>
          <cell r="C2302">
            <v>1413053.1818181816</v>
          </cell>
          <cell r="D2302">
            <v>839040.90909090906</v>
          </cell>
        </row>
        <row r="2303">
          <cell r="A2303" t="str">
            <v>DHL.BOR</v>
          </cell>
          <cell r="B2303" t="str">
            <v>DHL BORNEO,CV</v>
          </cell>
          <cell r="C2303">
            <v>36941448.272727288</v>
          </cell>
          <cell r="D2303">
            <v>11191146.000000002</v>
          </cell>
        </row>
        <row r="2304">
          <cell r="A2304" t="str">
            <v>DIVA</v>
          </cell>
          <cell r="B2304" t="str">
            <v>DIVA MART,KETAPANG</v>
          </cell>
          <cell r="C2304">
            <v>485863.63636363635</v>
          </cell>
        </row>
        <row r="2305">
          <cell r="A2305" t="str">
            <v>DK</v>
          </cell>
          <cell r="B2305" t="str">
            <v>DOKI DOKI ,SEMITAU</v>
          </cell>
          <cell r="C2305">
            <v>7027159.7727272734</v>
          </cell>
        </row>
        <row r="2306">
          <cell r="A2306" t="str">
            <v>DLM001</v>
          </cell>
          <cell r="B2306" t="str">
            <v>3 KENZA COS</v>
          </cell>
          <cell r="C2306">
            <v>2044620</v>
          </cell>
          <cell r="D2306">
            <v>2755599.9545454541</v>
          </cell>
        </row>
        <row r="2307">
          <cell r="A2307" t="str">
            <v>DLM003</v>
          </cell>
          <cell r="B2307" t="str">
            <v>SERBA JAYA</v>
          </cell>
          <cell r="C2307">
            <v>11381588.863636365</v>
          </cell>
          <cell r="D2307">
            <v>1203547.5</v>
          </cell>
        </row>
        <row r="2308">
          <cell r="A2308" t="str">
            <v>DLM004</v>
          </cell>
          <cell r="B2308" t="str">
            <v>TOSERBA DOLOK</v>
          </cell>
          <cell r="C2308">
            <v>2016801.8181818179</v>
          </cell>
          <cell r="D2308">
            <v>2427996.8181818184</v>
          </cell>
        </row>
        <row r="2309">
          <cell r="A2309" t="str">
            <v>DLS001</v>
          </cell>
          <cell r="B2309" t="str">
            <v>TOKO SEMANGAT BARU</v>
          </cell>
          <cell r="C2309">
            <v>784059.09090909082</v>
          </cell>
        </row>
        <row r="2310">
          <cell r="A2310" t="str">
            <v>DLS002</v>
          </cell>
          <cell r="B2310" t="str">
            <v>TOKO ANNA SALON</v>
          </cell>
          <cell r="C2310">
            <v>3509050.9090909092</v>
          </cell>
        </row>
        <row r="2311">
          <cell r="A2311" t="str">
            <v>DLS003</v>
          </cell>
          <cell r="B2311" t="str">
            <v>JELOVA MARKET</v>
          </cell>
          <cell r="C2311">
            <v>-276541.36363636365</v>
          </cell>
          <cell r="D2311">
            <v>696865.90909090918</v>
          </cell>
        </row>
        <row r="2312">
          <cell r="A2312" t="str">
            <v>DLS005</v>
          </cell>
          <cell r="B2312" t="str">
            <v>FAMILY SALON</v>
          </cell>
          <cell r="C2312">
            <v>2176003.6363636362</v>
          </cell>
          <cell r="D2312">
            <v>4179690.0000000014</v>
          </cell>
        </row>
        <row r="2313">
          <cell r="A2313" t="str">
            <v>DLUV</v>
          </cell>
          <cell r="B2313" t="str">
            <v>DLUVEN TOKO,SINGKAWANG</v>
          </cell>
          <cell r="C2313">
            <v>18131121.545454554</v>
          </cell>
          <cell r="D2313">
            <v>9727749.9545454569</v>
          </cell>
        </row>
        <row r="2314">
          <cell r="A2314" t="str">
            <v>DMCOS</v>
          </cell>
          <cell r="B2314" t="str">
            <v>DEMO COS</v>
          </cell>
          <cell r="C2314">
            <v>225775.07000000004</v>
          </cell>
          <cell r="D2314">
            <v>277087.27272727271</v>
          </cell>
        </row>
        <row r="2315">
          <cell r="A2315" t="str">
            <v>DORE</v>
          </cell>
          <cell r="B2315" t="str">
            <v>DOREMI,CV</v>
          </cell>
          <cell r="C2315">
            <v>91839631.636363596</v>
          </cell>
        </row>
        <row r="2316">
          <cell r="A2316" t="str">
            <v>DUNIA.</v>
          </cell>
          <cell r="B2316" t="str">
            <v>DUNIA FASHION,KETAPANG</v>
          </cell>
          <cell r="C2316">
            <v>19447805.454545457</v>
          </cell>
          <cell r="D2316">
            <v>33570245.454545446</v>
          </cell>
        </row>
        <row r="2317">
          <cell r="A2317" t="str">
            <v>E001</v>
          </cell>
          <cell r="B2317" t="str">
            <v>EDWIN SOLOK</v>
          </cell>
          <cell r="C2317">
            <v>4087521.8181818188</v>
          </cell>
          <cell r="D2317">
            <v>6034472.7272727266</v>
          </cell>
        </row>
        <row r="2318">
          <cell r="A2318" t="str">
            <v>E002</v>
          </cell>
          <cell r="B2318" t="str">
            <v>EDWIN SICINCIN</v>
          </cell>
          <cell r="C2318">
            <v>1414502.2727272727</v>
          </cell>
          <cell r="D2318">
            <v>1614433.6363636362</v>
          </cell>
        </row>
        <row r="2319">
          <cell r="A2319" t="str">
            <v>E003</v>
          </cell>
          <cell r="B2319" t="str">
            <v>EL COSMETIK</v>
          </cell>
          <cell r="C2319">
            <v>1081644.5454545454</v>
          </cell>
          <cell r="D2319">
            <v>600661.36363636365</v>
          </cell>
        </row>
        <row r="2320">
          <cell r="A2320" t="str">
            <v>E005</v>
          </cell>
          <cell r="B2320" t="str">
            <v>ENI MART PS.USANG</v>
          </cell>
          <cell r="C2320">
            <v>686520.40909090918</v>
          </cell>
        </row>
        <row r="2321">
          <cell r="A2321" t="str">
            <v>E017</v>
          </cell>
          <cell r="B2321" t="str">
            <v>ELVA COS</v>
          </cell>
          <cell r="C2321">
            <v>2026647.2727272729</v>
          </cell>
          <cell r="D2321">
            <v>1107619.0909090908</v>
          </cell>
        </row>
        <row r="2322">
          <cell r="A2322" t="str">
            <v>ELEG</v>
          </cell>
          <cell r="B2322" t="str">
            <v>ELEGANT TOKO,KETAPANG</v>
          </cell>
          <cell r="C2322">
            <v>63134282.727272719</v>
          </cell>
          <cell r="D2322">
            <v>80661158.181818187</v>
          </cell>
        </row>
        <row r="2323">
          <cell r="A2323" t="str">
            <v>ERNA1</v>
          </cell>
          <cell r="B2323" t="str">
            <v>ERNA NIRAM TK,DELTA PAWAN</v>
          </cell>
          <cell r="C2323">
            <v>2005990.9090909092</v>
          </cell>
          <cell r="D2323">
            <v>7155365.4545454541</v>
          </cell>
        </row>
        <row r="2324">
          <cell r="A2324" t="str">
            <v>F004</v>
          </cell>
          <cell r="B2324" t="str">
            <v>FAMOSTA SHOP</v>
          </cell>
          <cell r="C2324">
            <v>5466540.454545456</v>
          </cell>
          <cell r="D2324">
            <v>1683727.2727272729</v>
          </cell>
        </row>
        <row r="2325">
          <cell r="A2325" t="str">
            <v>F005</v>
          </cell>
          <cell r="B2325" t="str">
            <v>FARHAN</v>
          </cell>
          <cell r="C2325">
            <v>29037210.000000007</v>
          </cell>
          <cell r="D2325">
            <v>9570000</v>
          </cell>
        </row>
        <row r="2326">
          <cell r="A2326" t="str">
            <v>F008</v>
          </cell>
          <cell r="B2326" t="str">
            <v>FITRI OLSHOP</v>
          </cell>
          <cell r="C2326">
            <v>6391362.5000000009</v>
          </cell>
          <cell r="D2326">
            <v>5883073.6363636358</v>
          </cell>
        </row>
        <row r="2327">
          <cell r="A2327" t="str">
            <v>FIJU</v>
          </cell>
          <cell r="B2327" t="str">
            <v>FIJU KOSMETIK,PUTUSIBAU</v>
          </cell>
          <cell r="C2327">
            <v>1298492.7272727273</v>
          </cell>
        </row>
        <row r="2328">
          <cell r="A2328" t="str">
            <v>FORT</v>
          </cell>
          <cell r="B2328" t="str">
            <v>FORTUNA DESKAP,TK</v>
          </cell>
          <cell r="C2328">
            <v>515998.63636363624</v>
          </cell>
        </row>
        <row r="2329">
          <cell r="A2329" t="str">
            <v>FTNA-ST</v>
          </cell>
          <cell r="B2329" t="str">
            <v>FORTUNA TK, SIANTAN</v>
          </cell>
          <cell r="C2329">
            <v>2542909.0909090908</v>
          </cell>
        </row>
        <row r="2330">
          <cell r="A2330" t="str">
            <v>G002</v>
          </cell>
          <cell r="B2330" t="str">
            <v>GARUDA MART SOLOK</v>
          </cell>
          <cell r="C2330">
            <v>246600.00000000003</v>
          </cell>
          <cell r="D2330">
            <v>542792.45454545459</v>
          </cell>
        </row>
        <row r="2331">
          <cell r="A2331" t="str">
            <v>G003</v>
          </cell>
          <cell r="B2331" t="str">
            <v>GDR MART</v>
          </cell>
          <cell r="C2331">
            <v>914539.09090909071</v>
          </cell>
        </row>
        <row r="2332">
          <cell r="A2332" t="str">
            <v>G005</v>
          </cell>
          <cell r="B2332" t="str">
            <v>GRAND CITRA PRM</v>
          </cell>
          <cell r="C2332">
            <v>384463.63636363635</v>
          </cell>
          <cell r="D2332">
            <v>244892.04545454547</v>
          </cell>
        </row>
        <row r="2333">
          <cell r="A2333" t="str">
            <v>G006</v>
          </cell>
          <cell r="B2333" t="str">
            <v>GRAND CITRA SWL</v>
          </cell>
          <cell r="C2333">
            <v>9449914.0909090936</v>
          </cell>
          <cell r="D2333">
            <v>16567993.090909097</v>
          </cell>
        </row>
        <row r="2334">
          <cell r="A2334" t="str">
            <v>G010</v>
          </cell>
          <cell r="B2334" t="str">
            <v>GRAND CITRA SUTOMO</v>
          </cell>
          <cell r="C2334">
            <v>1676597.7272727273</v>
          </cell>
          <cell r="D2334">
            <v>2868779.3181818193</v>
          </cell>
        </row>
        <row r="2335">
          <cell r="A2335" t="str">
            <v>G012</v>
          </cell>
          <cell r="B2335" t="str">
            <v>GUCI SWALAYAN</v>
          </cell>
          <cell r="C2335">
            <v>1725225.6818181819</v>
          </cell>
          <cell r="D2335">
            <v>3131936.5909090922</v>
          </cell>
        </row>
        <row r="2336">
          <cell r="A2336" t="str">
            <v>G015</v>
          </cell>
          <cell r="B2336" t="str">
            <v>GAVRA</v>
          </cell>
          <cell r="C2336">
            <v>1460397.9545454544</v>
          </cell>
        </row>
        <row r="2337">
          <cell r="A2337" t="str">
            <v>GADING</v>
          </cell>
          <cell r="B2337" t="str">
            <v>GADING, TO</v>
          </cell>
          <cell r="C2337">
            <v>1846037.0454545454</v>
          </cell>
          <cell r="D2337">
            <v>11326762.772727277</v>
          </cell>
        </row>
        <row r="2338">
          <cell r="A2338" t="str">
            <v>GMJ</v>
          </cell>
          <cell r="B2338" t="str">
            <v>GOLDEN MART JAYA,PT-NGABANG</v>
          </cell>
          <cell r="C2338">
            <v>1326792.2727272725</v>
          </cell>
        </row>
        <row r="2339">
          <cell r="A2339" t="str">
            <v>GOLD</v>
          </cell>
          <cell r="B2339" t="str">
            <v>STARVINDO/GOLDIS ,NGABANG</v>
          </cell>
          <cell r="C2339">
            <v>25551879.000000004</v>
          </cell>
          <cell r="D2339">
            <v>21046457.63636364</v>
          </cell>
        </row>
        <row r="2340">
          <cell r="A2340" t="str">
            <v>GRAC</v>
          </cell>
          <cell r="B2340" t="str">
            <v>GRACE KOSMETIK,SINTANG</v>
          </cell>
          <cell r="C2340">
            <v>1131861.2727272727</v>
          </cell>
          <cell r="D2340">
            <v>2647573.3636363633</v>
          </cell>
        </row>
        <row r="2341">
          <cell r="A2341" t="str">
            <v>GRACE2</v>
          </cell>
          <cell r="B2341" t="str">
            <v>GRACE2 KOSMETIK,SINTANG</v>
          </cell>
          <cell r="C2341">
            <v>1941318.6818181819</v>
          </cell>
        </row>
        <row r="2342">
          <cell r="A2342" t="str">
            <v>GREAT</v>
          </cell>
          <cell r="B2342" t="str">
            <v>GREAT MART</v>
          </cell>
          <cell r="C2342">
            <v>6195322.6818181816</v>
          </cell>
          <cell r="D2342">
            <v>8888792.4545454551</v>
          </cell>
        </row>
        <row r="2343">
          <cell r="A2343" t="str">
            <v>H001</v>
          </cell>
          <cell r="B2343" t="str">
            <v>HASRAT</v>
          </cell>
          <cell r="C2343">
            <v>152212616.36363626</v>
          </cell>
          <cell r="D2343">
            <v>131888541.36363636</v>
          </cell>
        </row>
        <row r="2344">
          <cell r="A2344" t="str">
            <v>H006</v>
          </cell>
          <cell r="B2344" t="str">
            <v>HAIWA</v>
          </cell>
          <cell r="C2344">
            <v>1715606.5909090911</v>
          </cell>
          <cell r="D2344">
            <v>2455628.1818181812</v>
          </cell>
        </row>
        <row r="2345">
          <cell r="A2345" t="str">
            <v>H009</v>
          </cell>
          <cell r="B2345" t="str">
            <v>HASANAH</v>
          </cell>
          <cell r="C2345">
            <v>596372.72727272729</v>
          </cell>
        </row>
        <row r="2346">
          <cell r="A2346" t="str">
            <v>H012</v>
          </cell>
          <cell r="B2346" t="str">
            <v>HDRM</v>
          </cell>
          <cell r="C2346">
            <v>2218602.2727272725</v>
          </cell>
          <cell r="D2346">
            <v>4937764.0909090908</v>
          </cell>
        </row>
        <row r="2347">
          <cell r="A2347" t="str">
            <v>H016</v>
          </cell>
          <cell r="B2347" t="str">
            <v>HJ.EL</v>
          </cell>
          <cell r="C2347">
            <v>199800.00000000006</v>
          </cell>
        </row>
        <row r="2348">
          <cell r="A2348" t="str">
            <v>H017</v>
          </cell>
          <cell r="B2348" t="str">
            <v>HNH LUBEG</v>
          </cell>
          <cell r="C2348">
            <v>2753058.1818181816</v>
          </cell>
          <cell r="D2348">
            <v>5409190.0000000009</v>
          </cell>
        </row>
        <row r="2349">
          <cell r="A2349" t="str">
            <v>H018</v>
          </cell>
          <cell r="B2349" t="str">
            <v>HNH M.HATTA</v>
          </cell>
          <cell r="C2349">
            <v>476038.63636363629</v>
          </cell>
          <cell r="D2349">
            <v>781793.18181818177</v>
          </cell>
        </row>
        <row r="2350">
          <cell r="A2350" t="str">
            <v>H019</v>
          </cell>
          <cell r="B2350" t="str">
            <v>HNH M.YUNUS</v>
          </cell>
          <cell r="C2350">
            <v>49778088.545454495</v>
          </cell>
          <cell r="D2350">
            <v>30860710.909090921</v>
          </cell>
        </row>
        <row r="2351">
          <cell r="A2351" t="str">
            <v>H020</v>
          </cell>
          <cell r="B2351" t="str">
            <v>HNH PS.BARU</v>
          </cell>
          <cell r="C2351">
            <v>1219990.9090909092</v>
          </cell>
          <cell r="D2351">
            <v>7658368.409090912</v>
          </cell>
        </row>
        <row r="2352">
          <cell r="A2352" t="str">
            <v>H021</v>
          </cell>
          <cell r="B2352" t="str">
            <v>HOKI STORE</v>
          </cell>
          <cell r="C2352">
            <v>1393056.8181818184</v>
          </cell>
          <cell r="D2352">
            <v>1856086.3636363635</v>
          </cell>
        </row>
        <row r="2353">
          <cell r="A2353" t="str">
            <v>H027</v>
          </cell>
          <cell r="B2353" t="str">
            <v>HAZEED SHOP</v>
          </cell>
          <cell r="C2353">
            <v>317863.63636363635</v>
          </cell>
        </row>
        <row r="2354">
          <cell r="A2354" t="str">
            <v>H035</v>
          </cell>
          <cell r="B2354" t="str">
            <v>HANDAYANI / SURYANINGSIH</v>
          </cell>
          <cell r="C2354">
            <v>532800.00000000012</v>
          </cell>
          <cell r="D2354">
            <v>1844365.9090909094</v>
          </cell>
        </row>
        <row r="2355">
          <cell r="B2355" t="str">
            <v>HEY SEL</v>
          </cell>
          <cell r="D2355">
            <v>187989.09090909094</v>
          </cell>
        </row>
        <row r="2356">
          <cell r="A2356" t="str">
            <v>H037</v>
          </cell>
          <cell r="B2356" t="str">
            <v>HELMA COST</v>
          </cell>
          <cell r="C2356">
            <v>200869885.90909085</v>
          </cell>
          <cell r="D2356">
            <v>251345800.90909085</v>
          </cell>
        </row>
        <row r="2357">
          <cell r="A2357" t="str">
            <v>H040</v>
          </cell>
          <cell r="B2357" t="str">
            <v>HALAL MART</v>
          </cell>
          <cell r="C2357">
            <v>1228179.5454545454</v>
          </cell>
          <cell r="D2357">
            <v>868966.81818181812</v>
          </cell>
        </row>
        <row r="2358">
          <cell r="A2358" t="str">
            <v>H047</v>
          </cell>
          <cell r="B2358" t="str">
            <v>HFY CELL</v>
          </cell>
          <cell r="C2358">
            <v>1107771.6363636365</v>
          </cell>
        </row>
        <row r="2359">
          <cell r="A2359" t="str">
            <v>H084</v>
          </cell>
          <cell r="B2359" t="str">
            <v>HOEI KUANG</v>
          </cell>
          <cell r="C2359">
            <v>443117.04545454553</v>
          </cell>
          <cell r="D2359">
            <v>-15666.136363636353</v>
          </cell>
        </row>
        <row r="2360">
          <cell r="A2360" t="str">
            <v>HAR1.</v>
          </cell>
          <cell r="B2360" t="str">
            <v>HARMONIS SWALAYAN</v>
          </cell>
          <cell r="C2360">
            <v>39710808.545454532</v>
          </cell>
          <cell r="D2360">
            <v>56498495.454545476</v>
          </cell>
        </row>
        <row r="2361">
          <cell r="A2361" t="str">
            <v>HELL2</v>
          </cell>
          <cell r="B2361" t="str">
            <v>HELLO BEAUTY SHOP,SKW</v>
          </cell>
          <cell r="C2361">
            <v>22167021.681818187</v>
          </cell>
          <cell r="D2361">
            <v>19951914.000000004</v>
          </cell>
        </row>
        <row r="2362">
          <cell r="A2362" t="str">
            <v>HK-IN</v>
          </cell>
          <cell r="B2362" t="str">
            <v>CV.KITA BEAUTY MART</v>
          </cell>
          <cell r="C2362">
            <v>50834740.909090914</v>
          </cell>
          <cell r="D2362">
            <v>49845592.363636367</v>
          </cell>
        </row>
        <row r="2363">
          <cell r="A2363" t="str">
            <v>HM.</v>
          </cell>
          <cell r="B2363" t="str">
            <v>HM BEAUTY,BODOK</v>
          </cell>
          <cell r="C2363">
            <v>5341420.9090909092</v>
          </cell>
          <cell r="D2363">
            <v>1217239.0909090911</v>
          </cell>
        </row>
        <row r="2364">
          <cell r="A2364" t="str">
            <v>HM-MART</v>
          </cell>
          <cell r="B2364" t="str">
            <v>H.M MART</v>
          </cell>
          <cell r="C2364">
            <v>8040628.6363636386</v>
          </cell>
          <cell r="D2364">
            <v>9761737.0909090955</v>
          </cell>
        </row>
        <row r="2365">
          <cell r="A2365" t="str">
            <v>HRS</v>
          </cell>
          <cell r="B2365" t="str">
            <v>HRSHOP,KETAPANG</v>
          </cell>
          <cell r="C2365">
            <v>3158933.1818181821</v>
          </cell>
          <cell r="D2365">
            <v>5289549.0909090908</v>
          </cell>
        </row>
        <row r="2366">
          <cell r="A2366" t="str">
            <v>I001</v>
          </cell>
          <cell r="B2366" t="str">
            <v>IKHLAS KUMPULAN</v>
          </cell>
          <cell r="C2366">
            <v>617400</v>
          </cell>
        </row>
        <row r="2367">
          <cell r="A2367" t="str">
            <v>I003</v>
          </cell>
          <cell r="B2367" t="str">
            <v>ILIRAN SWALAYAN</v>
          </cell>
          <cell r="C2367">
            <v>1670802.9545454546</v>
          </cell>
          <cell r="D2367">
            <v>2231042.7272727285</v>
          </cell>
        </row>
        <row r="2368">
          <cell r="A2368" t="str">
            <v>I062</v>
          </cell>
          <cell r="B2368" t="str">
            <v>IBU ZAHRA QUA / HASTUTIK</v>
          </cell>
          <cell r="C2368">
            <v>42000</v>
          </cell>
        </row>
        <row r="2369">
          <cell r="A2369" t="str">
            <v>I102</v>
          </cell>
          <cell r="B2369" t="str">
            <v>IBU YAN / NURUL HUDA GUSTIA</v>
          </cell>
          <cell r="C2369">
            <v>595464.54545454541</v>
          </cell>
          <cell r="D2369">
            <v>2314127.7272727271</v>
          </cell>
        </row>
        <row r="2370">
          <cell r="A2370" t="str">
            <v>IDOL-MM</v>
          </cell>
          <cell r="B2370" t="str">
            <v>CV.THEO (IDOL,MM)</v>
          </cell>
          <cell r="C2370">
            <v>122226.13636363638</v>
          </cell>
          <cell r="D2370">
            <v>329400</v>
          </cell>
        </row>
        <row r="2371">
          <cell r="A2371" t="str">
            <v>IDR001</v>
          </cell>
          <cell r="B2371" t="str">
            <v>DECO 100 INDRAPURA</v>
          </cell>
          <cell r="C2371">
            <v>5360604.5454545449</v>
          </cell>
          <cell r="D2371">
            <v>4990336.3636363624</v>
          </cell>
        </row>
        <row r="2372">
          <cell r="A2372" t="str">
            <v>IHSAN</v>
          </cell>
          <cell r="B2372" t="str">
            <v>IHSAN MART</v>
          </cell>
          <cell r="C2372">
            <v>5794740.6818181826</v>
          </cell>
          <cell r="D2372">
            <v>5363700.2727272743</v>
          </cell>
        </row>
        <row r="2373">
          <cell r="A2373" t="str">
            <v>IKA.</v>
          </cell>
          <cell r="B2373" t="str">
            <v>IKA FASHION,SINGKAWANG</v>
          </cell>
          <cell r="C2373">
            <v>1768527.2727272727</v>
          </cell>
          <cell r="D2373">
            <v>11670171.818181816</v>
          </cell>
        </row>
        <row r="2374">
          <cell r="A2374" t="str">
            <v>IN1</v>
          </cell>
          <cell r="B2374" t="str">
            <v>IN MART</v>
          </cell>
          <cell r="C2374">
            <v>133200.00000000003</v>
          </cell>
        </row>
        <row r="2375">
          <cell r="A2375" t="str">
            <v>INDR</v>
          </cell>
          <cell r="B2375" t="str">
            <v>INDRA,TKO</v>
          </cell>
          <cell r="C2375">
            <v>16498076.454545457</v>
          </cell>
          <cell r="D2375">
            <v>12405079.63636364</v>
          </cell>
        </row>
        <row r="2376">
          <cell r="A2376" t="str">
            <v>IST2</v>
          </cell>
          <cell r="B2376" t="str">
            <v>ISTANA KITA 2</v>
          </cell>
          <cell r="C2376">
            <v>503178.13636363641</v>
          </cell>
          <cell r="D2376">
            <v>317863.63636363635</v>
          </cell>
        </row>
        <row r="2377">
          <cell r="A2377" t="str">
            <v>ISTANA</v>
          </cell>
          <cell r="B2377" t="str">
            <v>ISTANA KITA1</v>
          </cell>
          <cell r="C2377">
            <v>231954.54545454544</v>
          </cell>
          <cell r="D2377">
            <v>266400.00000000006</v>
          </cell>
        </row>
        <row r="2378">
          <cell r="A2378" t="str">
            <v>ISTANAKOS</v>
          </cell>
          <cell r="B2378" t="str">
            <v>MIKA KOSMETIK,SIANTAN</v>
          </cell>
          <cell r="C2378">
            <v>18335193.136363644</v>
          </cell>
          <cell r="D2378">
            <v>18642391.227272738</v>
          </cell>
        </row>
        <row r="2379">
          <cell r="A2379" t="str">
            <v>IVY2</v>
          </cell>
          <cell r="B2379" t="str">
            <v>IV SKINCARE,KETAPANG</v>
          </cell>
          <cell r="C2379">
            <v>1672191.8181818181</v>
          </cell>
          <cell r="D2379">
            <v>3211488</v>
          </cell>
        </row>
        <row r="2380">
          <cell r="A2380" t="str">
            <v>IWAN-TK</v>
          </cell>
          <cell r="B2380" t="str">
            <v>IWAN TKO</v>
          </cell>
          <cell r="C2380">
            <v>2225054.1818181816</v>
          </cell>
        </row>
        <row r="2381">
          <cell r="A2381" t="str">
            <v>J003</v>
          </cell>
          <cell r="B2381" t="str">
            <v>JKS MART</v>
          </cell>
          <cell r="C2381">
            <v>1057888.6363636365</v>
          </cell>
          <cell r="D2381">
            <v>1717097.7272727275</v>
          </cell>
        </row>
        <row r="2382">
          <cell r="A2382" t="str">
            <v>J005</v>
          </cell>
          <cell r="B2382" t="str">
            <v>JUN SOLOK</v>
          </cell>
          <cell r="C2382">
            <v>105255842.7272727</v>
          </cell>
          <cell r="D2382">
            <v>115798726.36363633</v>
          </cell>
        </row>
        <row r="2383">
          <cell r="A2383" t="str">
            <v>J006</v>
          </cell>
          <cell r="B2383" t="str">
            <v>JOJO</v>
          </cell>
          <cell r="C2383">
            <v>47488.636363636368</v>
          </cell>
          <cell r="D2383">
            <v>63000</v>
          </cell>
        </row>
        <row r="2384">
          <cell r="A2384" t="str">
            <v>J011</v>
          </cell>
          <cell r="B2384" t="str">
            <v>JIBY COSMETIC</v>
          </cell>
          <cell r="C2384">
            <v>3457407.272727272</v>
          </cell>
          <cell r="D2384">
            <v>1745676.8181818179</v>
          </cell>
        </row>
        <row r="2385">
          <cell r="A2385" t="str">
            <v>J022</v>
          </cell>
          <cell r="B2385" t="str">
            <v>JUBILLE  / ROHANI</v>
          </cell>
          <cell r="C2385">
            <v>55626.136363636375</v>
          </cell>
        </row>
        <row r="2386">
          <cell r="A2386" t="str">
            <v>JAGAT</v>
          </cell>
          <cell r="B2386" t="str">
            <v>JAGAT KOSMETIK ,MELIAU</v>
          </cell>
          <cell r="C2386">
            <v>2258808.2727272725</v>
          </cell>
          <cell r="D2386">
            <v>6667473.0000000019</v>
          </cell>
        </row>
        <row r="2387">
          <cell r="A2387" t="str">
            <v>JAYDE</v>
          </cell>
          <cell r="B2387" t="str">
            <v>JAYDEN TOKO,JERUJU</v>
          </cell>
          <cell r="C2387">
            <v>133200.00000000003</v>
          </cell>
          <cell r="D2387">
            <v>905305.90909090906</v>
          </cell>
        </row>
        <row r="2388">
          <cell r="A2388" t="str">
            <v>JEN1</v>
          </cell>
          <cell r="B2388" t="str">
            <v>JENNI</v>
          </cell>
          <cell r="C2388">
            <v>1164906.8181818181</v>
          </cell>
          <cell r="D2388">
            <v>645111.81818181823</v>
          </cell>
        </row>
        <row r="2389">
          <cell r="A2389" t="str">
            <v>JM.KTP</v>
          </cell>
          <cell r="B2389" t="str">
            <v>JM SWALAYAN,DELTAPAWAN</v>
          </cell>
          <cell r="C2389">
            <v>1862528.8636363633</v>
          </cell>
          <cell r="D2389">
            <v>508732.90909090906</v>
          </cell>
        </row>
        <row r="2390">
          <cell r="A2390" t="str">
            <v>JMB00012</v>
          </cell>
          <cell r="B2390" t="str">
            <v>APOTIK CAHAYA BAHAR-JAMBI</v>
          </cell>
          <cell r="C2390">
            <v>3873836.3918181821</v>
          </cell>
        </row>
        <row r="2391">
          <cell r="A2391" t="str">
            <v>JMB00013</v>
          </cell>
          <cell r="B2391" t="str">
            <v>APOTIK SULIN BAHAR-JAMBI</v>
          </cell>
          <cell r="C2391">
            <v>8148551.874545454</v>
          </cell>
        </row>
        <row r="2392">
          <cell r="A2392" t="str">
            <v>JMB00014</v>
          </cell>
          <cell r="B2392" t="str">
            <v>APT.WIDA FARMA BANGKO - JAMBI</v>
          </cell>
          <cell r="C2392">
            <v>361761.81818181812</v>
          </cell>
          <cell r="D2392">
            <v>604319.31818181835</v>
          </cell>
        </row>
        <row r="2393">
          <cell r="A2393" t="str">
            <v>JMB00015</v>
          </cell>
          <cell r="B2393" t="str">
            <v>APT.MARANATA JUNIOR 2 BANGKO - JAMBI</v>
          </cell>
          <cell r="C2393">
            <v>2291102.7954545454</v>
          </cell>
          <cell r="D2393">
            <v>2540035.9090909092</v>
          </cell>
        </row>
        <row r="2394">
          <cell r="A2394" t="str">
            <v>JMB00016</v>
          </cell>
          <cell r="B2394" t="str">
            <v>APT.EFRATNA BANGKO - JAMBI</v>
          </cell>
          <cell r="C2394">
            <v>2916795</v>
          </cell>
          <cell r="D2394">
            <v>1417063.6363636365</v>
          </cell>
        </row>
        <row r="2395">
          <cell r="A2395" t="str">
            <v>JMB00021</v>
          </cell>
          <cell r="B2395" t="str">
            <v>APOTIK CAHAYA TEMBESI - JAMBI</v>
          </cell>
          <cell r="C2395">
            <v>6878700.0000000019</v>
          </cell>
          <cell r="D2395">
            <v>3408635.4545454551</v>
          </cell>
        </row>
        <row r="2396">
          <cell r="A2396" t="str">
            <v>JMB00022</v>
          </cell>
          <cell r="B2396" t="str">
            <v>APOTIK ANUGRAH RENGAS-JAMBI</v>
          </cell>
          <cell r="C2396">
            <v>5656647.2727272715</v>
          </cell>
          <cell r="D2396">
            <v>5053254.5454545468</v>
          </cell>
        </row>
        <row r="2397">
          <cell r="A2397" t="str">
            <v>JMB00025</v>
          </cell>
          <cell r="B2397" t="str">
            <v>APT.KARUNIA BUNGO - JAMBI</v>
          </cell>
          <cell r="C2397">
            <v>10246664.601818183</v>
          </cell>
        </row>
        <row r="2398">
          <cell r="A2398" t="str">
            <v>JMB00026</v>
          </cell>
          <cell r="B2398" t="str">
            <v>APT.OKTI BUNGO - JAMBI</v>
          </cell>
          <cell r="C2398">
            <v>3461165.9090909092</v>
          </cell>
        </row>
        <row r="2399">
          <cell r="A2399" t="str">
            <v>JMB00040</v>
          </cell>
          <cell r="B2399" t="str">
            <v>APT.MERLUNG JAYA - JAMBI</v>
          </cell>
          <cell r="C2399">
            <v>731086.36363636353</v>
          </cell>
          <cell r="D2399">
            <v>731086.36363636353</v>
          </cell>
        </row>
        <row r="2400">
          <cell r="A2400" t="str">
            <v>JMB00046</v>
          </cell>
          <cell r="B2400" t="str">
            <v>APOTEK JAGA FARMA SENGETI - JAMBI</v>
          </cell>
          <cell r="C2400">
            <v>2097781.3636363642</v>
          </cell>
          <cell r="D2400">
            <v>5221422.2727272725</v>
          </cell>
        </row>
        <row r="2401">
          <cell r="A2401" t="str">
            <v>JMB00056</v>
          </cell>
          <cell r="B2401" t="str">
            <v>APT.FAKHRY MULIA R.BUJANG- JAMBI</v>
          </cell>
          <cell r="C2401">
            <v>2914868.1818181812</v>
          </cell>
        </row>
        <row r="2402">
          <cell r="A2402" t="str">
            <v>JMB00057</v>
          </cell>
          <cell r="B2402" t="str">
            <v>APT.BERSAMA R.BUJANG - JAMBI</v>
          </cell>
          <cell r="C2402">
            <v>1731845.4545454544</v>
          </cell>
        </row>
        <row r="2403">
          <cell r="A2403" t="str">
            <v>JMB00082</v>
          </cell>
          <cell r="B2403" t="str">
            <v>APT.DAME TUNGKAL - JAMBI</v>
          </cell>
          <cell r="C2403">
            <v>906725.45454545447</v>
          </cell>
          <cell r="D2403">
            <v>99900.000000000029</v>
          </cell>
        </row>
        <row r="2404">
          <cell r="A2404" t="str">
            <v>JMB00092</v>
          </cell>
          <cell r="B2404" t="str">
            <v>TOKO DEKA COSMETIC BANGKO - JAMBI</v>
          </cell>
          <cell r="C2404">
            <v>927102.27272727259</v>
          </cell>
          <cell r="D2404">
            <v>2444471.8181818188</v>
          </cell>
        </row>
        <row r="2405">
          <cell r="A2405" t="str">
            <v>JMB00093</v>
          </cell>
          <cell r="B2405" t="str">
            <v>TOKO NELFI BEAUTY STORE BANGKO - JAMBI</v>
          </cell>
          <cell r="C2405">
            <v>9665485.9090909101</v>
          </cell>
          <cell r="D2405">
            <v>7266447.2727272734</v>
          </cell>
        </row>
        <row r="2406">
          <cell r="A2406" t="str">
            <v>JMB00098</v>
          </cell>
          <cell r="B2406" t="str">
            <v>TOKO AZKA KOSMETIK - JAMBI</v>
          </cell>
          <cell r="C2406">
            <v>3552867.9545454546</v>
          </cell>
          <cell r="D2406">
            <v>2466060.0000000014</v>
          </cell>
        </row>
        <row r="2407">
          <cell r="A2407" t="str">
            <v>JMB00099</v>
          </cell>
          <cell r="B2407" t="str">
            <v>TOKO LIA GROSIR COSMETIC - JAMBI</v>
          </cell>
          <cell r="C2407">
            <v>2072270.4545454548</v>
          </cell>
          <cell r="D2407">
            <v>8988212.7272727322</v>
          </cell>
        </row>
        <row r="2408">
          <cell r="A2408" t="str">
            <v>JMB00108</v>
          </cell>
          <cell r="B2408" t="str">
            <v>TOKO AMADEUS - JAMBI</v>
          </cell>
          <cell r="C2408">
            <v>104109.09090909091</v>
          </cell>
        </row>
        <row r="2409">
          <cell r="A2409" t="str">
            <v>JMB00111</v>
          </cell>
          <cell r="B2409" t="str">
            <v>TOKO LADIES STUFF8 STORE - JAMBI</v>
          </cell>
          <cell r="C2409">
            <v>29790294.31818182</v>
          </cell>
          <cell r="D2409">
            <v>48909125.909090906</v>
          </cell>
        </row>
        <row r="2410">
          <cell r="A2410" t="str">
            <v>JMB00113</v>
          </cell>
          <cell r="B2410" t="str">
            <v>COSMETIC WULAN R.BUJANG - JAMBI</v>
          </cell>
          <cell r="C2410">
            <v>44023626</v>
          </cell>
          <cell r="D2410">
            <v>108984673.63636366</v>
          </cell>
        </row>
        <row r="2411">
          <cell r="A2411" t="str">
            <v>JMB00117</v>
          </cell>
          <cell r="B2411" t="str">
            <v>TOKO RUMAH CANTIK VIET SAROLANGUN - JAMBI</v>
          </cell>
          <cell r="C2411">
            <v>373223.40909090906</v>
          </cell>
          <cell r="D2411">
            <v>-188462.04545454547</v>
          </cell>
        </row>
        <row r="2412">
          <cell r="A2412" t="str">
            <v>JMB00120</v>
          </cell>
          <cell r="B2412" t="str">
            <v>SALON PANCA SURYA - JAMBI</v>
          </cell>
          <cell r="C2412">
            <v>318484.09090909094</v>
          </cell>
          <cell r="D2412">
            <v>720352.72727272718</v>
          </cell>
        </row>
        <row r="2413">
          <cell r="A2413" t="str">
            <v>JMB00121</v>
          </cell>
          <cell r="B2413" t="str">
            <v>TOKO AILY/ RINI - JAMBI</v>
          </cell>
          <cell r="C2413">
            <v>359530.90909090918</v>
          </cell>
          <cell r="D2413">
            <v>2116921.3636363638</v>
          </cell>
        </row>
        <row r="2414">
          <cell r="A2414" t="str">
            <v>JMB00122</v>
          </cell>
          <cell r="B2414" t="str">
            <v>TOKO CE NIA - JAMBI</v>
          </cell>
          <cell r="C2414">
            <v>1372952.7272727271</v>
          </cell>
          <cell r="D2414">
            <v>1907181.8181818179</v>
          </cell>
        </row>
        <row r="2415">
          <cell r="A2415" t="str">
            <v>JMB00128</v>
          </cell>
          <cell r="B2415" t="str">
            <v>TOKO MEME COSMETIC KASANG - JAMBI</v>
          </cell>
          <cell r="C2415">
            <v>8424981.8181818184</v>
          </cell>
          <cell r="D2415">
            <v>10651870.90909091</v>
          </cell>
        </row>
        <row r="2416">
          <cell r="A2416" t="str">
            <v>JMB00129</v>
          </cell>
          <cell r="B2416" t="str">
            <v>TOKO RINO COSMETIC TEBO-JAMBI</v>
          </cell>
          <cell r="C2416">
            <v>5344772.7272727294</v>
          </cell>
          <cell r="D2416">
            <v>3372068.5909090904</v>
          </cell>
        </row>
        <row r="2417">
          <cell r="A2417" t="str">
            <v>JMB00130</v>
          </cell>
          <cell r="B2417" t="str">
            <v>TOKO PUSPA COSMETIC TEBO - JAMBI</v>
          </cell>
          <cell r="C2417">
            <v>1056356.5909090908</v>
          </cell>
        </row>
        <row r="2418">
          <cell r="A2418" t="str">
            <v>JMB00136</v>
          </cell>
          <cell r="B2418" t="str">
            <v>TOKO ANTON (TKL)-JAMBI</v>
          </cell>
          <cell r="C2418">
            <v>1697391.8181818177</v>
          </cell>
        </row>
        <row r="2419">
          <cell r="A2419" t="str">
            <v>JMB00137</v>
          </cell>
          <cell r="B2419" t="str">
            <v>DIDI BONGSU</v>
          </cell>
          <cell r="C2419">
            <v>3633032.0454545454</v>
          </cell>
          <cell r="D2419">
            <v>3469156.3636363633</v>
          </cell>
        </row>
        <row r="2420">
          <cell r="A2420" t="str">
            <v>JMB00138</v>
          </cell>
          <cell r="B2420" t="str">
            <v>MANDALA MART-JMB</v>
          </cell>
          <cell r="C2420">
            <v>5050283.3181818184</v>
          </cell>
          <cell r="D2420">
            <v>7976319.5454545468</v>
          </cell>
        </row>
        <row r="2421">
          <cell r="A2421" t="str">
            <v>JMB00139</v>
          </cell>
          <cell r="B2421" t="str">
            <v>PT. BONGSU SEJAHTERA</v>
          </cell>
          <cell r="C2421">
            <v>936804.54545454541</v>
          </cell>
          <cell r="D2421">
            <v>1317900</v>
          </cell>
        </row>
        <row r="2422">
          <cell r="A2422" t="str">
            <v>JMB00141</v>
          </cell>
          <cell r="B2422" t="str">
            <v>TOKO RUDI BERSDAUDARA ELECTRONIK - JAMBI</v>
          </cell>
          <cell r="C2422">
            <v>1823761.3636363638</v>
          </cell>
          <cell r="D2422">
            <v>4620675</v>
          </cell>
        </row>
        <row r="2423">
          <cell r="A2423" t="str">
            <v>JMB00144</v>
          </cell>
          <cell r="B2423" t="str">
            <v>FRESH KU - JAMBI</v>
          </cell>
          <cell r="C2423">
            <v>17133456.68181818</v>
          </cell>
          <cell r="D2423">
            <v>3446852.7272727275</v>
          </cell>
        </row>
        <row r="2424">
          <cell r="A2424" t="str">
            <v>JMB00145</v>
          </cell>
          <cell r="B2424" t="str">
            <v>FRESH WELL - JAMBI</v>
          </cell>
          <cell r="C2424">
            <v>4663774.2272727266</v>
          </cell>
          <cell r="D2424">
            <v>11007257.727272725</v>
          </cell>
        </row>
        <row r="2425">
          <cell r="A2425" t="str">
            <v>JMB00146</v>
          </cell>
          <cell r="B2425" t="str">
            <v>FRESCO - JAMBI</v>
          </cell>
          <cell r="C2425">
            <v>4796225.1818181816</v>
          </cell>
          <cell r="D2425">
            <v>14336320.227272725</v>
          </cell>
        </row>
        <row r="2426">
          <cell r="A2426" t="str">
            <v>JMB00147</v>
          </cell>
          <cell r="B2426" t="str">
            <v>FRESH HILL - JAMBI</v>
          </cell>
          <cell r="C2426">
            <v>4288107.2727272725</v>
          </cell>
          <cell r="D2426">
            <v>11719317.272727273</v>
          </cell>
        </row>
        <row r="2427">
          <cell r="A2427" t="str">
            <v>JMB00148</v>
          </cell>
          <cell r="B2427" t="str">
            <v>FRESH MART - JAMBI</v>
          </cell>
          <cell r="C2427">
            <v>3957537.6818181816</v>
          </cell>
          <cell r="D2427">
            <v>8263254.5454545468</v>
          </cell>
        </row>
        <row r="2428">
          <cell r="A2428" t="str">
            <v>JMB00149</v>
          </cell>
          <cell r="B2428" t="str">
            <v>FRESH SUN - JAMBI</v>
          </cell>
          <cell r="C2428">
            <v>16832849.727272727</v>
          </cell>
          <cell r="D2428">
            <v>33304639.09090909</v>
          </cell>
        </row>
        <row r="2429">
          <cell r="A2429" t="str">
            <v>JMB00151</v>
          </cell>
          <cell r="B2429" t="str">
            <v>FRESH SENGETI - JAMBI</v>
          </cell>
          <cell r="C2429">
            <v>9655651.2272727303</v>
          </cell>
          <cell r="D2429">
            <v>23587415.454545457</v>
          </cell>
        </row>
        <row r="2430">
          <cell r="A2430" t="str">
            <v>JMB00152</v>
          </cell>
          <cell r="B2430" t="str">
            <v>FRESH - JAMBI</v>
          </cell>
          <cell r="C2430">
            <v>1299248.8636363635</v>
          </cell>
          <cell r="D2430">
            <v>10108971.136363637</v>
          </cell>
        </row>
        <row r="2431">
          <cell r="A2431" t="str">
            <v>JMB00153</v>
          </cell>
          <cell r="B2431" t="str">
            <v>FRESH FIT - JAMBI</v>
          </cell>
          <cell r="C2431">
            <v>2323914.5454545454</v>
          </cell>
          <cell r="D2431">
            <v>9124159.0909090918</v>
          </cell>
        </row>
        <row r="2432">
          <cell r="A2432" t="str">
            <v>JMB00154</v>
          </cell>
          <cell r="B2432" t="str">
            <v>FRESH  MART TUGU JUANG - JAMBI</v>
          </cell>
          <cell r="C2432">
            <v>2862092.0454545459</v>
          </cell>
          <cell r="D2432">
            <v>9956500.9090909101</v>
          </cell>
        </row>
        <row r="2433">
          <cell r="A2433" t="str">
            <v>JMB00155</v>
          </cell>
          <cell r="B2433" t="str">
            <v>FRESH ONE - JAMBI</v>
          </cell>
          <cell r="C2433">
            <v>9096383.8636363652</v>
          </cell>
          <cell r="D2433">
            <v>22667630.454545461</v>
          </cell>
        </row>
        <row r="2434">
          <cell r="A2434" t="str">
            <v>JMB00156</v>
          </cell>
          <cell r="B2434" t="str">
            <v>FRESH STAR - JAMBI</v>
          </cell>
          <cell r="C2434">
            <v>19594189.227272719</v>
          </cell>
          <cell r="D2434">
            <v>41020403.18181818</v>
          </cell>
        </row>
        <row r="2435">
          <cell r="A2435" t="str">
            <v>JMB00157</v>
          </cell>
          <cell r="B2435" t="str">
            <v>FRESH ZONE - JAMBI</v>
          </cell>
          <cell r="C2435">
            <v>3133845</v>
          </cell>
          <cell r="D2435">
            <v>11164697.727272727</v>
          </cell>
        </row>
        <row r="2436">
          <cell r="A2436" t="str">
            <v>JMB00158</v>
          </cell>
          <cell r="B2436" t="str">
            <v>FRESH MOON - JAMBI</v>
          </cell>
          <cell r="C2436">
            <v>5588943.1363636376</v>
          </cell>
          <cell r="D2436">
            <v>14252399.999999998</v>
          </cell>
        </row>
        <row r="2437">
          <cell r="A2437" t="str">
            <v>JMB00159</v>
          </cell>
          <cell r="B2437" t="str">
            <v>FRESH TUNGKAL - JAMBI</v>
          </cell>
          <cell r="C2437">
            <v>7285782.4090909101</v>
          </cell>
          <cell r="D2437">
            <v>17178278.636363637</v>
          </cell>
        </row>
        <row r="2438">
          <cell r="A2438" t="str">
            <v>JMB00176</v>
          </cell>
          <cell r="B2438" t="str">
            <v>TOKO EVA BANGKO - JAMBI</v>
          </cell>
          <cell r="C2438">
            <v>10191327.272727272</v>
          </cell>
        </row>
        <row r="2439">
          <cell r="A2439" t="str">
            <v>JMB00182</v>
          </cell>
          <cell r="B2439" t="str">
            <v>TOKO RATU BAYUNG-JAMBI</v>
          </cell>
          <cell r="C2439">
            <v>753218.18181818177</v>
          </cell>
          <cell r="D2439">
            <v>1112522.7272727271</v>
          </cell>
        </row>
        <row r="2440">
          <cell r="A2440" t="str">
            <v>JMB00193</v>
          </cell>
          <cell r="B2440" t="str">
            <v>MITRA TAMA BUNGO - JAMBI</v>
          </cell>
          <cell r="C2440">
            <v>-1946914.7727272729</v>
          </cell>
          <cell r="D2440">
            <v>-1907181.8181818179</v>
          </cell>
        </row>
        <row r="2441">
          <cell r="A2441" t="str">
            <v>JMB00196</v>
          </cell>
          <cell r="B2441" t="str">
            <v>TOKO KDJ BUNGO-JAMBI</v>
          </cell>
          <cell r="C2441">
            <v>7215504.5454545477</v>
          </cell>
        </row>
        <row r="2442">
          <cell r="A2442" t="str">
            <v>JMB00207</v>
          </cell>
          <cell r="B2442" t="str">
            <v>TOKO TASYA BUNGO - JAMBI</v>
          </cell>
          <cell r="C2442">
            <v>9913813.2381818239</v>
          </cell>
        </row>
        <row r="2443">
          <cell r="A2443" t="str">
            <v>JMB00221</v>
          </cell>
          <cell r="B2443" t="str">
            <v>TOKO SHABIL KERINCI-JAMBI</v>
          </cell>
          <cell r="C2443">
            <v>133200.00000000003</v>
          </cell>
          <cell r="D2443">
            <v>133200.00000000003</v>
          </cell>
        </row>
        <row r="2444">
          <cell r="A2444" t="str">
            <v>JMB00222</v>
          </cell>
          <cell r="B2444" t="str">
            <v>TOKO ARNIE KERINCI-JAMBI</v>
          </cell>
          <cell r="C2444">
            <v>532800.00000000012</v>
          </cell>
          <cell r="D2444">
            <v>421800.00000000012</v>
          </cell>
        </row>
        <row r="2445">
          <cell r="A2445" t="str">
            <v>JMB00227</v>
          </cell>
          <cell r="B2445" t="str">
            <v>NAI MART KERINCI-JAMBI</v>
          </cell>
          <cell r="C2445">
            <v>133200.00000000003</v>
          </cell>
        </row>
        <row r="2446">
          <cell r="A2446" t="str">
            <v>JMB00246</v>
          </cell>
          <cell r="B2446" t="str">
            <v>TOKO CASCA PEMENANG - JAMBI</v>
          </cell>
          <cell r="C2446">
            <v>4152180.0000000009</v>
          </cell>
          <cell r="D2446">
            <v>4323935.454545456</v>
          </cell>
        </row>
        <row r="2447">
          <cell r="A2447" t="str">
            <v>JMB00256</v>
          </cell>
          <cell r="B2447" t="str">
            <v>TOKO ABIMBI I-JMB</v>
          </cell>
          <cell r="C2447">
            <v>66951818.18181818</v>
          </cell>
          <cell r="D2447">
            <v>20783950.90909091</v>
          </cell>
        </row>
        <row r="2448">
          <cell r="A2448" t="str">
            <v>JMB00269</v>
          </cell>
          <cell r="B2448" t="str">
            <v>TOKO LONDON - JAMBI</v>
          </cell>
          <cell r="C2448">
            <v>130780446.81818184</v>
          </cell>
          <cell r="D2448">
            <v>114783357.27272724</v>
          </cell>
        </row>
        <row r="2449">
          <cell r="A2449" t="str">
            <v>JMB00277</v>
          </cell>
          <cell r="B2449" t="str">
            <v>JONDRA - JAMBI</v>
          </cell>
          <cell r="C2449">
            <v>602138.86363636365</v>
          </cell>
          <cell r="D2449">
            <v>2222147.0454545459</v>
          </cell>
        </row>
        <row r="2450">
          <cell r="A2450" t="str">
            <v>JMB00280</v>
          </cell>
          <cell r="B2450" t="str">
            <v>TOKO KDJ 2 R.BUJANG-JAMBI</v>
          </cell>
          <cell r="C2450">
            <v>12440296.81818182</v>
          </cell>
          <cell r="D2450">
            <v>5043327.2727272725</v>
          </cell>
        </row>
        <row r="2451">
          <cell r="A2451" t="str">
            <v>JMB00288</v>
          </cell>
          <cell r="B2451" t="str">
            <v>TOKO RARAS SABAK-JAMBI</v>
          </cell>
          <cell r="C2451">
            <v>1519156.1363636365</v>
          </cell>
        </row>
        <row r="2452">
          <cell r="A2452" t="str">
            <v>JMB00289</v>
          </cell>
          <cell r="B2452" t="str">
            <v>TOKO FITRIA SABAK-JAMBI</v>
          </cell>
          <cell r="C2452">
            <v>384463.63636363635</v>
          </cell>
          <cell r="D2452">
            <v>66600.000000000015</v>
          </cell>
        </row>
        <row r="2453">
          <cell r="A2453" t="str">
            <v>JMB00295</v>
          </cell>
          <cell r="B2453" t="str">
            <v>TOKO IHSAN SOSIS SABAK - JAMBI</v>
          </cell>
          <cell r="C2453">
            <v>133200.00000000003</v>
          </cell>
          <cell r="D2453">
            <v>687695.45454545447</v>
          </cell>
        </row>
        <row r="2454">
          <cell r="A2454" t="str">
            <v>JMB00297</v>
          </cell>
          <cell r="B2454" t="str">
            <v>TOKO AMEL CELL SABAK - JAMBI</v>
          </cell>
          <cell r="C2454">
            <v>139330.22727272729</v>
          </cell>
        </row>
        <row r="2455">
          <cell r="A2455" t="str">
            <v>JMB00301</v>
          </cell>
          <cell r="B2455" t="str">
            <v>TOKO GADING MAS SAROLANGUN-JAMBI</v>
          </cell>
          <cell r="C2455">
            <v>978811.36363636353</v>
          </cell>
        </row>
        <row r="2456">
          <cell r="A2456" t="str">
            <v>JMB00309</v>
          </cell>
          <cell r="B2456" t="str">
            <v>MEISSI SAROLANGUN-JAMBI</v>
          </cell>
          <cell r="C2456">
            <v>1439518.6363636365</v>
          </cell>
          <cell r="D2456">
            <v>1139011.3636363635</v>
          </cell>
        </row>
        <row r="2457">
          <cell r="A2457" t="str">
            <v>JMB00313</v>
          </cell>
          <cell r="B2457" t="str">
            <v>TOKO BU IWAN SAROLANGUN - JAMBI</v>
          </cell>
          <cell r="C2457">
            <v>503995.45454545453</v>
          </cell>
          <cell r="D2457">
            <v>425937.27272727271</v>
          </cell>
        </row>
        <row r="2458">
          <cell r="A2458" t="str">
            <v>JMB00320</v>
          </cell>
          <cell r="B2458" t="str">
            <v>TOKO MUTIARA JAYA SINGKUT-JAMBI</v>
          </cell>
          <cell r="C2458">
            <v>3025910.4545454551</v>
          </cell>
        </row>
        <row r="2459">
          <cell r="A2459" t="str">
            <v>JMB00321</v>
          </cell>
          <cell r="B2459" t="str">
            <v>TOKO TONI SINGKUT-JAMBI</v>
          </cell>
          <cell r="C2459">
            <v>6526215.6818181826</v>
          </cell>
          <cell r="D2459">
            <v>226800</v>
          </cell>
        </row>
        <row r="2460">
          <cell r="A2460" t="str">
            <v>JMB00324</v>
          </cell>
          <cell r="B2460" t="str">
            <v>TOKO DANAU INDAH 2 SINGKUT-JAMBI</v>
          </cell>
          <cell r="C2460">
            <v>9336281.5909090899</v>
          </cell>
          <cell r="D2460">
            <v>10935872.727272727</v>
          </cell>
        </row>
        <row r="2461">
          <cell r="A2461" t="str">
            <v>JMB00331</v>
          </cell>
          <cell r="B2461" t="str">
            <v>TOKO TREE FASHION SINGKUT - JAMBI</v>
          </cell>
          <cell r="C2461">
            <v>11677389.545454545</v>
          </cell>
          <cell r="D2461">
            <v>34038049.818181835</v>
          </cell>
        </row>
        <row r="2462">
          <cell r="A2462" t="str">
            <v>JMB00339</v>
          </cell>
          <cell r="B2462" t="str">
            <v>TOKO DASMIR TEBO-JAMBI</v>
          </cell>
          <cell r="C2462">
            <v>1051724.9999999998</v>
          </cell>
        </row>
        <row r="2463">
          <cell r="A2463" t="str">
            <v>JMB00340</v>
          </cell>
          <cell r="B2463" t="str">
            <v>MUSTAFA KAMAL TEBO-JAMBI</v>
          </cell>
          <cell r="C2463">
            <v>745181.59090909082</v>
          </cell>
        </row>
        <row r="2464">
          <cell r="A2464" t="str">
            <v>JMB00351</v>
          </cell>
          <cell r="B2464" t="str">
            <v>CHERRY TUNGKAL-JAMBI</v>
          </cell>
          <cell r="C2464">
            <v>1642295.4545454546</v>
          </cell>
        </row>
        <row r="2465">
          <cell r="A2465" t="str">
            <v>JMB00356</v>
          </cell>
          <cell r="B2465" t="str">
            <v>TOKO JADI BARU TUNGKAL - JAMBI</v>
          </cell>
          <cell r="C2465">
            <v>98007.954545454559</v>
          </cell>
          <cell r="D2465">
            <v>119577.27272727274</v>
          </cell>
        </row>
        <row r="2466">
          <cell r="A2466" t="str">
            <v>JMB00357</v>
          </cell>
          <cell r="B2466" t="str">
            <v>TOKO ERNA TUNGKAL - JAMBI</v>
          </cell>
          <cell r="C2466">
            <v>737509.09090909094</v>
          </cell>
          <cell r="D2466">
            <v>457723.63636363641</v>
          </cell>
        </row>
        <row r="2467">
          <cell r="A2467" t="str">
            <v>JMB00358</v>
          </cell>
          <cell r="B2467" t="str">
            <v>TOKO ACC TOSERBA TUNGKAL - JAMBI</v>
          </cell>
          <cell r="C2467">
            <v>1160202.2727272727</v>
          </cell>
        </row>
        <row r="2468">
          <cell r="A2468" t="str">
            <v>JMB00397</v>
          </cell>
          <cell r="B2468" t="str">
            <v>JOJO MART-JAMBI</v>
          </cell>
          <cell r="C2468">
            <v>158931.81818181818</v>
          </cell>
        </row>
        <row r="2469">
          <cell r="A2469" t="str">
            <v>JMB00398</v>
          </cell>
          <cell r="B2469" t="str">
            <v>MM.FAVORITE99 - JAMBI</v>
          </cell>
          <cell r="C2469">
            <v>2206854.5454545454</v>
          </cell>
        </row>
        <row r="2470">
          <cell r="A2470" t="str">
            <v>JMB00400</v>
          </cell>
          <cell r="B2470" t="str">
            <v>SW.RINA BANGKO-JAMBI</v>
          </cell>
          <cell r="C2470">
            <v>2098802.0454545463</v>
          </cell>
          <cell r="D2470">
            <v>2025371.5909090911</v>
          </cell>
        </row>
        <row r="2471">
          <cell r="A2471" t="str">
            <v>JMB00401</v>
          </cell>
          <cell r="B2471" t="str">
            <v>MM.KEMBANG TURI BANGKO - JAMBI</v>
          </cell>
          <cell r="C2471">
            <v>129600.00000000001</v>
          </cell>
          <cell r="D2471">
            <v>1112371.3636363635</v>
          </cell>
        </row>
        <row r="2472">
          <cell r="A2472" t="str">
            <v>JMB00404</v>
          </cell>
          <cell r="B2472" t="str">
            <v>MM. FAMILY-JMB</v>
          </cell>
          <cell r="C2472">
            <v>578360.45454545447</v>
          </cell>
          <cell r="D2472">
            <v>1170220.9090909092</v>
          </cell>
        </row>
        <row r="2473">
          <cell r="A2473" t="str">
            <v>JMB00407</v>
          </cell>
          <cell r="B2473" t="str">
            <v>MM.TIFANI (BULIAN)-JAMBI</v>
          </cell>
          <cell r="C2473">
            <v>3781971.8181818188</v>
          </cell>
          <cell r="D2473">
            <v>3240998.181818184</v>
          </cell>
        </row>
        <row r="2474">
          <cell r="A2474" t="str">
            <v>JMB00408</v>
          </cell>
          <cell r="B2474" t="str">
            <v>MM.EMLY (BULIAN)-JAMBI</v>
          </cell>
          <cell r="C2474">
            <v>12996175.909090908</v>
          </cell>
          <cell r="D2474">
            <v>-92099.318181818177</v>
          </cell>
        </row>
        <row r="2475">
          <cell r="A2475" t="str">
            <v>JMB00409</v>
          </cell>
          <cell r="B2475" t="str">
            <v>MM.WINNARS-JAMBI</v>
          </cell>
          <cell r="C2475">
            <v>238015.90909090912</v>
          </cell>
        </row>
        <row r="2476">
          <cell r="A2476" t="str">
            <v>JMB00417</v>
          </cell>
          <cell r="B2476" t="str">
            <v>PT.MENTARI SUKSES PERKASA</v>
          </cell>
          <cell r="C2476">
            <v>2043591.8181818184</v>
          </cell>
          <cell r="D2476">
            <v>3734277.2727272725</v>
          </cell>
        </row>
        <row r="2477">
          <cell r="A2477" t="str">
            <v>JMB00421</v>
          </cell>
          <cell r="B2477" t="str">
            <v>MM.YONO BUNGO - JAMBI</v>
          </cell>
          <cell r="C2477">
            <v>635727.27272727271</v>
          </cell>
        </row>
        <row r="2478">
          <cell r="A2478" t="str">
            <v>JMB00426</v>
          </cell>
          <cell r="B2478" t="str">
            <v>AB MART KUAMANG 1  - JAMBI</v>
          </cell>
          <cell r="C2478">
            <v>1935204.5454545454</v>
          </cell>
        </row>
        <row r="2479">
          <cell r="A2479" t="str">
            <v>JMB00429</v>
          </cell>
          <cell r="B2479" t="str">
            <v>CV. BERKAT ANUGRAH INDAH BERSAMA</v>
          </cell>
          <cell r="C2479">
            <v>325381.36363636365</v>
          </cell>
          <cell r="D2479">
            <v>288347.72727272729</v>
          </cell>
        </row>
        <row r="2480">
          <cell r="A2480" t="str">
            <v>JMB00430</v>
          </cell>
          <cell r="B2480" t="str">
            <v>PT.PERMATA REZEKI SENTOSA-MM. PERMATA-JMB</v>
          </cell>
          <cell r="C2480">
            <v>1141887.2727272727</v>
          </cell>
          <cell r="D2480">
            <v>765886.36363636376</v>
          </cell>
        </row>
        <row r="2481">
          <cell r="A2481" t="str">
            <v>JMB00433</v>
          </cell>
          <cell r="B2481" t="str">
            <v>RICHARD MANDALA-JAMBI</v>
          </cell>
          <cell r="C2481">
            <v>111252.27272727275</v>
          </cell>
        </row>
        <row r="2482">
          <cell r="A2482" t="str">
            <v>JMB00434</v>
          </cell>
          <cell r="B2482" t="str">
            <v>MM. J_88 - JAMBI</v>
          </cell>
          <cell r="C2482">
            <v>80601.136363636382</v>
          </cell>
          <cell r="D2482">
            <v>-5297.7272727272721</v>
          </cell>
        </row>
        <row r="2483">
          <cell r="A2483" t="str">
            <v>JMB00439</v>
          </cell>
          <cell r="B2483" t="str">
            <v>MM. THJ-JAMBI</v>
          </cell>
          <cell r="C2483">
            <v>66600.000000000015</v>
          </cell>
          <cell r="D2483">
            <v>133200.00000000003</v>
          </cell>
        </row>
        <row r="2484">
          <cell r="A2484" t="str">
            <v>JMB00440</v>
          </cell>
          <cell r="B2484" t="str">
            <v>PT.PERMATA REZEKI SENTOSA-MM. REZEKI-JAMBI</v>
          </cell>
          <cell r="C2484">
            <v>282747.27272727276</v>
          </cell>
          <cell r="D2484">
            <v>725854.09090909082</v>
          </cell>
        </row>
        <row r="2485">
          <cell r="A2485" t="str">
            <v>JMB00441</v>
          </cell>
          <cell r="B2485" t="str">
            <v>MM.MENTARI JAYA- JMB</v>
          </cell>
          <cell r="C2485">
            <v>522582.95454545447</v>
          </cell>
        </row>
        <row r="2486">
          <cell r="A2486" t="str">
            <v>JMB00446</v>
          </cell>
          <cell r="B2486" t="str">
            <v>MM.ALAM BARAJO - JAMBI</v>
          </cell>
          <cell r="C2486">
            <v>848393.18181818165</v>
          </cell>
        </row>
        <row r="2487">
          <cell r="A2487" t="str">
            <v>JMB00449</v>
          </cell>
          <cell r="B2487" t="str">
            <v>HERI MART 2 KERINCI-JAMBI</v>
          </cell>
          <cell r="C2487">
            <v>336000</v>
          </cell>
          <cell r="D2487">
            <v>252000</v>
          </cell>
        </row>
        <row r="2488">
          <cell r="A2488" t="str">
            <v>JMB00453</v>
          </cell>
          <cell r="B2488" t="str">
            <v>TOKO IKO KERINCI-JAMBI</v>
          </cell>
          <cell r="C2488">
            <v>509331.81818181823</v>
          </cell>
        </row>
        <row r="2489">
          <cell r="A2489" t="str">
            <v>JMB00455</v>
          </cell>
          <cell r="B2489" t="str">
            <v>KINGS MART 1 (DI ATAS) KERINCI-JAMBI</v>
          </cell>
          <cell r="C2489">
            <v>302154.54545454547</v>
          </cell>
        </row>
        <row r="2490">
          <cell r="A2490" t="str">
            <v>JMB00456</v>
          </cell>
          <cell r="B2490" t="str">
            <v>MM.ASIA KERINCI - JAMBI</v>
          </cell>
          <cell r="C2490">
            <v>1036800.0000000001</v>
          </cell>
        </row>
        <row r="2491">
          <cell r="A2491" t="str">
            <v>JMB00457</v>
          </cell>
          <cell r="B2491" t="str">
            <v>YENY MART KERINCI - JAMBI</v>
          </cell>
          <cell r="C2491">
            <v>31281.818181818198</v>
          </cell>
          <cell r="D2491">
            <v>66600.000000000015</v>
          </cell>
        </row>
        <row r="2492">
          <cell r="A2492" t="str">
            <v>JMB00460</v>
          </cell>
          <cell r="B2492" t="str">
            <v>MM.GLORIA KERINCI - JAMBI</v>
          </cell>
          <cell r="C2492">
            <v>6407838.8181818193</v>
          </cell>
          <cell r="D2492">
            <v>5725401.5454545459</v>
          </cell>
        </row>
        <row r="2493">
          <cell r="A2493" t="str">
            <v>JMB00463</v>
          </cell>
          <cell r="B2493" t="str">
            <v>MM.GARUDA-JAMBI</v>
          </cell>
          <cell r="C2493">
            <v>488904.54545454541</v>
          </cell>
        </row>
        <row r="2494">
          <cell r="A2494" t="str">
            <v>JMB00464</v>
          </cell>
          <cell r="B2494" t="str">
            <v>MM.KELUARGA - JAMBI</v>
          </cell>
          <cell r="C2494">
            <v>257015.45454545459</v>
          </cell>
        </row>
        <row r="2495">
          <cell r="A2495" t="str">
            <v>JMB00465</v>
          </cell>
          <cell r="B2495" t="str">
            <v>CV.THEO ANUGERAH SEJAHTERA</v>
          </cell>
          <cell r="C2495">
            <v>655395.45454545447</v>
          </cell>
          <cell r="D2495">
            <v>654662.04545454541</v>
          </cell>
        </row>
        <row r="2496">
          <cell r="A2496" t="str">
            <v>JMB00466</v>
          </cell>
          <cell r="B2496" t="str">
            <v>MM. FAMILY 88-JMB</v>
          </cell>
          <cell r="C2496">
            <v>438576.13636363635</v>
          </cell>
          <cell r="D2496">
            <v>1163491.3636363638</v>
          </cell>
        </row>
        <row r="2497">
          <cell r="A2497" t="str">
            <v>JMB00476</v>
          </cell>
          <cell r="B2497" t="str">
            <v>MM SJ MART - JAMBI</v>
          </cell>
          <cell r="C2497">
            <v>543395.45454545447</v>
          </cell>
          <cell r="D2497">
            <v>524867.72727272729</v>
          </cell>
        </row>
        <row r="2498">
          <cell r="A2498" t="str">
            <v>JMB00479</v>
          </cell>
          <cell r="B2498" t="str">
            <v>MM.GLORY - JAMBI</v>
          </cell>
          <cell r="C2498">
            <v>391530.68181818182</v>
          </cell>
          <cell r="D2498">
            <v>113400</v>
          </cell>
        </row>
        <row r="2499">
          <cell r="A2499" t="str">
            <v>JMB00480</v>
          </cell>
          <cell r="B2499" t="str">
            <v>PT.PERMATA REZEKI SENTOSA-MM.SUKSES-JMB</v>
          </cell>
          <cell r="C2499">
            <v>378886.36363636365</v>
          </cell>
          <cell r="D2499">
            <v>-621080.45454545447</v>
          </cell>
        </row>
        <row r="2500">
          <cell r="A2500" t="str">
            <v>JMB00482</v>
          </cell>
          <cell r="B2500" t="str">
            <v>PT.PERMATA REZEKI SENTOSA-MM.PASIR PUTIH - JAMBI</v>
          </cell>
          <cell r="C2500">
            <v>-105954.54545454544</v>
          </cell>
          <cell r="D2500">
            <v>305754.54545454553</v>
          </cell>
        </row>
        <row r="2501">
          <cell r="A2501" t="str">
            <v>JMB00484</v>
          </cell>
          <cell r="B2501" t="str">
            <v>PT.PERMATA REZEKI SENTOSA-MM.PERMATA MARENE-JAMBI</v>
          </cell>
          <cell r="C2501">
            <v>203281.36363636368</v>
          </cell>
          <cell r="D2501">
            <v>-920987.72727272718</v>
          </cell>
        </row>
        <row r="2502">
          <cell r="A2502" t="str">
            <v>JMB00487</v>
          </cell>
          <cell r="B2502" t="str">
            <v>PT. PERMATA REZEKI SENTOSA-MM.PERMATA SRIWIJAYA</v>
          </cell>
          <cell r="C2502">
            <v>302154.54545454547</v>
          </cell>
          <cell r="D2502">
            <v>889310.45454545459</v>
          </cell>
        </row>
        <row r="2503">
          <cell r="A2503" t="str">
            <v>JMB00488</v>
          </cell>
          <cell r="B2503" t="str">
            <v>MM.WIN-WIN-JMB</v>
          </cell>
          <cell r="C2503">
            <v>902172.68181818177</v>
          </cell>
          <cell r="D2503">
            <v>146065.90909090912</v>
          </cell>
        </row>
        <row r="2504">
          <cell r="A2504" t="str">
            <v>JMB00489</v>
          </cell>
          <cell r="B2504" t="str">
            <v>Q MART R.BUJANG-JAMBI</v>
          </cell>
          <cell r="C2504">
            <v>814060.22727272718</v>
          </cell>
        </row>
        <row r="2505">
          <cell r="A2505" t="str">
            <v>JMB00490</v>
          </cell>
          <cell r="B2505" t="str">
            <v>MM.RAHMA R.BUJANG-JAMBI</v>
          </cell>
          <cell r="C2505">
            <v>4145800.9090909101</v>
          </cell>
          <cell r="D2505">
            <v>1552622.7272727271</v>
          </cell>
        </row>
        <row r="2506">
          <cell r="A2506" t="str">
            <v>JMB00493</v>
          </cell>
          <cell r="B2506" t="str">
            <v>FINA MART R.BUJANG - JAMBI</v>
          </cell>
          <cell r="C2506">
            <v>3834110.6959090922</v>
          </cell>
        </row>
        <row r="2507">
          <cell r="A2507" t="str">
            <v>JMB00495</v>
          </cell>
          <cell r="B2507" t="str">
            <v>MM.SURYA FAJAR R.BUJANG - JAMBI</v>
          </cell>
          <cell r="C2507">
            <v>-14833.636363636366</v>
          </cell>
        </row>
        <row r="2508">
          <cell r="A2508" t="str">
            <v>JMB00508</v>
          </cell>
          <cell r="B2508" t="str">
            <v>PT.PERMATA REZEKI SENTOSA-MM.SENTOSA-JMB</v>
          </cell>
          <cell r="C2508">
            <v>311554.54545454541</v>
          </cell>
          <cell r="D2508">
            <v>889261.36363636376</v>
          </cell>
        </row>
        <row r="2509">
          <cell r="A2509" t="str">
            <v>JMB00510</v>
          </cell>
          <cell r="B2509" t="str">
            <v>DEWI-JMB</v>
          </cell>
          <cell r="C2509">
            <v>1704084.5454545452</v>
          </cell>
          <cell r="D2509">
            <v>2184134.3181818179</v>
          </cell>
        </row>
        <row r="2510">
          <cell r="A2510" t="str">
            <v>JMB00512</v>
          </cell>
          <cell r="B2510" t="str">
            <v>MM.ABC SINGKUT-JAMBI</v>
          </cell>
          <cell r="C2510">
            <v>1855558.6363636362</v>
          </cell>
          <cell r="D2510">
            <v>1591138.6363636362</v>
          </cell>
        </row>
        <row r="2511">
          <cell r="A2511" t="str">
            <v>JMB00513</v>
          </cell>
          <cell r="B2511" t="str">
            <v>MM. BUKIT JAYA SAROLANGUN - JAMBI</v>
          </cell>
          <cell r="C2511">
            <v>1218371.3181818181</v>
          </cell>
        </row>
        <row r="2512">
          <cell r="A2512" t="str">
            <v>JMB00515</v>
          </cell>
          <cell r="B2512" t="str">
            <v>MM.GEMILANG-JMB</v>
          </cell>
          <cell r="C2512">
            <v>2850555.6818181812</v>
          </cell>
          <cell r="D2512">
            <v>1537854.5454545454</v>
          </cell>
        </row>
        <row r="2513">
          <cell r="A2513" t="str">
            <v>JMB00516</v>
          </cell>
          <cell r="B2513" t="str">
            <v>MM.PUTRA-JMB</v>
          </cell>
          <cell r="C2513">
            <v>103684.09090909093</v>
          </cell>
          <cell r="D2513">
            <v>450306.81818181812</v>
          </cell>
        </row>
        <row r="2514">
          <cell r="A2514" t="str">
            <v>JMB00519</v>
          </cell>
          <cell r="B2514" t="str">
            <v>MM. DUA PUTRI - JAMBI</v>
          </cell>
          <cell r="C2514">
            <v>99900.000000000029</v>
          </cell>
          <cell r="D2514">
            <v>476795.45454545447</v>
          </cell>
        </row>
        <row r="2515">
          <cell r="A2515" t="str">
            <v>JMB00521</v>
          </cell>
          <cell r="B2515" t="str">
            <v>PT.PERMATA REZEKI SENTOSA - MM.PERMATA MART-JAMBI</v>
          </cell>
          <cell r="C2515">
            <v>677483.86363636353</v>
          </cell>
          <cell r="D2515">
            <v>-1077020.4545454548</v>
          </cell>
        </row>
        <row r="2516">
          <cell r="A2516" t="str">
            <v>JMB00523</v>
          </cell>
          <cell r="B2516" t="str">
            <v>NIKIMI MART TEBO-JAMBI</v>
          </cell>
          <cell r="C2516">
            <v>1943909.3181818181</v>
          </cell>
          <cell r="D2516">
            <v>238397.72727272726</v>
          </cell>
        </row>
        <row r="2517">
          <cell r="A2517" t="str">
            <v>JMB00524</v>
          </cell>
          <cell r="B2517" t="str">
            <v>MM.DEDE TEBO-JAMBI</v>
          </cell>
          <cell r="C2517">
            <v>47023.636363636382</v>
          </cell>
        </row>
        <row r="2518">
          <cell r="A2518" t="str">
            <v>JMB00527</v>
          </cell>
          <cell r="B2518" t="str">
            <v>MM.FAVORITE 28 TEMPINO - JAMBI</v>
          </cell>
          <cell r="C2518">
            <v>241515.00000000003</v>
          </cell>
        </row>
        <row r="2519">
          <cell r="A2519" t="str">
            <v>JMB00528</v>
          </cell>
          <cell r="B2519" t="str">
            <v>MM.FAVORITE KEBON KOPI-JAMBI</v>
          </cell>
          <cell r="C2519">
            <v>170284.09090909094</v>
          </cell>
        </row>
        <row r="2520">
          <cell r="A2520" t="str">
            <v>JMB00614</v>
          </cell>
          <cell r="B2520" t="str">
            <v>UM AUTO PARTS KERINCI - JAMBI</v>
          </cell>
          <cell r="C2520">
            <v>1385414.0909090911</v>
          </cell>
        </row>
        <row r="2521">
          <cell r="A2521" t="str">
            <v>JMB00726</v>
          </cell>
          <cell r="B2521" t="str">
            <v>PT.PERMATA REZEKI SENTOSA-MM.PERMATA MAYANG-JAMBI</v>
          </cell>
          <cell r="C2521">
            <v>293645.45454545453</v>
          </cell>
          <cell r="D2521">
            <v>146065.90909090912</v>
          </cell>
        </row>
        <row r="2522">
          <cell r="A2522" t="str">
            <v>JMB00727</v>
          </cell>
          <cell r="B2522" t="str">
            <v>HIDAYAH MART - JAMBI</v>
          </cell>
          <cell r="C2522">
            <v>158931.81818181818</v>
          </cell>
        </row>
        <row r="2523">
          <cell r="A2523" t="str">
            <v>JMB00729</v>
          </cell>
          <cell r="B2523" t="str">
            <v>VEE COSMETIC - JAMBI</v>
          </cell>
          <cell r="C2523">
            <v>3378479.0909090908</v>
          </cell>
        </row>
        <row r="2524">
          <cell r="A2524" t="str">
            <v>JMB00734</v>
          </cell>
          <cell r="B2524" t="str">
            <v>TOKO MURAQABAH - JAMBI</v>
          </cell>
          <cell r="C2524">
            <v>715193.18181818165</v>
          </cell>
        </row>
        <row r="2525">
          <cell r="A2525" t="str">
            <v>JMB00741</v>
          </cell>
          <cell r="B2525" t="str">
            <v>TO.CAHAYA BAHAR - JAMBI</v>
          </cell>
          <cell r="C2525">
            <v>10777851.818181818</v>
          </cell>
        </row>
        <row r="2526">
          <cell r="A2526" t="str">
            <v>JMB00747</v>
          </cell>
          <cell r="B2526" t="str">
            <v>TOKO AKUI BAJUBANG-JAMBI</v>
          </cell>
          <cell r="C2526">
            <v>79465.909090909088</v>
          </cell>
        </row>
        <row r="2527">
          <cell r="A2527" t="str">
            <v>JMB00750</v>
          </cell>
          <cell r="B2527" t="str">
            <v>TOKO ARLY BAJUBANG - JAMBI</v>
          </cell>
          <cell r="C2527">
            <v>92710.227272727279</v>
          </cell>
        </row>
        <row r="2528">
          <cell r="A2528" t="str">
            <v>JMB00753</v>
          </cell>
          <cell r="B2528" t="str">
            <v>TOKO ANJUL BANGKO-JAMBI</v>
          </cell>
          <cell r="C2528">
            <v>453600</v>
          </cell>
          <cell r="D2528">
            <v>907200</v>
          </cell>
        </row>
        <row r="2529">
          <cell r="A2529" t="str">
            <v>JMB00765</v>
          </cell>
          <cell r="B2529" t="str">
            <v>TOKO ARMEL AVON BANGKO - JAMBI</v>
          </cell>
          <cell r="C2529">
            <v>12556902.27272727</v>
          </cell>
        </row>
        <row r="2530">
          <cell r="A2530" t="str">
            <v>JMB00787</v>
          </cell>
          <cell r="B2530" t="str">
            <v>DAENK MART BAYUNG - JAMBI</v>
          </cell>
          <cell r="C2530">
            <v>723371.75181818183</v>
          </cell>
        </row>
        <row r="2531">
          <cell r="A2531" t="str">
            <v>JMB00791</v>
          </cell>
          <cell r="B2531" t="str">
            <v>TOKO LAM JAYA-JAMBI</v>
          </cell>
          <cell r="C2531">
            <v>132443.18181818182</v>
          </cell>
        </row>
        <row r="2532">
          <cell r="A2532" t="str">
            <v>JMB00802</v>
          </cell>
          <cell r="B2532" t="str">
            <v>TOKO RIDHO BULIAN - JAMBI</v>
          </cell>
          <cell r="C2532">
            <v>859415.45454545435</v>
          </cell>
          <cell r="D2532">
            <v>852663.63636363624</v>
          </cell>
        </row>
        <row r="2533">
          <cell r="A2533" t="str">
            <v>JMB00819</v>
          </cell>
          <cell r="B2533" t="str">
            <v>TOKO MELATI DAVA BUNGO-JAMBI</v>
          </cell>
          <cell r="C2533">
            <v>1782306.8181818181</v>
          </cell>
          <cell r="D2533">
            <v>5638690.9090909092</v>
          </cell>
        </row>
        <row r="2534">
          <cell r="A2534" t="str">
            <v>JMB00826</v>
          </cell>
          <cell r="B2534" t="str">
            <v>TOKO VIVI BUNGO - JAMBI</v>
          </cell>
          <cell r="C2534">
            <v>5117132.045454544</v>
          </cell>
        </row>
        <row r="2535">
          <cell r="A2535" t="str">
            <v>JMB00828</v>
          </cell>
          <cell r="B2535" t="str">
            <v>TOKO NANDA JAYA BUNGO - JAMBI</v>
          </cell>
          <cell r="C2535">
            <v>49396394.272727266</v>
          </cell>
          <cell r="D2535">
            <v>4268427.2727272715</v>
          </cell>
        </row>
        <row r="2536">
          <cell r="A2536" t="str">
            <v>JMB00830</v>
          </cell>
          <cell r="B2536" t="str">
            <v>DHANA RISMA STORE BUNGO - JAMBI</v>
          </cell>
          <cell r="C2536">
            <v>2710998.1818181816</v>
          </cell>
          <cell r="D2536">
            <v>3157884.5454545454</v>
          </cell>
        </row>
        <row r="2537">
          <cell r="A2537" t="str">
            <v>JMB00839</v>
          </cell>
          <cell r="B2537" t="str">
            <v>TOKO ELLY BUNGO - JAMBI</v>
          </cell>
          <cell r="C2537">
            <v>8977928.1818181798</v>
          </cell>
          <cell r="D2537">
            <v>10803345.454545455</v>
          </cell>
        </row>
        <row r="2538">
          <cell r="A2538" t="str">
            <v>JMB00845</v>
          </cell>
          <cell r="B2538" t="str">
            <v>EED QIANA COSMETIC KUAMANG KUNING - JAMBI</v>
          </cell>
          <cell r="C2538">
            <v>8910284.3181818146</v>
          </cell>
        </row>
        <row r="2539">
          <cell r="A2539" t="str">
            <v>JMB00846</v>
          </cell>
          <cell r="B2539" t="str">
            <v>APOTEK EXZA BUNGO - JAMBI</v>
          </cell>
          <cell r="C2539">
            <v>337909.09090909088</v>
          </cell>
        </row>
        <row r="2540">
          <cell r="A2540" t="str">
            <v>JMB00847</v>
          </cell>
          <cell r="B2540" t="str">
            <v>TOKO MAYA STORE BUNGO - JAMBI</v>
          </cell>
          <cell r="C2540">
            <v>2459093.8636363638</v>
          </cell>
          <cell r="D2540">
            <v>2919813.6363636362</v>
          </cell>
        </row>
        <row r="2541">
          <cell r="A2541" t="str">
            <v>JMB00863</v>
          </cell>
          <cell r="B2541" t="str">
            <v>TOKO ZADIR HIJAB - JAMBI</v>
          </cell>
          <cell r="C2541">
            <v>1461295.9090909092</v>
          </cell>
        </row>
        <row r="2542">
          <cell r="A2542" t="str">
            <v>JMB00871</v>
          </cell>
          <cell r="B2542" t="str">
            <v>TOKO ANUGRAH JAYA SUBAN - JAMBI</v>
          </cell>
          <cell r="C2542">
            <v>-45454.5</v>
          </cell>
        </row>
        <row r="2543">
          <cell r="A2543" t="str">
            <v>JMB00889</v>
          </cell>
          <cell r="B2543" t="str">
            <v>ANDI-JAMBI</v>
          </cell>
          <cell r="C2543">
            <v>-88800.000000000015</v>
          </cell>
        </row>
        <row r="2544">
          <cell r="A2544" t="str">
            <v>JMB00911</v>
          </cell>
          <cell r="B2544" t="str">
            <v>HAPPY SHOP 808-JAMBI</v>
          </cell>
          <cell r="C2544">
            <v>86412190.454545394</v>
          </cell>
          <cell r="D2544">
            <v>42787973.636363648</v>
          </cell>
        </row>
        <row r="2545">
          <cell r="A2545" t="str">
            <v>JMB00923</v>
          </cell>
          <cell r="B2545" t="str">
            <v>TOKO DNS - JAMBI</v>
          </cell>
          <cell r="C2545">
            <v>352828.63636363635</v>
          </cell>
        </row>
        <row r="2546">
          <cell r="A2546" t="str">
            <v>JMB00924</v>
          </cell>
          <cell r="B2546" t="str">
            <v>HIDAYAH MART</v>
          </cell>
          <cell r="C2546">
            <v>117609.54545454547</v>
          </cell>
        </row>
        <row r="2547">
          <cell r="A2547" t="str">
            <v>JMB00932</v>
          </cell>
          <cell r="B2547" t="str">
            <v>MM.ARIZONA (EDI) KERINCI-JAMBI</v>
          </cell>
          <cell r="C2547">
            <v>280174.09090909094</v>
          </cell>
          <cell r="D2547">
            <v>146974.09090909091</v>
          </cell>
        </row>
        <row r="2548">
          <cell r="A2548" t="str">
            <v>JMB00937</v>
          </cell>
          <cell r="B2548" t="str">
            <v>TOKO MITRA COSMETIC KERINCI - JAMBI</v>
          </cell>
          <cell r="C2548">
            <v>3066455.4545454555</v>
          </cell>
        </row>
        <row r="2549">
          <cell r="A2549" t="str">
            <v>JMB00938</v>
          </cell>
          <cell r="B2549" t="str">
            <v>TOKO USAHA MUDA (RM) KERINCI - JAMBI</v>
          </cell>
          <cell r="C2549">
            <v>2281049.9999999995</v>
          </cell>
        </row>
        <row r="2550">
          <cell r="A2550" t="str">
            <v>JMB00940</v>
          </cell>
          <cell r="B2550" t="str">
            <v>TOKO MONIC KERINCI - JAMBI</v>
          </cell>
          <cell r="C2550">
            <v>894927.27272727259</v>
          </cell>
        </row>
        <row r="2551">
          <cell r="A2551" t="str">
            <v>JMB00949</v>
          </cell>
          <cell r="B2551" t="str">
            <v>TOKO ASENG-JMB</v>
          </cell>
          <cell r="C2551">
            <v>401492.04545454553</v>
          </cell>
        </row>
        <row r="2552">
          <cell r="A2552" t="str">
            <v>JMB00953</v>
          </cell>
          <cell r="B2552" t="str">
            <v>TOKO DENRYO SHOP - JAMBI</v>
          </cell>
          <cell r="C2552">
            <v>5746369.0909090918</v>
          </cell>
          <cell r="D2552">
            <v>3814363.6363636353</v>
          </cell>
        </row>
        <row r="2553">
          <cell r="A2553" t="str">
            <v>JMB00954</v>
          </cell>
          <cell r="B2553" t="str">
            <v>TOKO HUSNA GALLERY - JAMBI</v>
          </cell>
          <cell r="C2553">
            <v>1622012.7272727273</v>
          </cell>
          <cell r="D2553">
            <v>2834875.9090909106</v>
          </cell>
        </row>
        <row r="2554">
          <cell r="A2554" t="str">
            <v>JMB00978</v>
          </cell>
          <cell r="B2554" t="str">
            <v>TOKO FEBI CELL - JAMBI</v>
          </cell>
          <cell r="C2554">
            <v>4284801.8181818184</v>
          </cell>
        </row>
        <row r="2555">
          <cell r="A2555" t="str">
            <v>JMB00991</v>
          </cell>
          <cell r="B2555" t="str">
            <v>TOKO Q2 COSMETICS STORE - JAMBI</v>
          </cell>
          <cell r="C2555">
            <v>2529396.8181818179</v>
          </cell>
          <cell r="D2555">
            <v>133200.00000000003</v>
          </cell>
        </row>
        <row r="2556">
          <cell r="A2556" t="str">
            <v>JMB01001</v>
          </cell>
          <cell r="B2556" t="str">
            <v>TOKO LIA PENEROKAN-JAMBI</v>
          </cell>
          <cell r="C2556">
            <v>431263.63636363635</v>
          </cell>
        </row>
        <row r="2557">
          <cell r="A2557" t="str">
            <v>JMB01051</v>
          </cell>
          <cell r="B2557" t="str">
            <v>TOKO RIRIN HIJAB - JAMBI</v>
          </cell>
          <cell r="C2557">
            <v>191139.31818181818</v>
          </cell>
          <cell r="D2557">
            <v>490835.45454545459</v>
          </cell>
        </row>
        <row r="2558">
          <cell r="A2558" t="str">
            <v>JMB01078</v>
          </cell>
          <cell r="B2558" t="str">
            <v>TOKO KOSMETIK TWIN SHOP - JAMBI</v>
          </cell>
          <cell r="C2558">
            <v>9875353.6363636367</v>
          </cell>
          <cell r="D2558">
            <v>1027200.0000000001</v>
          </cell>
        </row>
        <row r="2559">
          <cell r="A2559" t="str">
            <v>JMB01102</v>
          </cell>
          <cell r="B2559" t="str">
            <v>TOKO GANI R.BUJANG - JAMBI</v>
          </cell>
          <cell r="C2559">
            <v>3470171.874545455</v>
          </cell>
          <cell r="D2559">
            <v>2612466.2727272725</v>
          </cell>
        </row>
        <row r="2560">
          <cell r="A2560" t="str">
            <v>JMB01106</v>
          </cell>
          <cell r="B2560" t="str">
            <v>TOKO SM MART R.BUJANG - JAMBI</v>
          </cell>
          <cell r="C2560">
            <v>1123093.1818181816</v>
          </cell>
          <cell r="D2560">
            <v>917230.90909090894</v>
          </cell>
        </row>
        <row r="2561">
          <cell r="A2561" t="str">
            <v>JMB01107</v>
          </cell>
          <cell r="B2561" t="str">
            <v>TOKO ELENA STORE R.BUJANG - JAMBI</v>
          </cell>
          <cell r="C2561">
            <v>2334332.7272727275</v>
          </cell>
          <cell r="D2561">
            <v>1959600</v>
          </cell>
        </row>
        <row r="2562">
          <cell r="A2562" t="str">
            <v>JMB01108</v>
          </cell>
          <cell r="B2562" t="str">
            <v>TOKO MITRA STORE 2 R.BUJANG - JAMBI</v>
          </cell>
          <cell r="C2562">
            <v>4537454.3181818184</v>
          </cell>
        </row>
        <row r="2563">
          <cell r="A2563" t="str">
            <v>JMB01114</v>
          </cell>
          <cell r="B2563" t="str">
            <v>TOKO MERY SABAK-JAMBI</v>
          </cell>
          <cell r="C2563">
            <v>431779.09090909088</v>
          </cell>
          <cell r="D2563">
            <v>1177258.1818181819</v>
          </cell>
        </row>
        <row r="2564">
          <cell r="A2564" t="str">
            <v>JMB01118</v>
          </cell>
          <cell r="B2564" t="str">
            <v>MM.ATLANTIC SABAK - JAMBI</v>
          </cell>
          <cell r="C2564">
            <v>2114179.3181818193</v>
          </cell>
          <cell r="D2564">
            <v>2214852.7272727271</v>
          </cell>
        </row>
        <row r="2565">
          <cell r="A2565" t="str">
            <v>JMB01155</v>
          </cell>
          <cell r="B2565" t="str">
            <v>TOKO JP MART LUNCUK -JAMBI</v>
          </cell>
          <cell r="C2565">
            <v>627398.18181818188</v>
          </cell>
        </row>
        <row r="2566">
          <cell r="A2566" t="str">
            <v>JMB01156</v>
          </cell>
          <cell r="B2566" t="str">
            <v>TOKO DR DURIAN LUNCUK SAROLANGUN - JAMBI</v>
          </cell>
          <cell r="C2566">
            <v>540091.36363636365</v>
          </cell>
          <cell r="D2566">
            <v>2230304.3181818184</v>
          </cell>
        </row>
        <row r="2567">
          <cell r="A2567" t="str">
            <v>JMB01165</v>
          </cell>
          <cell r="B2567" t="str">
            <v>QUEEN ACC TOSERBA SAROLANGUN - JAMBI</v>
          </cell>
          <cell r="C2567">
            <v>12576249.545454547</v>
          </cell>
          <cell r="D2567">
            <v>7716399.8181818202</v>
          </cell>
        </row>
        <row r="2568">
          <cell r="A2568" t="str">
            <v>JMB01190</v>
          </cell>
          <cell r="B2568" t="str">
            <v>TOKO GITA KOSMETIK - JAMBI</v>
          </cell>
          <cell r="C2568">
            <v>103968117.68181814</v>
          </cell>
          <cell r="D2568">
            <v>82729459.772727266</v>
          </cell>
        </row>
        <row r="2569">
          <cell r="A2569" t="str">
            <v>JMB01207</v>
          </cell>
          <cell r="B2569" t="str">
            <v>MM.KITO - JAMBI</v>
          </cell>
          <cell r="C2569">
            <v>104440.90909090909</v>
          </cell>
        </row>
        <row r="2570">
          <cell r="A2570" t="str">
            <v>JMB01262</v>
          </cell>
          <cell r="B2570" t="str">
            <v>LY KOSMETIK - JAMBI</v>
          </cell>
          <cell r="C2570">
            <v>2163926.3636363633</v>
          </cell>
          <cell r="D2570">
            <v>4308685.0000000009</v>
          </cell>
        </row>
        <row r="2571">
          <cell r="A2571" t="str">
            <v>JMB01303</v>
          </cell>
          <cell r="B2571" t="str">
            <v>TOKO RITA TUNGKAL-JAMBI</v>
          </cell>
          <cell r="C2571">
            <v>22780.227272727268</v>
          </cell>
          <cell r="D2571">
            <v>44400.000000000007</v>
          </cell>
        </row>
        <row r="2572">
          <cell r="A2572" t="str">
            <v>JMB01314</v>
          </cell>
          <cell r="B2572" t="str">
            <v>DEDEK OLSHOP KOSMETIK TUNGKAL-JAMBI</v>
          </cell>
          <cell r="C2572">
            <v>3078018.2945454549</v>
          </cell>
          <cell r="D2572">
            <v>600000</v>
          </cell>
        </row>
        <row r="2573">
          <cell r="A2573" t="str">
            <v>JMB01316</v>
          </cell>
          <cell r="B2573" t="str">
            <v>TOKO VALISHA SHOP TUNGKAL - JAMBI</v>
          </cell>
          <cell r="C2573">
            <v>5669020.9090909073</v>
          </cell>
        </row>
        <row r="2574">
          <cell r="A2574" t="str">
            <v>JMB01325</v>
          </cell>
          <cell r="B2574" t="str">
            <v>S MART WKS - JAMBI</v>
          </cell>
          <cell r="C2574">
            <v>741681.818181818</v>
          </cell>
          <cell r="D2574">
            <v>741681.818181818</v>
          </cell>
        </row>
        <row r="2575">
          <cell r="A2575" t="str">
            <v>JMB01333</v>
          </cell>
          <cell r="B2575" t="str">
            <v>SOPHIE SHOP BEAUTY - JAMBI</v>
          </cell>
          <cell r="C2575">
            <v>448246.36363636359</v>
          </cell>
          <cell r="D2575">
            <v>3233158.6363636358</v>
          </cell>
        </row>
        <row r="2576">
          <cell r="A2576" t="str">
            <v>JMB01337</v>
          </cell>
          <cell r="B2576" t="str">
            <v>MISS GLAM MA.BUNGO - JAMBI</v>
          </cell>
          <cell r="C2576">
            <v>80296003.909090906</v>
          </cell>
          <cell r="D2576">
            <v>51209788.227272734</v>
          </cell>
        </row>
        <row r="2577">
          <cell r="A2577" t="str">
            <v>JMB01339</v>
          </cell>
          <cell r="B2577" t="str">
            <v>MISS GLAM - JAMBI</v>
          </cell>
          <cell r="C2577">
            <v>65061084.272727281</v>
          </cell>
          <cell r="D2577">
            <v>54338994.454545446</v>
          </cell>
        </row>
        <row r="2578">
          <cell r="A2578" t="str">
            <v>JMB01340</v>
          </cell>
          <cell r="B2578" t="str">
            <v>BLUE AND PINK BEAUTY ACC - JAMBI</v>
          </cell>
          <cell r="C2578">
            <v>907145.90909090894</v>
          </cell>
          <cell r="D2578">
            <v>1318115.4545454546</v>
          </cell>
        </row>
        <row r="2579">
          <cell r="A2579" t="str">
            <v>JMB01341</v>
          </cell>
          <cell r="B2579" t="str">
            <v>ROMA MART BUNGO - JAMBI</v>
          </cell>
          <cell r="C2579">
            <v>199800.00000000006</v>
          </cell>
        </row>
        <row r="2580">
          <cell r="A2580" t="str">
            <v>JMB01401</v>
          </cell>
          <cell r="B2580" t="str">
            <v>CV.TEKSINDO LESTARI</v>
          </cell>
          <cell r="C2580">
            <v>6130945.2272727275</v>
          </cell>
          <cell r="D2580">
            <v>7483364.0454545468</v>
          </cell>
        </row>
        <row r="2581">
          <cell r="A2581" t="str">
            <v>JMB01402</v>
          </cell>
          <cell r="B2581" t="str">
            <v>CV.TROPI MART KASANG KUMPEH - JAMBI</v>
          </cell>
          <cell r="C2581">
            <v>3166388.1818181821</v>
          </cell>
          <cell r="D2581">
            <v>2965396.3636363642</v>
          </cell>
        </row>
        <row r="2582">
          <cell r="A2582" t="str">
            <v>JMB01403</v>
          </cell>
          <cell r="B2582" t="str">
            <v>CV.TROPI MART MENDALO - JAMBI</v>
          </cell>
          <cell r="C2582">
            <v>11533360.22727273</v>
          </cell>
          <cell r="D2582">
            <v>11111564.318181815</v>
          </cell>
        </row>
        <row r="2583">
          <cell r="A2583" t="str">
            <v>JMB01404</v>
          </cell>
          <cell r="B2583" t="str">
            <v>CV.TROPI-JMB</v>
          </cell>
          <cell r="C2583">
            <v>552497.72727272729</v>
          </cell>
        </row>
        <row r="2584">
          <cell r="A2584" t="str">
            <v>JMB01406</v>
          </cell>
          <cell r="B2584" t="str">
            <v>CV. TROPI MART PASIR PUTIH - JAMBI</v>
          </cell>
          <cell r="C2584">
            <v>1951255.9090909096</v>
          </cell>
          <cell r="D2584">
            <v>1461898.6363636365</v>
          </cell>
        </row>
        <row r="2585">
          <cell r="A2585" t="str">
            <v>JMB01407</v>
          </cell>
          <cell r="B2585" t="str">
            <v>CV.TROPI MART-JMB</v>
          </cell>
          <cell r="C2585">
            <v>2509552.7272727275</v>
          </cell>
          <cell r="D2585">
            <v>2742891.8181818193</v>
          </cell>
        </row>
        <row r="2586">
          <cell r="A2586" t="str">
            <v>JMB01408</v>
          </cell>
          <cell r="B2586" t="str">
            <v>CV.TROPI MART SIJENJANG-JAMBI</v>
          </cell>
          <cell r="C2586">
            <v>6604679.3181818184</v>
          </cell>
          <cell r="D2586">
            <v>5905682.0454545477</v>
          </cell>
        </row>
        <row r="2587">
          <cell r="A2587" t="str">
            <v>JMB01409</v>
          </cell>
          <cell r="B2587" t="str">
            <v>CV.TROPI MART UNIT TALANG BAKUNG</v>
          </cell>
          <cell r="C2587">
            <v>3005597.727272728</v>
          </cell>
          <cell r="D2587">
            <v>1628773.6363636365</v>
          </cell>
        </row>
        <row r="2588">
          <cell r="A2588" t="str">
            <v>JMB01410</v>
          </cell>
          <cell r="B2588" t="str">
            <v>PT.TEMAS ALVINDO-JMB</v>
          </cell>
          <cell r="C2588">
            <v>80818676.909090906</v>
          </cell>
          <cell r="D2588">
            <v>94036151.681818098</v>
          </cell>
        </row>
        <row r="2589">
          <cell r="A2589" t="str">
            <v>JMB01411</v>
          </cell>
          <cell r="B2589" t="str">
            <v>PT. WIRA VIONA</v>
          </cell>
          <cell r="C2589">
            <v>40363487.769545428</v>
          </cell>
          <cell r="D2589">
            <v>28314274.318181809</v>
          </cell>
        </row>
        <row r="2590">
          <cell r="A2590" t="str">
            <v>JMB01418</v>
          </cell>
          <cell r="B2590" t="str">
            <v>TOKO YUNI COSMETIK  BUNGO - JAMBI</v>
          </cell>
          <cell r="C2590">
            <v>8565823.6363636367</v>
          </cell>
          <cell r="D2590">
            <v>-794399.99999999977</v>
          </cell>
        </row>
        <row r="2591">
          <cell r="A2591" t="str">
            <v>JMB01428</v>
          </cell>
          <cell r="B2591" t="str">
            <v>CASH</v>
          </cell>
          <cell r="C2591">
            <v>640869.09090909082</v>
          </cell>
          <cell r="D2591">
            <v>1725765</v>
          </cell>
        </row>
        <row r="2592">
          <cell r="A2592" t="str">
            <v>JMB01469</v>
          </cell>
          <cell r="B2592" t="str">
            <v>APT.SUMBER SEHAT R.BUJANG - JAMBI</v>
          </cell>
          <cell r="C2592">
            <v>2949572.0454545449</v>
          </cell>
        </row>
        <row r="2593">
          <cell r="A2593" t="str">
            <v>JMB01481</v>
          </cell>
          <cell r="B2593" t="str">
            <v>TOKO ALIESHA MART BUNGO - JAMBI</v>
          </cell>
          <cell r="C2593">
            <v>609966.81818181812</v>
          </cell>
        </row>
        <row r="2594">
          <cell r="A2594" t="str">
            <v>JMB01486</v>
          </cell>
          <cell r="B2594" t="str">
            <v>TOKO FAA SWALAYAN KERINCI - JAMBI</v>
          </cell>
          <cell r="C2594">
            <v>1134801.8181818181</v>
          </cell>
          <cell r="D2594">
            <v>1134801.8181818181</v>
          </cell>
        </row>
        <row r="2595">
          <cell r="A2595" t="str">
            <v>JMB01493</v>
          </cell>
          <cell r="B2595" t="str">
            <v>TOKO AMEL STORE SAROLANGUN - JAMBI</v>
          </cell>
          <cell r="C2595">
            <v>39597080.727272749</v>
          </cell>
          <cell r="D2595">
            <v>16355874.363636363</v>
          </cell>
        </row>
        <row r="2596">
          <cell r="A2596" t="str">
            <v>JMB01501</v>
          </cell>
          <cell r="B2596" t="str">
            <v>TOKO HATTA RENGAS-JAMBI</v>
          </cell>
          <cell r="C2596">
            <v>953590.90909090906</v>
          </cell>
          <cell r="D2596">
            <v>1271454.5454545454</v>
          </cell>
        </row>
        <row r="2597">
          <cell r="A2597" t="str">
            <v>JMB01511</v>
          </cell>
          <cell r="B2597" t="str">
            <v>APT. SIMPANG PU BUNGO - JAMBI</v>
          </cell>
          <cell r="C2597">
            <v>285646.36363636365</v>
          </cell>
          <cell r="D2597">
            <v>3480593.1818181812</v>
          </cell>
        </row>
        <row r="2598">
          <cell r="A2598" t="str">
            <v>JMB01521</v>
          </cell>
          <cell r="B2598" t="str">
            <v>TOKO LUCY KOSMETIK</v>
          </cell>
          <cell r="C2598">
            <v>5622963.3113636393</v>
          </cell>
          <cell r="D2598">
            <v>8537228.8636363652</v>
          </cell>
        </row>
        <row r="2599">
          <cell r="A2599" t="str">
            <v>JMB01523</v>
          </cell>
          <cell r="B2599" t="str">
            <v>TOKO TREE BOY SHOP BANGKO - JAMBI</v>
          </cell>
          <cell r="C2599">
            <v>12433160.454545459</v>
          </cell>
          <cell r="D2599">
            <v>9021496.3636363633</v>
          </cell>
        </row>
        <row r="2600">
          <cell r="A2600" t="str">
            <v>JMB01530</v>
          </cell>
          <cell r="B2600" t="str">
            <v>TOKO SHEHUA PONDOK MEJA - JAMBI</v>
          </cell>
          <cell r="C2600">
            <v>358126.36363636371</v>
          </cell>
        </row>
        <row r="2601">
          <cell r="A2601" t="str">
            <v>JMB01533</v>
          </cell>
          <cell r="B2601" t="str">
            <v>BIN AUF MART II BULIAN - JAMBI</v>
          </cell>
          <cell r="C2601">
            <v>485975</v>
          </cell>
        </row>
        <row r="2602">
          <cell r="A2602" t="str">
            <v>JMB01548</v>
          </cell>
          <cell r="B2602" t="str">
            <v>CV.INSPIRATION COSMETICS JAMBI</v>
          </cell>
          <cell r="C2602">
            <v>88142589.545454547</v>
          </cell>
          <cell r="D2602">
            <v>105506519.99999999</v>
          </cell>
        </row>
        <row r="2603">
          <cell r="A2603" t="str">
            <v>JMB01553</v>
          </cell>
          <cell r="B2603" t="str">
            <v>RISKA BEAUTY MERANGIN - JAMBI</v>
          </cell>
          <cell r="C2603">
            <v>1736090.9090909092</v>
          </cell>
        </row>
        <row r="2604">
          <cell r="A2604" t="str">
            <v>JMB01565</v>
          </cell>
          <cell r="B2604" t="str">
            <v>TOKO SUKSES JAYA TUNGKAL - JAMBI</v>
          </cell>
          <cell r="C2604">
            <v>14116234.090909097</v>
          </cell>
        </row>
        <row r="2605">
          <cell r="A2605" t="str">
            <v>JMB01567</v>
          </cell>
          <cell r="B2605" t="str">
            <v>TOKO HENDRI SUNGAI PENUH - KERINCI JAMBI</v>
          </cell>
          <cell r="C2605">
            <v>10044763.636363639</v>
          </cell>
          <cell r="D2605">
            <v>12699409.090909092</v>
          </cell>
        </row>
        <row r="2606">
          <cell r="A2606" t="str">
            <v>JMB01575</v>
          </cell>
          <cell r="B2606" t="str">
            <v>MM. ZEFA - JAMBI</v>
          </cell>
          <cell r="C2606">
            <v>938829.13636363635</v>
          </cell>
        </row>
        <row r="2607">
          <cell r="A2607" t="str">
            <v>JMB01582</v>
          </cell>
          <cell r="B2607" t="str">
            <v>TOKO HUQI KOSMETIK - JAMBI</v>
          </cell>
          <cell r="C2607">
            <v>1582960.9090909094</v>
          </cell>
        </row>
        <row r="2608">
          <cell r="A2608" t="str">
            <v>JMB01588</v>
          </cell>
          <cell r="B2608" t="str">
            <v>L &amp; A MART 2 - JAMBI</v>
          </cell>
          <cell r="C2608">
            <v>916124.99999999977</v>
          </cell>
        </row>
        <row r="2609">
          <cell r="A2609" t="str">
            <v>JMB01596</v>
          </cell>
          <cell r="B2609" t="str">
            <v>MM.FAVORITE 89</v>
          </cell>
          <cell r="C2609">
            <v>2853000</v>
          </cell>
          <cell r="D2609">
            <v>9828545.4545454532</v>
          </cell>
        </row>
        <row r="2610">
          <cell r="A2610" t="str">
            <v>JMB01597</v>
          </cell>
          <cell r="B2610" t="str">
            <v>MM SJ MART PALL 11</v>
          </cell>
          <cell r="C2610">
            <v>308781.81818181823</v>
          </cell>
        </row>
        <row r="2611">
          <cell r="A2611" t="str">
            <v>JMB01610</v>
          </cell>
          <cell r="B2611" t="str">
            <v>TOKO RISQIA KOSMETIK - JAMBI</v>
          </cell>
          <cell r="C2611">
            <v>715949.99999999988</v>
          </cell>
          <cell r="D2611">
            <v>1100512.7272727271</v>
          </cell>
        </row>
        <row r="2612">
          <cell r="A2612" t="str">
            <v>JMB01621</v>
          </cell>
          <cell r="B2612" t="str">
            <v>MM.RIFKY - JAMBI</v>
          </cell>
          <cell r="C2612">
            <v>1295011.0909090908</v>
          </cell>
        </row>
        <row r="2613">
          <cell r="A2613" t="str">
            <v>JMB01625</v>
          </cell>
          <cell r="B2613" t="str">
            <v>GEENA BEAUTY STORE - JAMBI</v>
          </cell>
          <cell r="C2613">
            <v>276366.36363636365</v>
          </cell>
        </row>
        <row r="2614">
          <cell r="A2614" t="str">
            <v>JMB01628</v>
          </cell>
          <cell r="B2614" t="str">
            <v>PUTRIEKA STORE TUNGKAL - JAMBI</v>
          </cell>
          <cell r="C2614">
            <v>1580154.5454545454</v>
          </cell>
          <cell r="D2614">
            <v>2733599.9999999995</v>
          </cell>
        </row>
        <row r="2615">
          <cell r="A2615" t="str">
            <v>JMB01629</v>
          </cell>
          <cell r="B2615" t="str">
            <v>A &amp; H BEAUTY GIRLS - JAMBI</v>
          </cell>
          <cell r="C2615">
            <v>1267227.2727272727</v>
          </cell>
        </row>
        <row r="2616">
          <cell r="A2616" t="str">
            <v>JMB01633</v>
          </cell>
          <cell r="B2616" t="str">
            <v>TOKO MON AMI ACC - JAMBI</v>
          </cell>
          <cell r="C2616">
            <v>724905.68181818165</v>
          </cell>
        </row>
        <row r="2617">
          <cell r="A2617" t="str">
            <v>JMB01643</v>
          </cell>
          <cell r="B2617" t="str">
            <v>NURHALISA MERLUNG - JAMBI</v>
          </cell>
          <cell r="C2617">
            <v>7588963.6363636404</v>
          </cell>
          <cell r="D2617">
            <v>6879097.159090912</v>
          </cell>
        </row>
        <row r="2618">
          <cell r="A2618" t="str">
            <v>K.BEU</v>
          </cell>
          <cell r="B2618" t="str">
            <v>KBEAUTY SKINCARE</v>
          </cell>
          <cell r="C2618">
            <v>5525018.1818181816</v>
          </cell>
          <cell r="D2618">
            <v>5863098.5454545459</v>
          </cell>
        </row>
        <row r="2619">
          <cell r="A2619" t="str">
            <v>K00069</v>
          </cell>
          <cell r="B2619" t="str">
            <v>C4 MART</v>
          </cell>
          <cell r="C2619">
            <v>189225.27272727271</v>
          </cell>
          <cell r="D2619">
            <v>412420.45454545453</v>
          </cell>
        </row>
        <row r="2620">
          <cell r="A2620" t="str">
            <v>K001</v>
          </cell>
          <cell r="B2620" t="str">
            <v>KANTOR</v>
          </cell>
          <cell r="C2620">
            <v>851216.62590909086</v>
          </cell>
          <cell r="D2620">
            <v>9583527.0454545449</v>
          </cell>
        </row>
        <row r="2621">
          <cell r="A2621" t="str">
            <v>K008</v>
          </cell>
          <cell r="B2621" t="str">
            <v>NURAINI</v>
          </cell>
          <cell r="C2621">
            <v>204000</v>
          </cell>
        </row>
        <row r="2622">
          <cell r="A2622" t="str">
            <v>K010</v>
          </cell>
          <cell r="B2622" t="str">
            <v>KAYO COSMETIC</v>
          </cell>
          <cell r="C2622">
            <v>5016836.3636363624</v>
          </cell>
          <cell r="D2622">
            <v>2108688.6363636358</v>
          </cell>
        </row>
        <row r="2623">
          <cell r="A2623" t="str">
            <v>K011</v>
          </cell>
          <cell r="B2623" t="str">
            <v>KEDAI FATHI</v>
          </cell>
          <cell r="C2623">
            <v>416098.63636363641</v>
          </cell>
          <cell r="D2623">
            <v>1682509.0909090908</v>
          </cell>
        </row>
        <row r="2624">
          <cell r="A2624" t="str">
            <v>K013</v>
          </cell>
          <cell r="B2624" t="str">
            <v>KEMBAR COSMETIK</v>
          </cell>
          <cell r="C2624">
            <v>1357465.2272727275</v>
          </cell>
        </row>
        <row r="2625">
          <cell r="A2625" t="str">
            <v>K017</v>
          </cell>
          <cell r="B2625" t="str">
            <v>KITA COST BKT ( K )</v>
          </cell>
          <cell r="C2625">
            <v>20747279.454545464</v>
          </cell>
          <cell r="D2625">
            <v>17407632.500000004</v>
          </cell>
        </row>
        <row r="2626">
          <cell r="A2626" t="str">
            <v>K027</v>
          </cell>
          <cell r="B2626" t="str">
            <v>KADAI BEAUTY LA</v>
          </cell>
          <cell r="C2626">
            <v>2957418.6818181816</v>
          </cell>
        </row>
        <row r="2627">
          <cell r="A2627" t="str">
            <v>k028</v>
          </cell>
          <cell r="B2627" t="str">
            <v>KADAI BEAUTY 2</v>
          </cell>
          <cell r="C2627">
            <v>20069283.000000007</v>
          </cell>
          <cell r="D2627">
            <v>12602089.09090909</v>
          </cell>
        </row>
        <row r="2628">
          <cell r="A2628" t="str">
            <v>K030</v>
          </cell>
          <cell r="B2628" t="str">
            <v>KIKI K.BATU</v>
          </cell>
          <cell r="C2628">
            <v>806843.86363636341</v>
          </cell>
        </row>
        <row r="2629">
          <cell r="A2629" t="str">
            <v>K037</v>
          </cell>
          <cell r="B2629" t="str">
            <v>KELUARGA ABYAN</v>
          </cell>
          <cell r="C2629">
            <v>250820.45454545456</v>
          </cell>
          <cell r="D2629">
            <v>338863.63636363635</v>
          </cell>
        </row>
        <row r="2630">
          <cell r="A2630" t="str">
            <v>K041</v>
          </cell>
          <cell r="B2630" t="str">
            <v>KADAI BEAUTY PSM</v>
          </cell>
          <cell r="C2630">
            <v>9987510</v>
          </cell>
          <cell r="D2630">
            <v>40046296.363636352</v>
          </cell>
        </row>
        <row r="2631">
          <cell r="A2631" t="str">
            <v>K050</v>
          </cell>
          <cell r="B2631" t="str">
            <v>KIJANG LESTARI</v>
          </cell>
          <cell r="C2631">
            <v>431120.45454545453</v>
          </cell>
        </row>
        <row r="2632">
          <cell r="A2632" t="str">
            <v>K052</v>
          </cell>
          <cell r="B2632" t="str">
            <v>KIM LOY</v>
          </cell>
          <cell r="C2632">
            <v>2160674.6363636372</v>
          </cell>
          <cell r="D2632">
            <v>336178.63636363635</v>
          </cell>
        </row>
        <row r="2633">
          <cell r="A2633" t="str">
            <v>K058</v>
          </cell>
          <cell r="B2633" t="str">
            <v>KONTAN</v>
          </cell>
          <cell r="C2633">
            <v>-1646279.4545454544</v>
          </cell>
          <cell r="D2633">
            <v>629824.54545454553</v>
          </cell>
        </row>
        <row r="2634">
          <cell r="A2634" t="str">
            <v>K101</v>
          </cell>
          <cell r="B2634" t="str">
            <v>KAMCU / BUDI YANTO</v>
          </cell>
          <cell r="C2634">
            <v>249000</v>
          </cell>
          <cell r="D2634">
            <v>18900</v>
          </cell>
        </row>
        <row r="2635">
          <cell r="A2635" t="str">
            <v>KAMALA</v>
          </cell>
          <cell r="B2635" t="str">
            <v>KAMALA COSMETIC,TKO</v>
          </cell>
          <cell r="C2635">
            <v>267917267.99999982</v>
          </cell>
          <cell r="D2635">
            <v>60462442.909090899</v>
          </cell>
        </row>
        <row r="2636">
          <cell r="A2636" t="str">
            <v>KBJ021</v>
          </cell>
          <cell r="B2636" t="str">
            <v>TOKO BAHOQU</v>
          </cell>
          <cell r="C2636">
            <v>9818055.2272727285</v>
          </cell>
          <cell r="D2636">
            <v>17078277.272727281</v>
          </cell>
        </row>
        <row r="2637">
          <cell r="A2637" t="str">
            <v>KIMS</v>
          </cell>
          <cell r="B2637" t="str">
            <v>KIM,SHOP</v>
          </cell>
          <cell r="C2637">
            <v>252066434.45454529</v>
          </cell>
          <cell r="D2637">
            <v>230260187.04545438</v>
          </cell>
        </row>
        <row r="2638">
          <cell r="A2638" t="str">
            <v>KIS002</v>
          </cell>
          <cell r="B2638" t="str">
            <v>ADARA</v>
          </cell>
          <cell r="C2638">
            <v>1166559.5454545454</v>
          </cell>
          <cell r="D2638">
            <v>317863.63636363635</v>
          </cell>
        </row>
        <row r="2639">
          <cell r="A2639" t="str">
            <v>KIS004</v>
          </cell>
          <cell r="B2639" t="str">
            <v>ANTARA</v>
          </cell>
          <cell r="C2639">
            <v>2151549.2727272729</v>
          </cell>
          <cell r="D2639">
            <v>638231.59090909094</v>
          </cell>
        </row>
        <row r="2640">
          <cell r="A2640" t="str">
            <v>KIS015</v>
          </cell>
          <cell r="B2640" t="str">
            <v>ARRAH MART</v>
          </cell>
          <cell r="C2640">
            <v>549011.59090909094</v>
          </cell>
          <cell r="D2640">
            <v>106963.63636363638</v>
          </cell>
        </row>
        <row r="2641">
          <cell r="A2641" t="str">
            <v>KIS018</v>
          </cell>
          <cell r="B2641" t="str">
            <v>BERKAH JAYA</v>
          </cell>
          <cell r="C2641">
            <v>401340700.90909094</v>
          </cell>
          <cell r="D2641">
            <v>-2354287.2954545454</v>
          </cell>
        </row>
        <row r="2642">
          <cell r="A2642" t="str">
            <v>KIS021</v>
          </cell>
          <cell r="B2642" t="str">
            <v>IMAM MARKET</v>
          </cell>
          <cell r="C2642">
            <v>3492660.0000000005</v>
          </cell>
          <cell r="D2642">
            <v>2136770.4545454546</v>
          </cell>
        </row>
        <row r="2643">
          <cell r="A2643" t="str">
            <v>KIS022</v>
          </cell>
          <cell r="B2643" t="str">
            <v>IRIAN KISARAN</v>
          </cell>
          <cell r="C2643">
            <v>62102478.409090884</v>
          </cell>
          <cell r="D2643">
            <v>2924695.9090909092</v>
          </cell>
        </row>
        <row r="2644">
          <cell r="A2644" t="str">
            <v>KIS026</v>
          </cell>
          <cell r="B2644" t="str">
            <v>HARA FARMA</v>
          </cell>
          <cell r="C2644">
            <v>2528960.4545454546</v>
          </cell>
        </row>
        <row r="2645">
          <cell r="A2645" t="str">
            <v>KIS027</v>
          </cell>
          <cell r="B2645" t="str">
            <v>APOTIK MAKMUR RASUDIN</v>
          </cell>
          <cell r="C2645">
            <v>22669491.818181828</v>
          </cell>
          <cell r="D2645">
            <v>22247038.63636364</v>
          </cell>
        </row>
        <row r="2646">
          <cell r="A2646" t="str">
            <v>KIS033</v>
          </cell>
          <cell r="B2646" t="str">
            <v>MAIDI</v>
          </cell>
          <cell r="C2646">
            <v>1621103.1818181816</v>
          </cell>
          <cell r="D2646">
            <v>-406789.77272727276</v>
          </cell>
        </row>
        <row r="2647">
          <cell r="A2647" t="str">
            <v>KIS038</v>
          </cell>
          <cell r="B2647" t="str">
            <v>RIZKY</v>
          </cell>
          <cell r="C2647">
            <v>1315127.7272727273</v>
          </cell>
        </row>
        <row r="2648">
          <cell r="A2648" t="str">
            <v>KIS046</v>
          </cell>
          <cell r="B2648" t="str">
            <v>TOKO BAHAGIA</v>
          </cell>
          <cell r="C2648">
            <v>25449205.636363633</v>
          </cell>
          <cell r="D2648">
            <v>14967594.545454549</v>
          </cell>
        </row>
        <row r="2649">
          <cell r="A2649" t="str">
            <v>KIS059</v>
          </cell>
          <cell r="B2649" t="str">
            <v>GIHON FARMA</v>
          </cell>
          <cell r="C2649">
            <v>2236549.0909090908</v>
          </cell>
          <cell r="D2649">
            <v>1630186.3636363633</v>
          </cell>
        </row>
        <row r="2650">
          <cell r="A2650" t="str">
            <v>KIS063</v>
          </cell>
          <cell r="B2650" t="str">
            <v>ATLANTA MARKET</v>
          </cell>
          <cell r="C2650">
            <v>7917964.3636363642</v>
          </cell>
          <cell r="D2650">
            <v>4504913.1818181816</v>
          </cell>
        </row>
        <row r="2651">
          <cell r="A2651" t="str">
            <v>KIS074</v>
          </cell>
          <cell r="B2651" t="str">
            <v>APOTIK KARTINI</v>
          </cell>
          <cell r="C2651">
            <v>317863.63636363635</v>
          </cell>
        </row>
        <row r="2652">
          <cell r="A2652" t="str">
            <v>KIS077</v>
          </cell>
          <cell r="B2652" t="str">
            <v>APOTIK JAYA FARMA</v>
          </cell>
          <cell r="C2652">
            <v>1260463.6363636365</v>
          </cell>
        </row>
        <row r="2653">
          <cell r="A2653" t="str">
            <v>KIS078</v>
          </cell>
          <cell r="B2653" t="str">
            <v>AHUCK</v>
          </cell>
          <cell r="C2653">
            <v>944054.99999999988</v>
          </cell>
          <cell r="D2653">
            <v>337800.00000000006</v>
          </cell>
        </row>
        <row r="2654">
          <cell r="A2654" t="str">
            <v>KIS090</v>
          </cell>
          <cell r="B2654" t="str">
            <v>UD. PUTRI</v>
          </cell>
          <cell r="C2654">
            <v>1242695.4545454544</v>
          </cell>
          <cell r="D2654">
            <v>790118.18181818165</v>
          </cell>
        </row>
        <row r="2655">
          <cell r="A2655" t="str">
            <v>KIS097</v>
          </cell>
          <cell r="B2655" t="str">
            <v>TOKO SIMAS</v>
          </cell>
          <cell r="C2655">
            <v>734037.90909090918</v>
          </cell>
          <cell r="D2655">
            <v>375079.09090909094</v>
          </cell>
        </row>
        <row r="2656">
          <cell r="A2656" t="str">
            <v>KIS105</v>
          </cell>
          <cell r="B2656" t="str">
            <v>ANUGRAH</v>
          </cell>
          <cell r="C2656">
            <v>1284698.1818181816</v>
          </cell>
        </row>
        <row r="2657">
          <cell r="A2657" t="str">
            <v>KIS106</v>
          </cell>
          <cell r="B2657" t="str">
            <v>ROMA JAYA</v>
          </cell>
          <cell r="C2657">
            <v>1343389.0909090908</v>
          </cell>
        </row>
        <row r="2658">
          <cell r="A2658" t="str">
            <v>KIS112</v>
          </cell>
          <cell r="B2658" t="str">
            <v>GROSIR SAHABAT BARU</v>
          </cell>
          <cell r="C2658">
            <v>1248792.5</v>
          </cell>
          <cell r="D2658">
            <v>2357193.5000000005</v>
          </cell>
        </row>
        <row r="2659">
          <cell r="A2659" t="str">
            <v>KIS180</v>
          </cell>
          <cell r="B2659" t="str">
            <v>FOTO COPY RAHMAD ZULPAN</v>
          </cell>
          <cell r="C2659">
            <v>4159080.8181818207</v>
          </cell>
          <cell r="D2659">
            <v>1813948.9090909089</v>
          </cell>
        </row>
        <row r="2660">
          <cell r="A2660" t="str">
            <v>KIS182</v>
          </cell>
          <cell r="B2660" t="str">
            <v>TOKO OBAT IBNU SINA</v>
          </cell>
          <cell r="C2660">
            <v>2243004.5454545454</v>
          </cell>
          <cell r="D2660">
            <v>763137.27272727271</v>
          </cell>
        </row>
        <row r="2661">
          <cell r="A2661" t="str">
            <v>KIS187</v>
          </cell>
          <cell r="B2661" t="str">
            <v>TOKO ASYIFA</v>
          </cell>
          <cell r="C2661">
            <v>3652283.4545454537</v>
          </cell>
          <cell r="D2661">
            <v>3765845.4545454541</v>
          </cell>
        </row>
        <row r="2662">
          <cell r="A2662" t="str">
            <v>KIS189</v>
          </cell>
          <cell r="B2662" t="str">
            <v>TOKO AURA</v>
          </cell>
          <cell r="C2662">
            <v>1907181.8181818179</v>
          </cell>
        </row>
        <row r="2663">
          <cell r="A2663" t="str">
            <v>KIS192</v>
          </cell>
          <cell r="B2663" t="str">
            <v>YNS</v>
          </cell>
          <cell r="C2663">
            <v>2453580</v>
          </cell>
          <cell r="D2663">
            <v>4500278.1818181826</v>
          </cell>
        </row>
        <row r="2664">
          <cell r="A2664" t="str">
            <v>KITA.ASIN</v>
          </cell>
          <cell r="B2664" t="str">
            <v>KITA/ASIN TOKO,PINOH</v>
          </cell>
          <cell r="C2664">
            <v>1914889.0909090913</v>
          </cell>
        </row>
        <row r="2665">
          <cell r="A2665" t="str">
            <v>KITA.TANPU</v>
          </cell>
          <cell r="B2665" t="str">
            <v>CV.KITA TANPUR</v>
          </cell>
          <cell r="C2665">
            <v>491350049.72727281</v>
          </cell>
          <cell r="D2665">
            <v>216777490.09090909</v>
          </cell>
        </row>
        <row r="2666">
          <cell r="A2666" t="str">
            <v>KOZZ</v>
          </cell>
          <cell r="B2666" t="str">
            <v>KOZZI TOKO,SINTANG</v>
          </cell>
          <cell r="C2666">
            <v>10966472.727272727</v>
          </cell>
          <cell r="D2666">
            <v>26072616.81818182</v>
          </cell>
        </row>
        <row r="2667">
          <cell r="A2667" t="str">
            <v>KPN001</v>
          </cell>
          <cell r="B2667" t="str">
            <v>TOKO AWIE</v>
          </cell>
          <cell r="C2667">
            <v>440826.13636363635</v>
          </cell>
          <cell r="D2667">
            <v>2419126.5</v>
          </cell>
        </row>
        <row r="2668">
          <cell r="A2668" t="str">
            <v>KSP006</v>
          </cell>
          <cell r="B2668" t="str">
            <v>BUTET JONI</v>
          </cell>
          <cell r="C2668">
            <v>13870375.000000002</v>
          </cell>
          <cell r="D2668">
            <v>5354070.6818181816</v>
          </cell>
        </row>
        <row r="2669">
          <cell r="A2669" t="str">
            <v>KSP008</v>
          </cell>
          <cell r="B2669" t="str">
            <v>DECO 100 KUALA TANJUNG</v>
          </cell>
          <cell r="C2669">
            <v>412219.63636363635</v>
          </cell>
        </row>
        <row r="2670">
          <cell r="A2670" t="str">
            <v>KSP009</v>
          </cell>
          <cell r="B2670" t="str">
            <v>SAQINAH KUALA SIMPANG</v>
          </cell>
          <cell r="C2670">
            <v>2480700.6818181821</v>
          </cell>
        </row>
        <row r="2671">
          <cell r="A2671" t="str">
            <v>KSR-PT</v>
          </cell>
          <cell r="B2671" t="str">
            <v>KAISAR SWALAYAN</v>
          </cell>
          <cell r="C2671">
            <v>1472842.6363636362</v>
          </cell>
          <cell r="D2671">
            <v>1017885.2727272727</v>
          </cell>
        </row>
        <row r="2672">
          <cell r="A2672" t="str">
            <v>KTA</v>
          </cell>
          <cell r="B2672" t="str">
            <v>CV.KITA (HANASUI)</v>
          </cell>
          <cell r="C2672">
            <v>586534672.90909076</v>
          </cell>
          <cell r="D2672">
            <v>483630951.81818157</v>
          </cell>
        </row>
        <row r="2673">
          <cell r="A2673" t="str">
            <v>KTA.JAWI</v>
          </cell>
          <cell r="B2673" t="str">
            <v>CV.KITA COSMETIC  (JAWI)</v>
          </cell>
          <cell r="C2673">
            <v>223162545.54545441</v>
          </cell>
          <cell r="D2673">
            <v>149122279.6363636</v>
          </cell>
        </row>
        <row r="2674">
          <cell r="A2674" t="str">
            <v>L005</v>
          </cell>
          <cell r="B2674" t="str">
            <v>LEN AIR HAJI</v>
          </cell>
          <cell r="C2674">
            <v>2045849.3181818186</v>
          </cell>
          <cell r="D2674">
            <v>2422628.1818181826</v>
          </cell>
        </row>
        <row r="2675">
          <cell r="A2675" t="str">
            <v>L010</v>
          </cell>
          <cell r="B2675" t="str">
            <v>LIZA COST</v>
          </cell>
          <cell r="C2675">
            <v>7851744.5454545459</v>
          </cell>
          <cell r="D2675">
            <v>11398303.636363644</v>
          </cell>
        </row>
        <row r="2676">
          <cell r="A2676" t="str">
            <v>L014</v>
          </cell>
          <cell r="B2676" t="str">
            <v>LANINA MAKEUP</v>
          </cell>
          <cell r="C2676">
            <v>1295877.2727272729</v>
          </cell>
          <cell r="D2676">
            <v>4445997.0454545459</v>
          </cell>
        </row>
        <row r="2677">
          <cell r="A2677" t="str">
            <v>L015</v>
          </cell>
          <cell r="B2677" t="str">
            <v>LSB</v>
          </cell>
          <cell r="C2677">
            <v>2420346.1363636358</v>
          </cell>
        </row>
        <row r="2678">
          <cell r="A2678" t="str">
            <v>L018</v>
          </cell>
          <cell r="B2678" t="str">
            <v>LOVI MAR</v>
          </cell>
          <cell r="C2678">
            <v>380830.90909090912</v>
          </cell>
          <cell r="D2678">
            <v>3571087.7272727271</v>
          </cell>
        </row>
        <row r="2679">
          <cell r="A2679" t="str">
            <v>L019</v>
          </cell>
          <cell r="B2679" t="str">
            <v>LINA / FIONA LIM</v>
          </cell>
          <cell r="C2679">
            <v>88500</v>
          </cell>
        </row>
        <row r="2680">
          <cell r="A2680" t="str">
            <v>L021</v>
          </cell>
          <cell r="B2680" t="str">
            <v>LOOK BEAUTY STORE</v>
          </cell>
          <cell r="C2680">
            <v>1624283.1818181816</v>
          </cell>
          <cell r="D2680">
            <v>1682495.4545454546</v>
          </cell>
        </row>
        <row r="2681">
          <cell r="B2681" t="str">
            <v>LINDA / HIDAYAT</v>
          </cell>
          <cell r="D2681">
            <v>18900</v>
          </cell>
        </row>
        <row r="2682">
          <cell r="A2682" t="str">
            <v>L024</v>
          </cell>
          <cell r="B2682" t="str">
            <v>LINA PARIAMAN</v>
          </cell>
          <cell r="C2682">
            <v>647926.36363636365</v>
          </cell>
          <cell r="D2682">
            <v>1627118.1818181816</v>
          </cell>
        </row>
        <row r="2683">
          <cell r="A2683" t="str">
            <v>LADY</v>
          </cell>
          <cell r="B2683" t="str">
            <v>LADY SHOP,BUKIT KELAM</v>
          </cell>
          <cell r="C2683">
            <v>4094163.9545454541</v>
          </cell>
          <cell r="D2683">
            <v>961611.81818181812</v>
          </cell>
        </row>
        <row r="2684">
          <cell r="A2684" t="str">
            <v>LING</v>
          </cell>
          <cell r="B2684" t="str">
            <v>LING LING ,TO</v>
          </cell>
          <cell r="C2684">
            <v>2082460.9090909101</v>
          </cell>
        </row>
        <row r="2685">
          <cell r="A2685" t="str">
            <v>LIS.</v>
          </cell>
          <cell r="B2685" t="str">
            <v>LISBEAUTY,SAMBAS</v>
          </cell>
          <cell r="C2685">
            <v>4656855.8181818184</v>
          </cell>
          <cell r="D2685">
            <v>3436550.4545454551</v>
          </cell>
        </row>
        <row r="2686">
          <cell r="A2686" t="str">
            <v>LISA1</v>
          </cell>
          <cell r="B2686" t="str">
            <v>LISA HADIANTI,NANGA TAMAN</v>
          </cell>
          <cell r="C2686">
            <v>71519.318181818177</v>
          </cell>
        </row>
        <row r="2687">
          <cell r="A2687" t="str">
            <v>LPK004</v>
          </cell>
          <cell r="B2687" t="str">
            <v>LEO GROSIR</v>
          </cell>
          <cell r="C2687">
            <v>672000</v>
          </cell>
        </row>
        <row r="2688">
          <cell r="A2688" t="str">
            <v>LPK006</v>
          </cell>
          <cell r="B2688" t="str">
            <v>DELIMAS PAKAM</v>
          </cell>
          <cell r="C2688">
            <v>1066502.0454545456</v>
          </cell>
          <cell r="D2688">
            <v>1124380.2272727275</v>
          </cell>
        </row>
        <row r="2689">
          <cell r="A2689" t="str">
            <v>LPK007</v>
          </cell>
          <cell r="B2689" t="str">
            <v>ALAM BARU SUMI</v>
          </cell>
          <cell r="C2689">
            <v>14501334.409090912</v>
          </cell>
          <cell r="D2689">
            <v>31200564.545454558</v>
          </cell>
        </row>
        <row r="2690">
          <cell r="A2690" t="str">
            <v>LPK009</v>
          </cell>
          <cell r="B2690" t="str">
            <v>TOKO AYUNG PAKAM</v>
          </cell>
          <cell r="C2690">
            <v>4281358.6363636376</v>
          </cell>
          <cell r="D2690">
            <v>7955741.5909090927</v>
          </cell>
        </row>
        <row r="2691">
          <cell r="A2691" t="str">
            <v>LPK011</v>
          </cell>
          <cell r="B2691" t="str">
            <v>YENNYTA COSMETIC</v>
          </cell>
          <cell r="C2691">
            <v>2641056.8181818179</v>
          </cell>
          <cell r="D2691">
            <v>2399540.4545454551</v>
          </cell>
        </row>
        <row r="2692">
          <cell r="A2692" t="str">
            <v>LPK012</v>
          </cell>
          <cell r="B2692" t="str">
            <v>PUTRI REZEKI</v>
          </cell>
          <cell r="C2692">
            <v>678477.27272727271</v>
          </cell>
          <cell r="D2692">
            <v>735936.18181818177</v>
          </cell>
        </row>
        <row r="2693">
          <cell r="A2693" t="str">
            <v>LSG016</v>
          </cell>
          <cell r="B2693" t="str">
            <v>HOUSE KOSMETIK</v>
          </cell>
          <cell r="C2693">
            <v>81262550.181818172</v>
          </cell>
        </row>
        <row r="2694">
          <cell r="A2694" t="str">
            <v>LSG022</v>
          </cell>
          <cell r="B2694" t="str">
            <v>NARATA</v>
          </cell>
          <cell r="C2694">
            <v>-95359.090909090912</v>
          </cell>
        </row>
        <row r="2695">
          <cell r="A2695" t="str">
            <v>LSW003</v>
          </cell>
          <cell r="B2695" t="str">
            <v xml:space="preserve">UD.TIARA </v>
          </cell>
          <cell r="C2695">
            <v>848404928.81818151</v>
          </cell>
          <cell r="D2695">
            <v>77020507</v>
          </cell>
        </row>
        <row r="2696">
          <cell r="A2696" t="str">
            <v>M.MODE</v>
          </cell>
          <cell r="B2696" t="str">
            <v>MITRA MODE,SEKADAU</v>
          </cell>
          <cell r="C2696">
            <v>27072109.636363644</v>
          </cell>
          <cell r="D2696">
            <v>22791959.272727281</v>
          </cell>
        </row>
        <row r="2697">
          <cell r="A2697" t="str">
            <v>M001</v>
          </cell>
          <cell r="B2697" t="str">
            <v>MAJU BERSAMA</v>
          </cell>
          <cell r="C2697">
            <v>4733750.4545454541</v>
          </cell>
          <cell r="D2697">
            <v>5582277.2727272734</v>
          </cell>
        </row>
        <row r="2698">
          <cell r="A2698" t="str">
            <v>M002</v>
          </cell>
          <cell r="B2698" t="str">
            <v>MAKE UP BLISS ID</v>
          </cell>
          <cell r="C2698">
            <v>27311056.363636371</v>
          </cell>
          <cell r="D2698">
            <v>2751272.7272727271</v>
          </cell>
        </row>
        <row r="2699">
          <cell r="A2699" t="str">
            <v>M003</v>
          </cell>
          <cell r="B2699" t="str">
            <v>MAKE UP HOLIC</v>
          </cell>
          <cell r="C2699">
            <v>20644831.13636364</v>
          </cell>
          <cell r="D2699">
            <v>13755062.000000007</v>
          </cell>
        </row>
        <row r="2700">
          <cell r="A2700" t="str">
            <v>M004</v>
          </cell>
          <cell r="B2700" t="str">
            <v>MAKMUR JAYA MART</v>
          </cell>
          <cell r="C2700">
            <v>423818.18181818177</v>
          </cell>
        </row>
        <row r="2701">
          <cell r="A2701" t="str">
            <v>M008</v>
          </cell>
          <cell r="B2701" t="str">
            <v>CV. MAJU JAYA GROSIR</v>
          </cell>
          <cell r="C2701">
            <v>177476.04545454547</v>
          </cell>
        </row>
        <row r="2702">
          <cell r="B2702" t="str">
            <v>MAMA SWL BHAKTI</v>
          </cell>
          <cell r="C2702">
            <v>217084.09090909094</v>
          </cell>
        </row>
        <row r="2703">
          <cell r="A2703" t="str">
            <v>M009</v>
          </cell>
          <cell r="B2703" t="str">
            <v>MANDIRI COS</v>
          </cell>
          <cell r="C2703">
            <v>386858.18181818182</v>
          </cell>
          <cell r="D2703">
            <v>657600</v>
          </cell>
        </row>
        <row r="2704">
          <cell r="A2704" t="str">
            <v>M010</v>
          </cell>
          <cell r="B2704" t="str">
            <v>MASYITAH</v>
          </cell>
          <cell r="C2704">
            <v>2368791.9545454551</v>
          </cell>
        </row>
        <row r="2705">
          <cell r="A2705" t="str">
            <v>M014</v>
          </cell>
          <cell r="B2705" t="str">
            <v>MEGA SARI</v>
          </cell>
          <cell r="C2705">
            <v>2112506.5909090908</v>
          </cell>
          <cell r="D2705">
            <v>3568188.8636363638</v>
          </cell>
        </row>
        <row r="2706">
          <cell r="A2706" t="str">
            <v>M015</v>
          </cell>
          <cell r="B2706" t="str">
            <v>MELLA COSMETIC</v>
          </cell>
          <cell r="C2706">
            <v>35669623.636363633</v>
          </cell>
          <cell r="D2706">
            <v>105340024.36363639</v>
          </cell>
        </row>
        <row r="2707">
          <cell r="A2707" t="str">
            <v>M018</v>
          </cell>
          <cell r="B2707" t="str">
            <v>METRO</v>
          </cell>
          <cell r="C2707">
            <v>181740.68181818182</v>
          </cell>
        </row>
        <row r="2708">
          <cell r="A2708" t="str">
            <v>M020</v>
          </cell>
          <cell r="B2708" t="str">
            <v>MIA COSMETIK</v>
          </cell>
          <cell r="C2708">
            <v>762184.54545454565</v>
          </cell>
          <cell r="D2708">
            <v>1152077.0454545452</v>
          </cell>
        </row>
        <row r="2709">
          <cell r="A2709" t="str">
            <v>M021</v>
          </cell>
          <cell r="B2709" t="str">
            <v>MILLIONARE</v>
          </cell>
          <cell r="C2709">
            <v>323539.77272727271</v>
          </cell>
        </row>
        <row r="2710">
          <cell r="A2710" t="str">
            <v>M024</v>
          </cell>
          <cell r="B2710" t="str">
            <v>MISS GLAM</v>
          </cell>
          <cell r="C2710">
            <v>216422448.49999982</v>
          </cell>
          <cell r="D2710">
            <v>109277920.90909088</v>
          </cell>
        </row>
        <row r="2711">
          <cell r="A2711" t="str">
            <v>M025</v>
          </cell>
          <cell r="B2711" t="str">
            <v>APOTIK BINTAN MEDIKA / DIDIK SUHENDRO</v>
          </cell>
          <cell r="C2711">
            <v>-70989.545454545456</v>
          </cell>
          <cell r="D2711">
            <v>-283157.72727272729</v>
          </cell>
        </row>
        <row r="2712">
          <cell r="B2712" t="str">
            <v>MITRA BASO</v>
          </cell>
          <cell r="C2712">
            <v>6422103.409090911</v>
          </cell>
          <cell r="D2712">
            <v>8665805.4545454569</v>
          </cell>
        </row>
        <row r="2713">
          <cell r="A2713" t="str">
            <v>M027</v>
          </cell>
          <cell r="B2713" t="str">
            <v>MEGA GLORY</v>
          </cell>
          <cell r="C2713">
            <v>613905.54545454576</v>
          </cell>
        </row>
        <row r="2714">
          <cell r="A2714" t="str">
            <v>M028</v>
          </cell>
          <cell r="B2714" t="str">
            <v>MM 2000</v>
          </cell>
          <cell r="C2714">
            <v>517663.63636363635</v>
          </cell>
          <cell r="D2714">
            <v>2451444.5454545468</v>
          </cell>
        </row>
        <row r="2715">
          <cell r="A2715" t="str">
            <v>M032</v>
          </cell>
          <cell r="B2715" t="str">
            <v>MM HIKMAH MANGGUNG</v>
          </cell>
          <cell r="C2715">
            <v>254925</v>
          </cell>
          <cell r="D2715">
            <v>244452.27272727276</v>
          </cell>
        </row>
        <row r="2716">
          <cell r="A2716" t="str">
            <v>M033</v>
          </cell>
          <cell r="B2716" t="str">
            <v>MM HIKMAH NAREH</v>
          </cell>
          <cell r="C2716">
            <v>386640</v>
          </cell>
          <cell r="D2716">
            <v>488510.18181818177</v>
          </cell>
        </row>
        <row r="2717">
          <cell r="A2717" t="str">
            <v>M034</v>
          </cell>
          <cell r="B2717" t="str">
            <v>MM MART</v>
          </cell>
          <cell r="C2717">
            <v>1029081.8181818181</v>
          </cell>
          <cell r="D2717">
            <v>981434.99999999988</v>
          </cell>
        </row>
        <row r="2718">
          <cell r="A2718" t="str">
            <v>M036</v>
          </cell>
          <cell r="B2718" t="str">
            <v>MM PUTRI</v>
          </cell>
          <cell r="C2718">
            <v>301161.40909090912</v>
          </cell>
          <cell r="D2718">
            <v>394983.40909090906</v>
          </cell>
        </row>
        <row r="2719">
          <cell r="A2719" t="str">
            <v>M037</v>
          </cell>
          <cell r="B2719" t="str">
            <v>MM TIGA PUTRA ML</v>
          </cell>
          <cell r="C2719">
            <v>1194246.1363636365</v>
          </cell>
        </row>
        <row r="2720">
          <cell r="A2720" t="str">
            <v>M039</v>
          </cell>
          <cell r="B2720" t="str">
            <v>MONICA COSMETIC</v>
          </cell>
          <cell r="C2720">
            <v>788907.27272727282</v>
          </cell>
          <cell r="D2720">
            <v>748618.18181818165</v>
          </cell>
        </row>
        <row r="2721">
          <cell r="A2721" t="str">
            <v>M040</v>
          </cell>
          <cell r="B2721" t="str">
            <v>MUTIARA STORE</v>
          </cell>
          <cell r="C2721">
            <v>1106064.5454545454</v>
          </cell>
        </row>
        <row r="2722">
          <cell r="A2722" t="str">
            <v>M047</v>
          </cell>
          <cell r="B2722" t="str">
            <v>MAHKOTA STORE</v>
          </cell>
          <cell r="C2722">
            <v>5819154.5454545468</v>
          </cell>
        </row>
        <row r="2723">
          <cell r="A2723" t="str">
            <v>M048</v>
          </cell>
          <cell r="B2723" t="str">
            <v>MITRA SARANA</v>
          </cell>
          <cell r="C2723">
            <v>367800</v>
          </cell>
          <cell r="D2723">
            <v>1437473.1818181819</v>
          </cell>
        </row>
        <row r="2724">
          <cell r="A2724" t="str">
            <v>M057</v>
          </cell>
          <cell r="B2724" t="str">
            <v>MAN BASO</v>
          </cell>
          <cell r="C2724">
            <v>1319692.7272727273</v>
          </cell>
          <cell r="D2724">
            <v>241479.09090909091</v>
          </cell>
        </row>
        <row r="2725">
          <cell r="A2725" t="str">
            <v>M058</v>
          </cell>
          <cell r="B2725" t="str">
            <v>MISS GLAM BKT</v>
          </cell>
          <cell r="C2725">
            <v>119480473.77272725</v>
          </cell>
          <cell r="D2725">
            <v>43196923.81818182</v>
          </cell>
        </row>
        <row r="2726">
          <cell r="A2726" t="str">
            <v>M063</v>
          </cell>
          <cell r="B2726" t="str">
            <v>MM. PELANGI / LENA</v>
          </cell>
          <cell r="C2726">
            <v>862044.54545454541</v>
          </cell>
          <cell r="D2726">
            <v>1173857.1818181816</v>
          </cell>
        </row>
        <row r="2727">
          <cell r="A2727" t="str">
            <v>M065</v>
          </cell>
          <cell r="B2727" t="str">
            <v>MAMA COSS 3</v>
          </cell>
          <cell r="C2727">
            <v>4066405.9090909092</v>
          </cell>
          <cell r="D2727">
            <v>3554611.3636363628</v>
          </cell>
        </row>
        <row r="2728">
          <cell r="A2728" t="str">
            <v>M067</v>
          </cell>
          <cell r="B2728" t="str">
            <v>MOOI BEAUTY AND MAKEUP STORE</v>
          </cell>
          <cell r="C2728">
            <v>3304849.3181818184</v>
          </cell>
          <cell r="D2728">
            <v>14373405</v>
          </cell>
        </row>
        <row r="2729">
          <cell r="B2729" t="str">
            <v>M MART / MELLY</v>
          </cell>
          <cell r="D2729">
            <v>-1854.2045454545457</v>
          </cell>
        </row>
        <row r="2730">
          <cell r="A2730" t="str">
            <v>M070</v>
          </cell>
          <cell r="B2730" t="str">
            <v>MISS GLAM DAMAR</v>
          </cell>
          <cell r="C2730">
            <v>173970755.13636363</v>
          </cell>
          <cell r="D2730">
            <v>95846919.272727221</v>
          </cell>
        </row>
        <row r="2731">
          <cell r="A2731" t="str">
            <v>M072</v>
          </cell>
          <cell r="B2731" t="str">
            <v>MISS GLAM PAYAKUMBUH</v>
          </cell>
          <cell r="C2731">
            <v>73483648.772727266</v>
          </cell>
          <cell r="D2731">
            <v>51126838.318181813</v>
          </cell>
        </row>
        <row r="2732">
          <cell r="A2732" t="str">
            <v>M076</v>
          </cell>
          <cell r="B2732" t="str">
            <v>MITRA MART / ATJUI</v>
          </cell>
          <cell r="C2732">
            <v>84000</v>
          </cell>
        </row>
        <row r="2733">
          <cell r="A2733" t="str">
            <v>M079</v>
          </cell>
          <cell r="B2733" t="str">
            <v>MISS GLAM SOLOK</v>
          </cell>
          <cell r="C2733">
            <v>78404835.681818187</v>
          </cell>
          <cell r="D2733">
            <v>50639230.590909064</v>
          </cell>
        </row>
        <row r="2734">
          <cell r="A2734" t="str">
            <v>M080</v>
          </cell>
          <cell r="B2734" t="str">
            <v>MARIANA / MARYANTO</v>
          </cell>
          <cell r="C2734">
            <v>225126.13636363635</v>
          </cell>
          <cell r="D2734">
            <v>545665.90909090906</v>
          </cell>
        </row>
        <row r="2735">
          <cell r="B2735" t="str">
            <v>MM LULU</v>
          </cell>
          <cell r="C2735">
            <v>1771789.0909090908</v>
          </cell>
          <cell r="D2735">
            <v>7360388.1818181835</v>
          </cell>
        </row>
        <row r="2736">
          <cell r="A2736" t="str">
            <v>M081</v>
          </cell>
          <cell r="B2736" t="str">
            <v>MEGA STORE BKT</v>
          </cell>
          <cell r="C2736">
            <v>317863.63636363635</v>
          </cell>
          <cell r="D2736">
            <v>434154.54545454553</v>
          </cell>
        </row>
        <row r="2737">
          <cell r="A2737" t="str">
            <v>M082</v>
          </cell>
          <cell r="B2737" t="str">
            <v>MM BATU BAJAK</v>
          </cell>
          <cell r="C2737">
            <v>505630.22727272724</v>
          </cell>
          <cell r="D2737">
            <v>538249.09090909082</v>
          </cell>
        </row>
        <row r="2738">
          <cell r="A2738" t="str">
            <v>M084</v>
          </cell>
          <cell r="B2738" t="str">
            <v>MARIN SHOP</v>
          </cell>
          <cell r="C2738">
            <v>11950891.363636371</v>
          </cell>
          <cell r="D2738">
            <v>4635241.3636363633</v>
          </cell>
        </row>
        <row r="2739">
          <cell r="A2739" t="str">
            <v>M088</v>
          </cell>
          <cell r="B2739" t="str">
            <v>ME N MOM STORE</v>
          </cell>
          <cell r="C2739">
            <v>10798714.090909092</v>
          </cell>
          <cell r="D2739">
            <v>727648.63636363635</v>
          </cell>
        </row>
        <row r="2740">
          <cell r="A2740" t="str">
            <v>M089</v>
          </cell>
          <cell r="B2740" t="str">
            <v>MISS GLAM RANTAU PRAPAT</v>
          </cell>
          <cell r="C2740">
            <v>4920334.0909090899</v>
          </cell>
        </row>
        <row r="2741">
          <cell r="A2741" t="str">
            <v>M090</v>
          </cell>
          <cell r="B2741" t="str">
            <v>MULIA MART</v>
          </cell>
          <cell r="C2741">
            <v>240000</v>
          </cell>
        </row>
        <row r="2742">
          <cell r="A2742" t="str">
            <v>M131</v>
          </cell>
          <cell r="B2742" t="str">
            <v>MELIA</v>
          </cell>
          <cell r="C2742">
            <v>140974414.24909097</v>
          </cell>
          <cell r="D2742">
            <v>131693514.77272727</v>
          </cell>
        </row>
        <row r="2743">
          <cell r="A2743" t="str">
            <v>M151</v>
          </cell>
          <cell r="B2743" t="str">
            <v>MUDAH REZEKI / HENG TJIAM TJHU</v>
          </cell>
          <cell r="C2743">
            <v>1875604.6363636362</v>
          </cell>
          <cell r="D2743">
            <v>975260.18181818165</v>
          </cell>
        </row>
        <row r="2744">
          <cell r="A2744" t="str">
            <v>M160</v>
          </cell>
          <cell r="B2744" t="str">
            <v>MECC UP / TESA RAHMELIA</v>
          </cell>
          <cell r="C2744">
            <v>2347410</v>
          </cell>
          <cell r="D2744">
            <v>3992950.227272728</v>
          </cell>
        </row>
        <row r="2745">
          <cell r="A2745" t="str">
            <v>M161</v>
          </cell>
          <cell r="B2745" t="str">
            <v>CV. ANANTA PRIMA PERDANA</v>
          </cell>
          <cell r="C2745">
            <v>489960</v>
          </cell>
        </row>
        <row r="2746">
          <cell r="A2746" t="str">
            <v>M202</v>
          </cell>
          <cell r="B2746" t="str">
            <v>MITRA RAYA / CHRISANDER DJIE</v>
          </cell>
          <cell r="C2746">
            <v>55626.136363636375</v>
          </cell>
          <cell r="D2746">
            <v>37084.090909090912</v>
          </cell>
        </row>
        <row r="2747">
          <cell r="A2747" t="str">
            <v>M214</v>
          </cell>
          <cell r="B2747" t="str">
            <v>MM SEJAHTERA 2 / BOYATIN</v>
          </cell>
          <cell r="C2747">
            <v>37084.090909090912</v>
          </cell>
        </row>
        <row r="2748">
          <cell r="A2748" t="str">
            <v>M216</v>
          </cell>
          <cell r="B2748" t="str">
            <v>MAMA FRESH / MARTEN AMOS</v>
          </cell>
          <cell r="C2748">
            <v>-18900</v>
          </cell>
          <cell r="D2748">
            <v>168000</v>
          </cell>
        </row>
        <row r="2749">
          <cell r="A2749" t="str">
            <v>M220</v>
          </cell>
          <cell r="B2749" t="str">
            <v>PT. MONI OSHA INOVASI</v>
          </cell>
          <cell r="C2749">
            <v>178930826.90636352</v>
          </cell>
          <cell r="D2749">
            <v>66373953.227272727</v>
          </cell>
        </row>
        <row r="2750">
          <cell r="A2750" t="str">
            <v>M221</v>
          </cell>
          <cell r="B2750" t="str">
            <v>MAKMUR ABADI / SOFYAN CANTRIO</v>
          </cell>
          <cell r="C2750">
            <v>454545</v>
          </cell>
          <cell r="D2750">
            <v>428056.36363636365</v>
          </cell>
        </row>
        <row r="2751">
          <cell r="A2751" t="str">
            <v>M224</v>
          </cell>
          <cell r="B2751" t="str">
            <v>MAMA FRESH PASAR MODERN / MARTEN AMOS</v>
          </cell>
          <cell r="C2751">
            <v>1858022.4545454546</v>
          </cell>
          <cell r="D2751">
            <v>361410</v>
          </cell>
        </row>
        <row r="2752">
          <cell r="A2752" t="str">
            <v>MA3</v>
          </cell>
          <cell r="B2752" t="str">
            <v>MITRA ABADI,TK</v>
          </cell>
          <cell r="C2752">
            <v>559134</v>
          </cell>
          <cell r="D2752">
            <v>837267.95454545459</v>
          </cell>
        </row>
        <row r="2753">
          <cell r="A2753" t="str">
            <v>MANS</v>
          </cell>
          <cell r="B2753" t="str">
            <v>MANJUR, APOTEK</v>
          </cell>
          <cell r="C2753">
            <v>399600.00000000012</v>
          </cell>
          <cell r="D2753">
            <v>711540</v>
          </cell>
        </row>
        <row r="2754">
          <cell r="A2754" t="str">
            <v>MART</v>
          </cell>
          <cell r="B2754" t="str">
            <v>GRAND MART,SM</v>
          </cell>
          <cell r="C2754">
            <v>2512514.3181818184</v>
          </cell>
          <cell r="D2754">
            <v>1390047.9545454544</v>
          </cell>
        </row>
        <row r="2755">
          <cell r="A2755" t="str">
            <v>MA-SM</v>
          </cell>
          <cell r="B2755" t="str">
            <v>MITRA ANDA - B024</v>
          </cell>
          <cell r="C2755">
            <v>4132741.7727272725</v>
          </cell>
          <cell r="D2755">
            <v>6666131.8636363633</v>
          </cell>
        </row>
        <row r="2756">
          <cell r="A2756" t="str">
            <v>MDG001</v>
          </cell>
          <cell r="B2756" t="str">
            <v>EVA FARMA</v>
          </cell>
          <cell r="C2756">
            <v>4000428.8181818188</v>
          </cell>
          <cell r="D2756">
            <v>3285803.6363636367</v>
          </cell>
        </row>
        <row r="2757">
          <cell r="A2757" t="str">
            <v>MDG003</v>
          </cell>
          <cell r="B2757" t="str">
            <v>TOKO OBAT NATASARI</v>
          </cell>
          <cell r="C2757">
            <v>7858456.3636363633</v>
          </cell>
        </row>
        <row r="2758">
          <cell r="A2758" t="str">
            <v>MDN008</v>
          </cell>
          <cell r="B2758" t="str">
            <v>ISTANA KADO</v>
          </cell>
          <cell r="C2758">
            <v>1488370.6818181823</v>
          </cell>
          <cell r="D2758">
            <v>506531.81818181812</v>
          </cell>
        </row>
        <row r="2759">
          <cell r="A2759" t="str">
            <v>MDN011</v>
          </cell>
          <cell r="B2759" t="str">
            <v>TOKO UPIK</v>
          </cell>
          <cell r="C2759">
            <v>2682998.8636363638</v>
          </cell>
        </row>
        <row r="2760">
          <cell r="A2760" t="str">
            <v>MDN012</v>
          </cell>
          <cell r="B2760" t="str">
            <v>TOKO ENDANG BELAWAN</v>
          </cell>
          <cell r="C2760">
            <v>5895238.3636363624</v>
          </cell>
          <cell r="D2760">
            <v>5469384.5454545459</v>
          </cell>
        </row>
        <row r="2761">
          <cell r="A2761" t="str">
            <v>MDN015</v>
          </cell>
          <cell r="B2761" t="str">
            <v>ASIONG</v>
          </cell>
          <cell r="C2761">
            <v>787793352.72727299</v>
          </cell>
          <cell r="D2761">
            <v>66706237.227272764</v>
          </cell>
        </row>
        <row r="2762">
          <cell r="A2762" t="str">
            <v>MDN021</v>
          </cell>
          <cell r="B2762" t="str">
            <v>TOKO UD ABEL SINUHAJI/SEBELAH WARMAT</v>
          </cell>
          <cell r="C2762">
            <v>3461701.3636363628</v>
          </cell>
          <cell r="D2762">
            <v>-315214.77272727271</v>
          </cell>
        </row>
        <row r="2763">
          <cell r="A2763" t="str">
            <v>MDN032</v>
          </cell>
          <cell r="B2763" t="str">
            <v>ZALFA COSMETICS</v>
          </cell>
          <cell r="C2763">
            <v>178000</v>
          </cell>
        </row>
        <row r="2764">
          <cell r="A2764" t="str">
            <v>MDN033</v>
          </cell>
          <cell r="B2764" t="str">
            <v>GRACE</v>
          </cell>
          <cell r="C2764">
            <v>208685.22727272729</v>
          </cell>
          <cell r="D2764">
            <v>145547.72727272726</v>
          </cell>
        </row>
        <row r="2765">
          <cell r="A2765" t="str">
            <v>MDN036</v>
          </cell>
          <cell r="B2765" t="str">
            <v>JAYA BARU</v>
          </cell>
          <cell r="C2765">
            <v>2912020.2272727275</v>
          </cell>
          <cell r="D2765">
            <v>6078929.3181818202</v>
          </cell>
        </row>
        <row r="2766">
          <cell r="A2766" t="str">
            <v>MDN038</v>
          </cell>
          <cell r="B2766" t="str">
            <v>YASMINE</v>
          </cell>
          <cell r="C2766">
            <v>1105445.4545454546</v>
          </cell>
        </row>
        <row r="2767">
          <cell r="A2767" t="str">
            <v>MDN041</v>
          </cell>
          <cell r="B2767" t="str">
            <v>KENZO COS</v>
          </cell>
          <cell r="C2767">
            <v>520561.36363636359</v>
          </cell>
        </row>
        <row r="2768">
          <cell r="A2768" t="str">
            <v>MDN043</v>
          </cell>
          <cell r="B2768" t="str">
            <v>TOKO OCHA</v>
          </cell>
          <cell r="C2768">
            <v>432900</v>
          </cell>
          <cell r="D2768">
            <v>1219990.9090909092</v>
          </cell>
        </row>
        <row r="2769">
          <cell r="A2769" t="str">
            <v>MDN052</v>
          </cell>
          <cell r="B2769" t="str">
            <v>CITRA FANS</v>
          </cell>
          <cell r="C2769">
            <v>2332369.7727272739</v>
          </cell>
          <cell r="D2769">
            <v>2261792.4545454546</v>
          </cell>
        </row>
        <row r="2770">
          <cell r="A2770" t="str">
            <v>MDN054</v>
          </cell>
          <cell r="B2770" t="str">
            <v>SERBU CITRA</v>
          </cell>
          <cell r="C2770">
            <v>2684880</v>
          </cell>
          <cell r="D2770">
            <v>2360810.4545454541</v>
          </cell>
        </row>
        <row r="2771">
          <cell r="A2771" t="str">
            <v>MDN055</v>
          </cell>
          <cell r="B2771" t="str">
            <v>SERBU ACEN</v>
          </cell>
          <cell r="C2771">
            <v>1645535.9090909089</v>
          </cell>
          <cell r="D2771">
            <v>2326832.7272727275</v>
          </cell>
        </row>
        <row r="2772">
          <cell r="A2772" t="str">
            <v>MDN069</v>
          </cell>
          <cell r="B2772" t="str">
            <v>AUDREY COS</v>
          </cell>
          <cell r="C2772">
            <v>2216660.9090909092</v>
          </cell>
          <cell r="D2772">
            <v>3862092.2727272725</v>
          </cell>
        </row>
        <row r="2773">
          <cell r="A2773" t="str">
            <v>MDN071</v>
          </cell>
          <cell r="B2773" t="str">
            <v>PINK COSMETICS</v>
          </cell>
          <cell r="C2773">
            <v>6824546.3636363642</v>
          </cell>
          <cell r="D2773">
            <v>13617300.000000006</v>
          </cell>
        </row>
        <row r="2774">
          <cell r="A2774" t="str">
            <v>MDN073</v>
          </cell>
          <cell r="B2774" t="str">
            <v>TOKO SINAR BARU</v>
          </cell>
          <cell r="C2774">
            <v>2549584.0909090918</v>
          </cell>
          <cell r="D2774">
            <v>2190251.8636363642</v>
          </cell>
        </row>
        <row r="2775">
          <cell r="A2775" t="str">
            <v>MDN075</v>
          </cell>
          <cell r="B2775" t="str">
            <v>TOKO HAMONAGAN</v>
          </cell>
          <cell r="C2775">
            <v>691353.40909090894</v>
          </cell>
          <cell r="D2775">
            <v>344579.31818181818</v>
          </cell>
        </row>
        <row r="2776">
          <cell r="A2776" t="str">
            <v>MDN076</v>
          </cell>
          <cell r="B2776" t="str">
            <v>CASH</v>
          </cell>
          <cell r="C2776">
            <v>385659209.31636357</v>
          </cell>
        </row>
        <row r="2777">
          <cell r="A2777" t="str">
            <v>MDN084</v>
          </cell>
          <cell r="B2777" t="str">
            <v>PT. MEGAH TETAP SAKTI</v>
          </cell>
          <cell r="C2777">
            <v>2288618.1818181821</v>
          </cell>
          <cell r="D2777">
            <v>2784485.4545454551</v>
          </cell>
        </row>
        <row r="2778">
          <cell r="A2778" t="str">
            <v>MDN093</v>
          </cell>
          <cell r="B2778" t="str">
            <v>RAMLI COSMETIC</v>
          </cell>
          <cell r="C2778">
            <v>817883.18181818177</v>
          </cell>
          <cell r="D2778">
            <v>463909.09090909088</v>
          </cell>
        </row>
        <row r="2779">
          <cell r="A2779" t="str">
            <v>MDN098</v>
          </cell>
          <cell r="B2779" t="str">
            <v>KHANZANA</v>
          </cell>
          <cell r="C2779">
            <v>2637553.6363636367</v>
          </cell>
          <cell r="D2779">
            <v>1946413.6363636362</v>
          </cell>
        </row>
        <row r="2780">
          <cell r="A2780" t="str">
            <v>MDN100</v>
          </cell>
          <cell r="B2780" t="str">
            <v>TOKO BERKAT ABADI</v>
          </cell>
          <cell r="C2780">
            <v>2408958.7954545454</v>
          </cell>
          <cell r="D2780">
            <v>2588784.5454545459</v>
          </cell>
        </row>
        <row r="2781">
          <cell r="A2781" t="str">
            <v>MDN101</v>
          </cell>
          <cell r="B2781" t="str">
            <v>AMAR COS</v>
          </cell>
          <cell r="C2781">
            <v>384463.63636363635</v>
          </cell>
        </row>
        <row r="2782">
          <cell r="A2782" t="str">
            <v>MDN102</v>
          </cell>
          <cell r="B2782" t="str">
            <v>REGAR COS</v>
          </cell>
          <cell r="C2782">
            <v>-114430.9090909091</v>
          </cell>
        </row>
        <row r="2783">
          <cell r="A2783" t="str">
            <v>MDN109</v>
          </cell>
          <cell r="B2783" t="str">
            <v>TOKO NANDO COSMETIC</v>
          </cell>
          <cell r="C2783">
            <v>177000</v>
          </cell>
          <cell r="D2783">
            <v>657308.63636363624</v>
          </cell>
        </row>
        <row r="2784">
          <cell r="A2784" t="str">
            <v>MDN112</v>
          </cell>
          <cell r="B2784" t="str">
            <v>HANS COSMETIC</v>
          </cell>
          <cell r="C2784">
            <v>1654476.8181818184</v>
          </cell>
          <cell r="D2784">
            <v>3924859.0909090927</v>
          </cell>
        </row>
        <row r="2785">
          <cell r="A2785" t="str">
            <v>MDN113</v>
          </cell>
          <cell r="B2785" t="str">
            <v>RAYMOND COSMETIC</v>
          </cell>
          <cell r="C2785">
            <v>654245.45454545447</v>
          </cell>
          <cell r="D2785">
            <v>-34223.318181818184</v>
          </cell>
        </row>
        <row r="2786">
          <cell r="A2786" t="str">
            <v>MDN114</v>
          </cell>
          <cell r="B2786" t="str">
            <v>TOKO ENDANG KUALA</v>
          </cell>
          <cell r="C2786">
            <v>1675628.1818181819</v>
          </cell>
        </row>
        <row r="2787">
          <cell r="A2787" t="str">
            <v>MDN115</v>
          </cell>
          <cell r="B2787" t="str">
            <v>TOKO LENI</v>
          </cell>
          <cell r="C2787">
            <v>2049708.1818181816</v>
          </cell>
        </row>
        <row r="2788">
          <cell r="A2788" t="str">
            <v>MDN117</v>
          </cell>
          <cell r="B2788" t="str">
            <v>TOKO GEISHA</v>
          </cell>
          <cell r="C2788">
            <v>366931.81818181818</v>
          </cell>
        </row>
        <row r="2789">
          <cell r="A2789" t="str">
            <v>MDN119</v>
          </cell>
          <cell r="B2789" t="str">
            <v>TOKO DEDI</v>
          </cell>
          <cell r="C2789">
            <v>718916.36363636353</v>
          </cell>
          <cell r="D2789">
            <v>1572213.1818181819</v>
          </cell>
        </row>
        <row r="2790">
          <cell r="A2790" t="str">
            <v>MDN120</v>
          </cell>
          <cell r="B2790" t="str">
            <v>TOKO WILCHEL</v>
          </cell>
          <cell r="C2790">
            <v>2409330099.886363</v>
          </cell>
          <cell r="D2790">
            <v>458992276.36363637</v>
          </cell>
        </row>
        <row r="2791">
          <cell r="A2791" t="str">
            <v>MDN121</v>
          </cell>
          <cell r="B2791" t="str">
            <v>ACHIN COSMETIC / NATALIE</v>
          </cell>
          <cell r="C2791">
            <v>2205617837.4545431</v>
          </cell>
          <cell r="D2791">
            <v>1525635493.363636</v>
          </cell>
        </row>
        <row r="2792">
          <cell r="A2792" t="str">
            <v>MDN123</v>
          </cell>
          <cell r="B2792" t="str">
            <v>BEAUTY COSMETIC</v>
          </cell>
          <cell r="C2792">
            <v>2208392000.1818171</v>
          </cell>
          <cell r="D2792">
            <v>1386923788.3636348</v>
          </cell>
        </row>
        <row r="2793">
          <cell r="A2793" t="str">
            <v>MDN138</v>
          </cell>
          <cell r="B2793" t="str">
            <v>CINDY</v>
          </cell>
          <cell r="C2793">
            <v>-99643.035000000018</v>
          </cell>
          <cell r="D2793">
            <v>2521793.1818181816</v>
          </cell>
        </row>
        <row r="2794">
          <cell r="A2794" t="str">
            <v>MDN140</v>
          </cell>
          <cell r="B2794" t="str">
            <v>FEN COS</v>
          </cell>
          <cell r="C2794">
            <v>546725.45454545447</v>
          </cell>
        </row>
        <row r="2795">
          <cell r="A2795" t="str">
            <v>MDN149</v>
          </cell>
          <cell r="B2795" t="str">
            <v>CLAUDIA</v>
          </cell>
          <cell r="C2795">
            <v>288363.63636363635</v>
          </cell>
        </row>
        <row r="2796">
          <cell r="A2796" t="str">
            <v>MDN164</v>
          </cell>
          <cell r="B2796" t="str">
            <v>RAPTAMA COSMETIC</v>
          </cell>
          <cell r="C2796">
            <v>398863.63636363629</v>
          </cell>
          <cell r="D2796">
            <v>464444.99999999994</v>
          </cell>
        </row>
        <row r="2797">
          <cell r="A2797" t="str">
            <v>MDN171</v>
          </cell>
          <cell r="B2797" t="str">
            <v>TINI</v>
          </cell>
          <cell r="C2797">
            <v>-137000</v>
          </cell>
        </row>
        <row r="2798">
          <cell r="A2798" t="str">
            <v>MDN173</v>
          </cell>
          <cell r="B2798" t="str">
            <v>TOKO LAKSMI</v>
          </cell>
          <cell r="C2798">
            <v>133200.00000000003</v>
          </cell>
        </row>
        <row r="2799">
          <cell r="A2799" t="str">
            <v>MDN181</v>
          </cell>
          <cell r="B2799" t="str">
            <v>YULI SIMP.LIMUN</v>
          </cell>
          <cell r="C2799">
            <v>735929.99999999988</v>
          </cell>
        </row>
        <row r="2800">
          <cell r="A2800" t="str">
            <v>MDN182</v>
          </cell>
          <cell r="B2800" t="str">
            <v>TOKO DAUS</v>
          </cell>
          <cell r="C2800">
            <v>5902298.5909090918</v>
          </cell>
          <cell r="D2800">
            <v>5492334.7727272725</v>
          </cell>
        </row>
        <row r="2801">
          <cell r="A2801" t="str">
            <v>MDN200</v>
          </cell>
          <cell r="B2801" t="str">
            <v>IDA COSMETIC PUSAT PASAR</v>
          </cell>
          <cell r="C2801">
            <v>8148425.2727272734</v>
          </cell>
          <cell r="D2801">
            <v>15952810.90909091</v>
          </cell>
        </row>
        <row r="2802">
          <cell r="A2802" t="str">
            <v>MDN205</v>
          </cell>
          <cell r="B2802" t="str">
            <v>SIANTURI I</v>
          </cell>
          <cell r="C2802">
            <v>39271363.63636364</v>
          </cell>
          <cell r="D2802">
            <v>12261501.818181816</v>
          </cell>
        </row>
        <row r="2803">
          <cell r="A2803" t="str">
            <v>MDN214</v>
          </cell>
          <cell r="B2803" t="str">
            <v>TOKO UJANG</v>
          </cell>
          <cell r="C2803">
            <v>1089327.2727272727</v>
          </cell>
          <cell r="D2803">
            <v>317863.63636363635</v>
          </cell>
        </row>
        <row r="2804">
          <cell r="A2804" t="str">
            <v>MDN218</v>
          </cell>
          <cell r="B2804" t="str">
            <v>IIS PONSEL</v>
          </cell>
          <cell r="C2804">
            <v>2976601.5245454549</v>
          </cell>
          <cell r="D2804">
            <v>2105540.9090909092</v>
          </cell>
        </row>
        <row r="2805">
          <cell r="A2805" t="str">
            <v>MDN221</v>
          </cell>
          <cell r="B2805" t="str">
            <v>UD. KURNIA</v>
          </cell>
          <cell r="C2805">
            <v>1503376.3636363638</v>
          </cell>
          <cell r="D2805">
            <v>953590.90909090894</v>
          </cell>
        </row>
        <row r="2806">
          <cell r="A2806" t="str">
            <v>MDN227</v>
          </cell>
          <cell r="B2806" t="str">
            <v>TOKO RIFAI</v>
          </cell>
          <cell r="C2806">
            <v>950762.95454545459</v>
          </cell>
          <cell r="D2806">
            <v>1659948.1818181821</v>
          </cell>
        </row>
        <row r="2807">
          <cell r="A2807" t="str">
            <v>MDN238</v>
          </cell>
          <cell r="B2807" t="str">
            <v>BEAUTIFULL</v>
          </cell>
          <cell r="C2807">
            <v>393999.54545454541</v>
          </cell>
        </row>
        <row r="2808">
          <cell r="A2808" t="str">
            <v>MDN240</v>
          </cell>
          <cell r="B2808" t="str">
            <v>TOKO TIARA PELANGI</v>
          </cell>
          <cell r="C2808">
            <v>836386.31818181823</v>
          </cell>
          <cell r="D2808">
            <v>726510.68181818188</v>
          </cell>
        </row>
        <row r="2809">
          <cell r="A2809" t="str">
            <v>MDN255</v>
          </cell>
          <cell r="B2809" t="str">
            <v>PLANGKARAYA PASAR BUAH</v>
          </cell>
          <cell r="C2809">
            <v>354687.95454545453</v>
          </cell>
          <cell r="D2809">
            <v>779655.68181818188</v>
          </cell>
        </row>
        <row r="2810">
          <cell r="A2810" t="str">
            <v>MDN256</v>
          </cell>
          <cell r="B2810" t="str">
            <v>PONDOK INDAH PASAR BUAH</v>
          </cell>
          <cell r="C2810">
            <v>461536.36363636376</v>
          </cell>
          <cell r="D2810">
            <v>703462.50000000023</v>
          </cell>
        </row>
        <row r="2811">
          <cell r="A2811" t="str">
            <v>MDN257</v>
          </cell>
          <cell r="B2811" t="str">
            <v>CEMARA ASRI PASAR BUAH</v>
          </cell>
          <cell r="C2811">
            <v>1197221.7272727273</v>
          </cell>
          <cell r="D2811">
            <v>1232734.0909090911</v>
          </cell>
        </row>
        <row r="2812">
          <cell r="A2812" t="str">
            <v>MDN258</v>
          </cell>
          <cell r="B2812" t="str">
            <v>BAHAGIA SWALAYAN 1</v>
          </cell>
          <cell r="C2812">
            <v>604452.27272727282</v>
          </cell>
          <cell r="D2812">
            <v>864102.27272727282</v>
          </cell>
        </row>
        <row r="2813">
          <cell r="A2813" t="str">
            <v>MDN259</v>
          </cell>
          <cell r="B2813" t="str">
            <v>BAHAGIA SWALAYAN 2</v>
          </cell>
          <cell r="C2813">
            <v>1841747.7272727278</v>
          </cell>
          <cell r="D2813">
            <v>538764.54545454553</v>
          </cell>
        </row>
        <row r="2814">
          <cell r="A2814" t="str">
            <v>MDN264</v>
          </cell>
          <cell r="B2814" t="str">
            <v>OKE GAPERTA</v>
          </cell>
          <cell r="C2814">
            <v>5200522.6363636367</v>
          </cell>
          <cell r="D2814">
            <v>4982406.2727272725</v>
          </cell>
        </row>
        <row r="2815">
          <cell r="A2815" t="str">
            <v>MDN265</v>
          </cell>
          <cell r="B2815" t="str">
            <v>DIAMOND KARYA</v>
          </cell>
          <cell r="C2815">
            <v>3718939.909090911</v>
          </cell>
          <cell r="D2815">
            <v>4086679.5000000019</v>
          </cell>
        </row>
        <row r="2816">
          <cell r="A2816" t="str">
            <v>MDN268</v>
          </cell>
          <cell r="B2816" t="str">
            <v>BINA JOHOR SWALAYAN</v>
          </cell>
          <cell r="C2816">
            <v>446385.68181818188</v>
          </cell>
          <cell r="D2816">
            <v>227131.36363636365</v>
          </cell>
        </row>
        <row r="2817">
          <cell r="A2817" t="str">
            <v>MDN269</v>
          </cell>
          <cell r="B2817" t="str">
            <v>BINA MARINDAL SWALAYAN</v>
          </cell>
          <cell r="C2817">
            <v>313200.00000000006</v>
          </cell>
          <cell r="D2817">
            <v>689400.00000000012</v>
          </cell>
        </row>
        <row r="2818">
          <cell r="A2818" t="str">
            <v>MDN277</v>
          </cell>
          <cell r="B2818" t="str">
            <v>AMPLAS SWALAYAN</v>
          </cell>
          <cell r="C2818">
            <v>370452.27272727276</v>
          </cell>
          <cell r="D2818">
            <v>170057.04545454547</v>
          </cell>
        </row>
        <row r="2819">
          <cell r="A2819" t="str">
            <v>MDN280</v>
          </cell>
          <cell r="B2819" t="str">
            <v>TOKO REPA</v>
          </cell>
          <cell r="C2819">
            <v>9207761.5909090955</v>
          </cell>
          <cell r="D2819">
            <v>8472340.2272727303</v>
          </cell>
        </row>
        <row r="2820">
          <cell r="A2820" t="str">
            <v>MDN284</v>
          </cell>
          <cell r="B2820" t="str">
            <v>TOKO DELI BARU</v>
          </cell>
          <cell r="C2820">
            <v>1207655.3181818179</v>
          </cell>
          <cell r="D2820">
            <v>1660903.6363636367</v>
          </cell>
        </row>
        <row r="2821">
          <cell r="A2821" t="str">
            <v>MDN286</v>
          </cell>
          <cell r="B2821" t="str">
            <v>UD. TERPIMPIN</v>
          </cell>
          <cell r="C2821">
            <v>1747225.2272727273</v>
          </cell>
          <cell r="D2821">
            <v>1782442.2272727275</v>
          </cell>
        </row>
        <row r="2822">
          <cell r="A2822" t="str">
            <v>MDN287</v>
          </cell>
          <cell r="B2822" t="str">
            <v>GLORIA SWALAYAN</v>
          </cell>
          <cell r="C2822">
            <v>1207200</v>
          </cell>
          <cell r="D2822">
            <v>1414200</v>
          </cell>
        </row>
        <row r="2823">
          <cell r="A2823" t="str">
            <v>MDN289</v>
          </cell>
          <cell r="B2823" t="str">
            <v>JULI MART</v>
          </cell>
          <cell r="C2823">
            <v>1110995.4545454546</v>
          </cell>
          <cell r="D2823">
            <v>1431200.4545454544</v>
          </cell>
        </row>
        <row r="2824">
          <cell r="A2824" t="str">
            <v>MDN294</v>
          </cell>
          <cell r="B2824" t="str">
            <v>CHYKES MM</v>
          </cell>
          <cell r="C2824">
            <v>188826.13636363641</v>
          </cell>
          <cell r="D2824">
            <v>-24104.659090909092</v>
          </cell>
        </row>
        <row r="2825">
          <cell r="A2825" t="str">
            <v>MDN297</v>
          </cell>
          <cell r="B2825" t="str">
            <v>SUN SWALAYAN</v>
          </cell>
          <cell r="C2825">
            <v>2900254.7727272729</v>
          </cell>
          <cell r="D2825">
            <v>3438699.5454545473</v>
          </cell>
        </row>
        <row r="2826">
          <cell r="A2826" t="str">
            <v>MDN304</v>
          </cell>
          <cell r="B2826" t="str">
            <v>UCI MARKET</v>
          </cell>
          <cell r="C2826">
            <v>598395</v>
          </cell>
          <cell r="D2826">
            <v>151237.5</v>
          </cell>
        </row>
        <row r="2827">
          <cell r="A2827" t="str">
            <v>MDN305</v>
          </cell>
          <cell r="B2827" t="str">
            <v>SUMBER ANUGRAH SWALAYAN</v>
          </cell>
          <cell r="C2827">
            <v>3603065.4545454551</v>
          </cell>
          <cell r="D2827">
            <v>1993111.3636363633</v>
          </cell>
        </row>
        <row r="2828">
          <cell r="A2828" t="str">
            <v>MDN307</v>
          </cell>
          <cell r="B2828" t="str">
            <v>ANUGRAH MARELAN</v>
          </cell>
          <cell r="C2828">
            <v>-79465.909090909088</v>
          </cell>
        </row>
        <row r="2829">
          <cell r="A2829" t="str">
            <v>MDN308</v>
          </cell>
          <cell r="B2829" t="str">
            <v>SMART SHOP</v>
          </cell>
          <cell r="C2829">
            <v>246344.31818181818</v>
          </cell>
          <cell r="D2829">
            <v>659491.36363636365</v>
          </cell>
        </row>
        <row r="2830">
          <cell r="A2830" t="str">
            <v>MDN311</v>
          </cell>
          <cell r="B2830" t="str">
            <v>METRO MEDAN</v>
          </cell>
          <cell r="C2830">
            <v>3742176.8181818184</v>
          </cell>
          <cell r="D2830">
            <v>4915201.3636363642</v>
          </cell>
        </row>
        <row r="2831">
          <cell r="A2831" t="str">
            <v>MDN314</v>
          </cell>
          <cell r="B2831" t="str">
            <v>IDO 1</v>
          </cell>
          <cell r="C2831">
            <v>3242515.9090909092</v>
          </cell>
          <cell r="D2831">
            <v>2796690</v>
          </cell>
        </row>
        <row r="2832">
          <cell r="A2832" t="str">
            <v>MDN326</v>
          </cell>
          <cell r="B2832" t="str">
            <v>SMARCO</v>
          </cell>
          <cell r="C2832">
            <v>20306142.409090906</v>
          </cell>
          <cell r="D2832">
            <v>26662971.818181816</v>
          </cell>
        </row>
        <row r="2833">
          <cell r="A2833" t="str">
            <v>MDN328</v>
          </cell>
          <cell r="B2833" t="str">
            <v>TOKO HAPPY</v>
          </cell>
          <cell r="C2833">
            <v>1027139.3181818184</v>
          </cell>
          <cell r="D2833">
            <v>1392361.3636363638</v>
          </cell>
        </row>
        <row r="2834">
          <cell r="A2834" t="str">
            <v>MDN330</v>
          </cell>
          <cell r="B2834" t="str">
            <v>PT. SUPER SETIA SAGITA</v>
          </cell>
          <cell r="C2834">
            <v>357309.00000000006</v>
          </cell>
          <cell r="D2834">
            <v>586080.00000000012</v>
          </cell>
        </row>
        <row r="2835">
          <cell r="A2835" t="str">
            <v>MDN334</v>
          </cell>
          <cell r="B2835" t="str">
            <v>SWALAYAN 88</v>
          </cell>
          <cell r="C2835">
            <v>1692396.8181818184</v>
          </cell>
          <cell r="D2835">
            <v>1336174.9090909089</v>
          </cell>
        </row>
        <row r="2836">
          <cell r="A2836" t="str">
            <v>MDN335</v>
          </cell>
          <cell r="B2836" t="str">
            <v>TOSERBA SUPERMARKET</v>
          </cell>
          <cell r="C2836">
            <v>693623.86363636365</v>
          </cell>
          <cell r="D2836">
            <v>1724665.9090909092</v>
          </cell>
        </row>
        <row r="2837">
          <cell r="A2837" t="str">
            <v>MDN336</v>
          </cell>
          <cell r="B2837" t="str">
            <v>OKE TAMORA</v>
          </cell>
          <cell r="C2837">
            <v>3861561.3636363642</v>
          </cell>
          <cell r="D2837">
            <v>7650495.1363636358</v>
          </cell>
        </row>
        <row r="2838">
          <cell r="A2838" t="str">
            <v>MDN337</v>
          </cell>
          <cell r="B2838" t="str">
            <v>MANDIRI EXPRESS</v>
          </cell>
          <cell r="C2838">
            <v>3472122.0000000005</v>
          </cell>
          <cell r="D2838">
            <v>2484390</v>
          </cell>
        </row>
        <row r="2839">
          <cell r="A2839" t="str">
            <v>MDN338</v>
          </cell>
          <cell r="B2839" t="str">
            <v>SENTOSA TEMBUNG</v>
          </cell>
          <cell r="C2839">
            <v>132958.63636363635</v>
          </cell>
        </row>
        <row r="2840">
          <cell r="A2840" t="str">
            <v>MDN339</v>
          </cell>
          <cell r="B2840" t="str">
            <v>ASIA BEST MART</v>
          </cell>
          <cell r="C2840">
            <v>175383.40909090909</v>
          </cell>
          <cell r="D2840">
            <v>226800</v>
          </cell>
        </row>
        <row r="2841">
          <cell r="A2841" t="str">
            <v>MDN341</v>
          </cell>
          <cell r="B2841" t="str">
            <v>BINTANG MART</v>
          </cell>
          <cell r="C2841">
            <v>-117882</v>
          </cell>
        </row>
        <row r="2842">
          <cell r="A2842" t="str">
            <v>MDN344</v>
          </cell>
          <cell r="B2842" t="str">
            <v>IRIAN AKSARA</v>
          </cell>
          <cell r="C2842">
            <v>38208336.318181828</v>
          </cell>
          <cell r="D2842">
            <v>7694643.4090909101</v>
          </cell>
        </row>
        <row r="2843">
          <cell r="A2843" t="str">
            <v>MDN345</v>
          </cell>
          <cell r="B2843" t="str">
            <v>IRIAN MARELAN</v>
          </cell>
          <cell r="C2843">
            <v>19049766.818181824</v>
          </cell>
          <cell r="D2843">
            <v>2142028.2272727275</v>
          </cell>
        </row>
        <row r="2844">
          <cell r="A2844" t="str">
            <v>MDN346</v>
          </cell>
          <cell r="B2844" t="str">
            <v>IRIAN BAHAGIA</v>
          </cell>
          <cell r="C2844">
            <v>36354737.590909086</v>
          </cell>
          <cell r="D2844">
            <v>10800944.318181815</v>
          </cell>
        </row>
        <row r="2845">
          <cell r="A2845" t="str">
            <v>MDN347</v>
          </cell>
          <cell r="B2845" t="str">
            <v>IRIAN TEMBUNG</v>
          </cell>
          <cell r="C2845">
            <v>63790433.590909056</v>
          </cell>
          <cell r="D2845">
            <v>10082082</v>
          </cell>
        </row>
        <row r="2846">
          <cell r="A2846" t="str">
            <v>MDN348</v>
          </cell>
          <cell r="B2846" t="str">
            <v>SUZUYA BINJAI</v>
          </cell>
          <cell r="C2846">
            <v>1778318.1818181816</v>
          </cell>
        </row>
        <row r="2847">
          <cell r="A2847" t="str">
            <v>MDN349</v>
          </cell>
          <cell r="B2847" t="str">
            <v>SUZUYA TAMORA</v>
          </cell>
          <cell r="C2847">
            <v>2490019.0909090908</v>
          </cell>
          <cell r="D2847">
            <v>2368843.6363636367</v>
          </cell>
        </row>
        <row r="2848">
          <cell r="A2848" t="str">
            <v>MDN350</v>
          </cell>
          <cell r="B2848" t="str">
            <v>SUZUYA BIREUN</v>
          </cell>
          <cell r="C2848">
            <v>1910100</v>
          </cell>
          <cell r="D2848">
            <v>1376010</v>
          </cell>
        </row>
        <row r="2849">
          <cell r="A2849" t="str">
            <v>MDN351</v>
          </cell>
          <cell r="B2849" t="str">
            <v>SUZUYA KP BARU</v>
          </cell>
          <cell r="C2849">
            <v>4994250.0000000009</v>
          </cell>
          <cell r="D2849">
            <v>3630646.5909090908</v>
          </cell>
        </row>
        <row r="2850">
          <cell r="A2850" t="str">
            <v>MDN352</v>
          </cell>
          <cell r="B2850" t="str">
            <v>SUZUYA LANGSA</v>
          </cell>
          <cell r="C2850">
            <v>2750018.1818181816</v>
          </cell>
          <cell r="D2850">
            <v>1403871.8181818181</v>
          </cell>
        </row>
        <row r="2851">
          <cell r="A2851" t="str">
            <v>MDN353</v>
          </cell>
          <cell r="B2851" t="str">
            <v>SUZUYA LHOKSEUMAWE</v>
          </cell>
          <cell r="C2851">
            <v>2178400.9090909092</v>
          </cell>
          <cell r="D2851">
            <v>2371625.4545454546</v>
          </cell>
        </row>
        <row r="2852">
          <cell r="A2852" t="str">
            <v>MDN354</v>
          </cell>
          <cell r="B2852" t="str">
            <v>SUZUYA MARELAN</v>
          </cell>
          <cell r="C2852">
            <v>3500318.1818181816</v>
          </cell>
          <cell r="D2852">
            <v>1303600.9090909092</v>
          </cell>
        </row>
        <row r="2853">
          <cell r="A2853" t="str">
            <v>MDN355</v>
          </cell>
          <cell r="B2853" t="str">
            <v>SUZUYA R PRAPAT</v>
          </cell>
          <cell r="C2853">
            <v>469200</v>
          </cell>
          <cell r="D2853">
            <v>2719592.7272727275</v>
          </cell>
        </row>
        <row r="2854">
          <cell r="A2854" t="str">
            <v>MDN356</v>
          </cell>
          <cell r="B2854" t="str">
            <v>SUZUYA R PRAPAT II</v>
          </cell>
          <cell r="C2854">
            <v>3856118.1818181816</v>
          </cell>
        </row>
        <row r="2855">
          <cell r="A2855" t="str">
            <v>MDN357</v>
          </cell>
          <cell r="B2855" t="str">
            <v>SUZUYA SIANTAR</v>
          </cell>
          <cell r="C2855">
            <v>3901657.5</v>
          </cell>
          <cell r="D2855">
            <v>2659434.5454545454</v>
          </cell>
        </row>
        <row r="2856">
          <cell r="A2856" t="str">
            <v>MDN358</v>
          </cell>
          <cell r="B2856" t="str">
            <v>SUZUYA BAGAN BATU</v>
          </cell>
          <cell r="C2856">
            <v>3069810</v>
          </cell>
          <cell r="D2856">
            <v>2708143.6363636367</v>
          </cell>
        </row>
        <row r="2857">
          <cell r="A2857" t="str">
            <v>MDN359</v>
          </cell>
          <cell r="B2857" t="str">
            <v>SUZUYA MEULABOH</v>
          </cell>
          <cell r="C2857">
            <v>3365918.1818181816</v>
          </cell>
          <cell r="D2857">
            <v>2016100.9090909089</v>
          </cell>
        </row>
        <row r="2858">
          <cell r="A2858" t="str">
            <v>MDN360</v>
          </cell>
          <cell r="B2858" t="str">
            <v>SUZUYA SS MALL BANDA ACEH</v>
          </cell>
          <cell r="C2858">
            <v>-3044340.9090909106</v>
          </cell>
          <cell r="D2858">
            <v>3934752.9545454541</v>
          </cell>
        </row>
        <row r="2859">
          <cell r="A2859" t="str">
            <v>MDN361</v>
          </cell>
          <cell r="B2859" t="str">
            <v>BRASTAGI TIARA</v>
          </cell>
          <cell r="C2859">
            <v>2563846.3636363638</v>
          </cell>
          <cell r="D2859">
            <v>1873665</v>
          </cell>
        </row>
        <row r="2860">
          <cell r="A2860" t="str">
            <v>MDN362</v>
          </cell>
          <cell r="B2860" t="str">
            <v>BRASTAGI GATSU</v>
          </cell>
          <cell r="C2860">
            <v>2194905.6818181821</v>
          </cell>
          <cell r="D2860">
            <v>3424476.2727272734</v>
          </cell>
        </row>
        <row r="2861">
          <cell r="A2861" t="str">
            <v>MDN363</v>
          </cell>
          <cell r="B2861" t="str">
            <v>BRASTAGI CAMBRIDGE</v>
          </cell>
          <cell r="C2861">
            <v>748795.90909090918</v>
          </cell>
          <cell r="D2861">
            <v>426813.54545454553</v>
          </cell>
        </row>
        <row r="2862">
          <cell r="A2862" t="str">
            <v>MDN364</v>
          </cell>
          <cell r="B2862" t="str">
            <v>BRASTAGI MANHATTAN</v>
          </cell>
          <cell r="C2862">
            <v>1303104.6818181819</v>
          </cell>
          <cell r="D2862">
            <v>684996.13636363635</v>
          </cell>
        </row>
        <row r="2863">
          <cell r="A2863" t="str">
            <v>MDN365</v>
          </cell>
          <cell r="B2863" t="str">
            <v>MB MANGKUBUMI</v>
          </cell>
          <cell r="C2863">
            <v>906680.86363636365</v>
          </cell>
          <cell r="D2863">
            <v>1338713.8636363638</v>
          </cell>
        </row>
        <row r="2864">
          <cell r="A2864" t="str">
            <v>MDN366</v>
          </cell>
          <cell r="B2864" t="str">
            <v>MB DENAI</v>
          </cell>
          <cell r="C2864">
            <v>2905720.7727272734</v>
          </cell>
          <cell r="D2864">
            <v>3594690.8181818184</v>
          </cell>
        </row>
        <row r="2865">
          <cell r="A2865" t="str">
            <v>MDN367</v>
          </cell>
          <cell r="B2865" t="str">
            <v>MB KAPTEN MUSLIM</v>
          </cell>
          <cell r="C2865">
            <v>1777843.363636364</v>
          </cell>
          <cell r="D2865">
            <v>1738682.1818181821</v>
          </cell>
        </row>
        <row r="2866">
          <cell r="A2866" t="str">
            <v>MDN368</v>
          </cell>
          <cell r="B2866" t="str">
            <v>MB GLUGUR</v>
          </cell>
          <cell r="C2866">
            <v>2327308.7727272734</v>
          </cell>
          <cell r="D2866">
            <v>2488350.8181818184</v>
          </cell>
        </row>
        <row r="2867">
          <cell r="A2867" t="str">
            <v>MDN369</v>
          </cell>
          <cell r="B2867" t="str">
            <v>MB MMTC</v>
          </cell>
          <cell r="C2867">
            <v>4112351.5909090913</v>
          </cell>
          <cell r="D2867">
            <v>4306899.6818181835</v>
          </cell>
        </row>
        <row r="2868">
          <cell r="A2868" t="str">
            <v>MDN370</v>
          </cell>
          <cell r="B2868" t="str">
            <v>MAXIMART THAMRIN</v>
          </cell>
          <cell r="C2868">
            <v>1519548.5454545454</v>
          </cell>
          <cell r="D2868">
            <v>2350733.3181818184</v>
          </cell>
        </row>
        <row r="2869">
          <cell r="A2869" t="str">
            <v>MDN371</v>
          </cell>
          <cell r="B2869" t="str">
            <v>MAXIMART YANG LIM</v>
          </cell>
          <cell r="C2869">
            <v>313180.63636363641</v>
          </cell>
          <cell r="D2869">
            <v>324927.27272727276</v>
          </cell>
        </row>
        <row r="2870">
          <cell r="A2870" t="str">
            <v>MDN372</v>
          </cell>
          <cell r="B2870" t="str">
            <v>MB KRAKATAU</v>
          </cell>
          <cell r="C2870">
            <v>1051353.4090909092</v>
          </cell>
          <cell r="D2870">
            <v>941883.81818181835</v>
          </cell>
        </row>
        <row r="2871">
          <cell r="A2871" t="str">
            <v>MDN373</v>
          </cell>
          <cell r="B2871" t="str">
            <v>MB LETDA SUJONO</v>
          </cell>
          <cell r="C2871">
            <v>1419699.2727272729</v>
          </cell>
          <cell r="D2871">
            <v>1274995.6363636365</v>
          </cell>
        </row>
        <row r="2872">
          <cell r="A2872" t="str">
            <v>MDN374</v>
          </cell>
          <cell r="B2872" t="str">
            <v>MB MEDAN MALL</v>
          </cell>
          <cell r="C2872">
            <v>1942409.7272727275</v>
          </cell>
          <cell r="D2872">
            <v>2412393.8181818184</v>
          </cell>
        </row>
        <row r="2873">
          <cell r="A2873" t="str">
            <v>MDN375</v>
          </cell>
          <cell r="B2873" t="str">
            <v>MB MARTUBUNG</v>
          </cell>
          <cell r="C2873">
            <v>415619.31818181818</v>
          </cell>
          <cell r="D2873">
            <v>735291.81818181812</v>
          </cell>
        </row>
        <row r="2874">
          <cell r="A2874" t="str">
            <v>MDN376</v>
          </cell>
          <cell r="B2874" t="str">
            <v>MB MARIENDAL</v>
          </cell>
          <cell r="C2874">
            <v>802317.27272727271</v>
          </cell>
          <cell r="D2874">
            <v>939724.90909090906</v>
          </cell>
        </row>
        <row r="2875">
          <cell r="A2875" t="str">
            <v>MDN377</v>
          </cell>
          <cell r="B2875" t="str">
            <v>MB MERAK JINGGA</v>
          </cell>
          <cell r="C2875">
            <v>510494.04545454553</v>
          </cell>
          <cell r="D2875">
            <v>664410.68181818177</v>
          </cell>
        </row>
        <row r="2876">
          <cell r="A2876" t="str">
            <v>MDN378</v>
          </cell>
          <cell r="B2876" t="str">
            <v>MB KATAMSO</v>
          </cell>
          <cell r="C2876">
            <v>966308.86363636365</v>
          </cell>
          <cell r="D2876">
            <v>336731.72727272729</v>
          </cell>
        </row>
        <row r="2877">
          <cell r="A2877" t="str">
            <v>MDN396</v>
          </cell>
          <cell r="B2877" t="str">
            <v>ISTANA SWALAYAN</v>
          </cell>
          <cell r="C2877">
            <v>-12109.09090909091</v>
          </cell>
          <cell r="D2877">
            <v>1737439.9090909089</v>
          </cell>
        </row>
        <row r="2878">
          <cell r="A2878" t="str">
            <v>MDN429</v>
          </cell>
          <cell r="B2878" t="str">
            <v>MENCIRIM SWALAYAN</v>
          </cell>
          <cell r="C2878">
            <v>340200</v>
          </cell>
        </row>
        <row r="2879">
          <cell r="A2879" t="str">
            <v>MDN442</v>
          </cell>
          <cell r="B2879" t="str">
            <v>IDA COSMETIC KARANG SARI</v>
          </cell>
          <cell r="C2879">
            <v>267753.18181818182</v>
          </cell>
          <cell r="D2879">
            <v>236127.27272727274</v>
          </cell>
        </row>
        <row r="2880">
          <cell r="A2880" t="str">
            <v>MDN473</v>
          </cell>
          <cell r="B2880" t="str">
            <v>OKE JAMIN GINTING</v>
          </cell>
          <cell r="C2880">
            <v>1159718.1818181819</v>
          </cell>
          <cell r="D2880">
            <v>664500</v>
          </cell>
        </row>
        <row r="2881">
          <cell r="A2881" t="str">
            <v>MDN474</v>
          </cell>
          <cell r="B2881" t="str">
            <v>IRIAN KARYA</v>
          </cell>
          <cell r="C2881">
            <v>22253584.090909094</v>
          </cell>
          <cell r="D2881">
            <v>2600885.8636363638</v>
          </cell>
        </row>
        <row r="2882">
          <cell r="A2882" t="str">
            <v>MDN477</v>
          </cell>
          <cell r="B2882" t="str">
            <v>NUSANTARA PUSAT PASAR</v>
          </cell>
          <cell r="C2882">
            <v>453600</v>
          </cell>
          <cell r="D2882">
            <v>303000</v>
          </cell>
        </row>
        <row r="2883">
          <cell r="A2883" t="str">
            <v>MDN480</v>
          </cell>
          <cell r="B2883" t="str">
            <v>ONE SHOP</v>
          </cell>
          <cell r="C2883">
            <v>2870695.9090909087</v>
          </cell>
        </row>
        <row r="2884">
          <cell r="A2884" t="str">
            <v>MDN488</v>
          </cell>
          <cell r="B2884" t="str">
            <v>LUCKY VETERAN</v>
          </cell>
          <cell r="C2884">
            <v>254745.00000000006</v>
          </cell>
          <cell r="D2884">
            <v>399600.00000000012</v>
          </cell>
        </row>
        <row r="2885">
          <cell r="A2885" t="str">
            <v>MDN506</v>
          </cell>
          <cell r="B2885" t="str">
            <v>ISTANA KADO</v>
          </cell>
          <cell r="D2885">
            <v>1200818.1818181816</v>
          </cell>
        </row>
        <row r="2886">
          <cell r="B2886" t="str">
            <v>SHESHE COSMETIC</v>
          </cell>
          <cell r="C2886">
            <v>1342723.6363636365</v>
          </cell>
        </row>
        <row r="2887">
          <cell r="A2887" t="str">
            <v>MDN518</v>
          </cell>
          <cell r="B2887" t="str">
            <v>UMART MM</v>
          </cell>
          <cell r="C2887">
            <v>373415.68181818182</v>
          </cell>
          <cell r="D2887">
            <v>457665.00000000006</v>
          </cell>
        </row>
        <row r="2888">
          <cell r="A2888" t="str">
            <v>MDN521</v>
          </cell>
          <cell r="B2888" t="str">
            <v>ALFONSO COSMETIC</v>
          </cell>
          <cell r="C2888">
            <v>-5520.7272727272648</v>
          </cell>
        </row>
        <row r="2889">
          <cell r="A2889" t="str">
            <v>MDN524</v>
          </cell>
          <cell r="B2889" t="str">
            <v>IDO 2</v>
          </cell>
          <cell r="C2889">
            <v>3956299.7727272748</v>
          </cell>
          <cell r="D2889">
            <v>3416764.0909090918</v>
          </cell>
        </row>
        <row r="2890">
          <cell r="A2890" t="str">
            <v>MDN529</v>
          </cell>
          <cell r="B2890" t="str">
            <v>TOKO IVORY</v>
          </cell>
          <cell r="C2890">
            <v>15669559.090909099</v>
          </cell>
        </row>
        <row r="2891">
          <cell r="A2891" t="str">
            <v>MDN533</v>
          </cell>
          <cell r="B2891" t="str">
            <v>J MART MMTC</v>
          </cell>
          <cell r="C2891">
            <v>7406511.1363636367</v>
          </cell>
          <cell r="D2891">
            <v>5470171.3636363642</v>
          </cell>
        </row>
        <row r="2892">
          <cell r="A2892" t="str">
            <v>MDN534</v>
          </cell>
          <cell r="B2892" t="str">
            <v>RITA COSMETIC</v>
          </cell>
          <cell r="C2892">
            <v>414025449.27272731</v>
          </cell>
          <cell r="D2892">
            <v>541719440.18181813</v>
          </cell>
        </row>
        <row r="2893">
          <cell r="A2893" t="str">
            <v>MDN535</v>
          </cell>
          <cell r="B2893" t="str">
            <v>BINA SWALAYAN SETIA BUDI</v>
          </cell>
          <cell r="C2893">
            <v>7016339.1818181816</v>
          </cell>
          <cell r="D2893">
            <v>3135105.4090909096</v>
          </cell>
        </row>
        <row r="2894">
          <cell r="A2894" t="str">
            <v>MDN538</v>
          </cell>
          <cell r="B2894" t="str">
            <v>CATERINA COSMETICS</v>
          </cell>
          <cell r="C2894">
            <v>400925.90909090912</v>
          </cell>
          <cell r="D2894">
            <v>596548.04545454541</v>
          </cell>
        </row>
        <row r="2895">
          <cell r="A2895" t="str">
            <v>MDN539</v>
          </cell>
          <cell r="B2895" t="str">
            <v>SALSA COSMETICS</v>
          </cell>
          <cell r="C2895">
            <v>317863.63636363635</v>
          </cell>
        </row>
        <row r="2896">
          <cell r="A2896" t="str">
            <v>MDN548</v>
          </cell>
          <cell r="B2896" t="str">
            <v>TOKO AYUNG PAKAM</v>
          </cell>
          <cell r="C2896">
            <v>423818.18181818177</v>
          </cell>
        </row>
        <row r="2897">
          <cell r="B2897" t="str">
            <v>TOKO REGINA</v>
          </cell>
          <cell r="C2897">
            <v>317863.63636363635</v>
          </cell>
          <cell r="D2897">
            <v>842389.09090909071</v>
          </cell>
        </row>
        <row r="2898">
          <cell r="A2898" t="str">
            <v>MDN554</v>
          </cell>
          <cell r="B2898" t="str">
            <v>DHIFA COSMETICS</v>
          </cell>
          <cell r="C2898">
            <v>1385765.4545454546</v>
          </cell>
          <cell r="D2898">
            <v>583506.81818181823</v>
          </cell>
        </row>
        <row r="2899">
          <cell r="A2899" t="str">
            <v>MDN556</v>
          </cell>
          <cell r="B2899" t="str">
            <v>JMS COSMETICS</v>
          </cell>
          <cell r="C2899">
            <v>5921559.9545454569</v>
          </cell>
          <cell r="D2899">
            <v>6299823.4090909073</v>
          </cell>
        </row>
        <row r="2900">
          <cell r="A2900" t="str">
            <v>MDN563</v>
          </cell>
          <cell r="B2900" t="str">
            <v>PURWO JAYA</v>
          </cell>
          <cell r="C2900">
            <v>1147274.9999999998</v>
          </cell>
          <cell r="D2900">
            <v>266400.00000000006</v>
          </cell>
        </row>
        <row r="2901">
          <cell r="A2901" t="str">
            <v>MDN567</v>
          </cell>
          <cell r="B2901" t="str">
            <v>IVANA COSMETIC</v>
          </cell>
          <cell r="C2901">
            <v>6625902.5454545449</v>
          </cell>
          <cell r="D2901">
            <v>8937228.409090912</v>
          </cell>
        </row>
        <row r="2902">
          <cell r="A2902" t="str">
            <v>MDN571</v>
          </cell>
          <cell r="B2902" t="str">
            <v>ALUNG GROSIR</v>
          </cell>
          <cell r="C2902">
            <v>103969440</v>
          </cell>
          <cell r="D2902">
            <v>88614545.454545453</v>
          </cell>
        </row>
        <row r="2903">
          <cell r="A2903" t="str">
            <v>MDN577</v>
          </cell>
          <cell r="B2903" t="str">
            <v>GLOBAL SRI GUNTING</v>
          </cell>
          <cell r="C2903">
            <v>-34435.227272727265</v>
          </cell>
        </row>
        <row r="2904">
          <cell r="A2904" t="str">
            <v>MDN580</v>
          </cell>
          <cell r="B2904" t="str">
            <v>SRIYATI</v>
          </cell>
          <cell r="C2904">
            <v>66600.000000000015</v>
          </cell>
        </row>
        <row r="2905">
          <cell r="A2905" t="str">
            <v>MDN582</v>
          </cell>
          <cell r="B2905" t="str">
            <v>MEL SHOP</v>
          </cell>
          <cell r="C2905">
            <v>309889.09090909094</v>
          </cell>
          <cell r="D2905">
            <v>1010503.6363636362</v>
          </cell>
        </row>
        <row r="2906">
          <cell r="A2906" t="str">
            <v>MDN584</v>
          </cell>
          <cell r="B2906" t="str">
            <v>ANGGIE COSMETICS</v>
          </cell>
          <cell r="C2906">
            <v>1169949.5454545454</v>
          </cell>
        </row>
        <row r="2907">
          <cell r="A2907" t="str">
            <v>MDN598</v>
          </cell>
          <cell r="B2907" t="str">
            <v>KENZO SALON</v>
          </cell>
          <cell r="C2907">
            <v>2980483.6363636362</v>
          </cell>
          <cell r="D2907">
            <v>635727.27272727259</v>
          </cell>
        </row>
        <row r="2908">
          <cell r="A2908" t="str">
            <v>MDN605</v>
          </cell>
          <cell r="B2908" t="str">
            <v>KHANZA COSMETICS</v>
          </cell>
          <cell r="C2908">
            <v>828329.54545454541</v>
          </cell>
          <cell r="D2908">
            <v>827502.27272727294</v>
          </cell>
        </row>
        <row r="2909">
          <cell r="A2909" t="str">
            <v>MDN606</v>
          </cell>
          <cell r="B2909" t="str">
            <v>SINURAYA</v>
          </cell>
          <cell r="C2909">
            <v>438750.00000000012</v>
          </cell>
          <cell r="D2909">
            <v>637752.27272727282</v>
          </cell>
        </row>
        <row r="2910">
          <cell r="A2910" t="str">
            <v>MDN617</v>
          </cell>
          <cell r="B2910" t="str">
            <v>GRAHOLA FARMA</v>
          </cell>
          <cell r="C2910">
            <v>366321.81818181818</v>
          </cell>
        </row>
        <row r="2911">
          <cell r="A2911" t="str">
            <v>MDN618</v>
          </cell>
          <cell r="B2911" t="str">
            <v>TOKO CAHAYA</v>
          </cell>
          <cell r="C2911">
            <v>555072.27272727271</v>
          </cell>
          <cell r="D2911">
            <v>803135.45454545435</v>
          </cell>
        </row>
        <row r="2912">
          <cell r="A2912" t="str">
            <v>MDN621</v>
          </cell>
          <cell r="B2912" t="str">
            <v>TOKO SIS</v>
          </cell>
          <cell r="C2912">
            <v>5141097.9545454541</v>
          </cell>
          <cell r="D2912">
            <v>17307231.272727273</v>
          </cell>
        </row>
        <row r="2913">
          <cell r="A2913" t="str">
            <v>MDN624</v>
          </cell>
          <cell r="B2913" t="str">
            <v>TOKO DIAMOND MERCI</v>
          </cell>
          <cell r="C2913">
            <v>2480228.5909090918</v>
          </cell>
          <cell r="D2913">
            <v>2470929.9545454551</v>
          </cell>
        </row>
        <row r="2914">
          <cell r="A2914" t="str">
            <v>MDN631</v>
          </cell>
          <cell r="B2914" t="str">
            <v xml:space="preserve">WIWIN </v>
          </cell>
          <cell r="C2914">
            <v>317863.63636363635</v>
          </cell>
          <cell r="D2914">
            <v>481639.54545454541</v>
          </cell>
        </row>
        <row r="2915">
          <cell r="A2915" t="str">
            <v>MDN636</v>
          </cell>
          <cell r="B2915" t="str">
            <v>D BEAUTY SHOP</v>
          </cell>
          <cell r="C2915">
            <v>716400</v>
          </cell>
          <cell r="D2915">
            <v>678815.4545454547</v>
          </cell>
        </row>
        <row r="2916">
          <cell r="A2916" t="str">
            <v>MDN642</v>
          </cell>
          <cell r="B2916" t="str">
            <v>APOTIK KASIH FARMA</v>
          </cell>
          <cell r="C2916">
            <v>929929.31818181812</v>
          </cell>
        </row>
        <row r="2917">
          <cell r="A2917" t="str">
            <v>MDN647</v>
          </cell>
          <cell r="B2917" t="str">
            <v>TOKO ANDRE</v>
          </cell>
          <cell r="C2917">
            <v>430705.22727272724</v>
          </cell>
          <cell r="D2917">
            <v>635727.27272727259</v>
          </cell>
        </row>
        <row r="2918">
          <cell r="A2918" t="str">
            <v>MDN649</v>
          </cell>
          <cell r="B2918" t="str">
            <v>AJENG COLLECTION</v>
          </cell>
          <cell r="C2918">
            <v>113428.18181818187</v>
          </cell>
          <cell r="D2918">
            <v>942609.09090909106</v>
          </cell>
        </row>
        <row r="2919">
          <cell r="A2919" t="str">
            <v>MDN654</v>
          </cell>
          <cell r="B2919" t="str">
            <v>FENDY COSMETICS</v>
          </cell>
          <cell r="C2919">
            <v>13766886.818181818</v>
          </cell>
        </row>
        <row r="2920">
          <cell r="A2920" t="str">
            <v>MDN656</v>
          </cell>
          <cell r="B2920" t="str">
            <v>RADISA COSMETICS</v>
          </cell>
          <cell r="C2920">
            <v>144822753.3636364</v>
          </cell>
          <cell r="D2920">
            <v>391288042.77272725</v>
          </cell>
        </row>
        <row r="2921">
          <cell r="A2921" t="str">
            <v>MDN660</v>
          </cell>
          <cell r="B2921" t="str">
            <v>TOKO OBAT MEKRO</v>
          </cell>
          <cell r="C2921">
            <v>909090</v>
          </cell>
        </row>
        <row r="2922">
          <cell r="A2922" t="str">
            <v>MDN663</v>
          </cell>
          <cell r="B2922" t="str">
            <v>CELLO MART</v>
          </cell>
          <cell r="C2922">
            <v>238440.68181818182</v>
          </cell>
        </row>
        <row r="2923">
          <cell r="A2923" t="str">
            <v>MDN665</v>
          </cell>
          <cell r="B2923" t="str">
            <v>HARMONI</v>
          </cell>
          <cell r="C2923">
            <v>485623.86363636359</v>
          </cell>
          <cell r="D2923">
            <v>330015.45454545453</v>
          </cell>
        </row>
        <row r="2924">
          <cell r="A2924" t="str">
            <v>MDN668</v>
          </cell>
          <cell r="B2924" t="str">
            <v>OLIVE BEAUTY</v>
          </cell>
          <cell r="C2924">
            <v>71335750.909090921</v>
          </cell>
          <cell r="D2924">
            <v>86529332.727272734</v>
          </cell>
        </row>
        <row r="2925">
          <cell r="A2925" t="str">
            <v>MDN685</v>
          </cell>
          <cell r="B2925" t="str">
            <v>UNDER PRICE SKINCARE</v>
          </cell>
          <cell r="C2925">
            <v>155981910.50000003</v>
          </cell>
          <cell r="D2925">
            <v>166143239.63636369</v>
          </cell>
        </row>
        <row r="2926">
          <cell r="A2926" t="str">
            <v>MDN686</v>
          </cell>
          <cell r="B2926" t="str">
            <v>SUZUYA SIMPANG LIMA BANDA ACEH</v>
          </cell>
          <cell r="C2926">
            <v>3006692.7272727271</v>
          </cell>
          <cell r="D2926">
            <v>2788890</v>
          </cell>
        </row>
        <row r="2927">
          <cell r="A2927" t="str">
            <v>MDN704</v>
          </cell>
          <cell r="B2927" t="str">
            <v>BINTANG COS</v>
          </cell>
          <cell r="C2927">
            <v>764469.54545454541</v>
          </cell>
          <cell r="D2927">
            <v>540872.72727272729</v>
          </cell>
        </row>
        <row r="2928">
          <cell r="A2928" t="str">
            <v>MDN705</v>
          </cell>
          <cell r="B2928" t="str">
            <v>TOKO SAIFUL</v>
          </cell>
          <cell r="C2928">
            <v>470438.18181818177</v>
          </cell>
        </row>
        <row r="2929">
          <cell r="A2929" t="str">
            <v>MDN721</v>
          </cell>
          <cell r="B2929" t="str">
            <v>NAZWA BEAUTY</v>
          </cell>
          <cell r="C2929">
            <v>408457111.09090936</v>
          </cell>
          <cell r="D2929">
            <v>91169378.181818202</v>
          </cell>
        </row>
        <row r="2930">
          <cell r="A2930" t="str">
            <v>MDN723</v>
          </cell>
          <cell r="B2930" t="str">
            <v>JULIANA</v>
          </cell>
          <cell r="C2930">
            <v>58096227.272727273</v>
          </cell>
          <cell r="D2930">
            <v>3725361.8181818184</v>
          </cell>
        </row>
        <row r="2931">
          <cell r="A2931" t="str">
            <v>MDN729</v>
          </cell>
          <cell r="B2931" t="str">
            <v>STAR JAYA/ASIONG</v>
          </cell>
          <cell r="C2931">
            <v>52215688.181818165</v>
          </cell>
          <cell r="D2931">
            <v>111210797.18181825</v>
          </cell>
        </row>
        <row r="2932">
          <cell r="A2932" t="str">
            <v>MDN735</v>
          </cell>
          <cell r="B2932" t="str">
            <v>APOTIK KHARISMA</v>
          </cell>
          <cell r="C2932">
            <v>137850</v>
          </cell>
          <cell r="D2932">
            <v>494710.90909090906</v>
          </cell>
        </row>
        <row r="2933">
          <cell r="A2933" t="str">
            <v>MDN737</v>
          </cell>
          <cell r="B2933" t="str">
            <v>BE LUV</v>
          </cell>
          <cell r="C2933">
            <v>58861241.090909079</v>
          </cell>
          <cell r="D2933">
            <v>111155597.18181826</v>
          </cell>
        </row>
        <row r="2934">
          <cell r="A2934" t="str">
            <v>MDN757</v>
          </cell>
          <cell r="B2934" t="str">
            <v>APOTIK GLORIA</v>
          </cell>
          <cell r="C2934">
            <v>391602.27272727271</v>
          </cell>
        </row>
        <row r="2935">
          <cell r="A2935" t="str">
            <v>MDN762</v>
          </cell>
          <cell r="B2935" t="str">
            <v>APOTIK MORIA</v>
          </cell>
          <cell r="C2935">
            <v>1317818.1818181819</v>
          </cell>
          <cell r="D2935">
            <v>2529376.3636363633</v>
          </cell>
        </row>
        <row r="2936">
          <cell r="A2936" t="str">
            <v>MDN763</v>
          </cell>
          <cell r="B2936" t="str">
            <v>MISS GLAM MEDAN</v>
          </cell>
          <cell r="C2936">
            <v>120126899.54545453</v>
          </cell>
          <cell r="D2936">
            <v>105784242.68181811</v>
          </cell>
        </row>
        <row r="2937">
          <cell r="A2937" t="str">
            <v>MDN769</v>
          </cell>
          <cell r="B2937" t="str">
            <v>ZIE ZIE COSMETIC</v>
          </cell>
          <cell r="C2937">
            <v>1213666.3636363635</v>
          </cell>
        </row>
        <row r="2938">
          <cell r="A2938" t="str">
            <v>MDN771</v>
          </cell>
          <cell r="B2938" t="str">
            <v>RIRI KOSMETIK</v>
          </cell>
          <cell r="C2938">
            <v>548342.72727272718</v>
          </cell>
          <cell r="D2938">
            <v>115389.54545454547</v>
          </cell>
        </row>
        <row r="2939">
          <cell r="A2939" t="str">
            <v>MDN772</v>
          </cell>
          <cell r="B2939" t="str">
            <v>TOKO VERA</v>
          </cell>
          <cell r="C2939">
            <v>3241833.8636363638</v>
          </cell>
        </row>
        <row r="2940">
          <cell r="A2940" t="str">
            <v>MDN780</v>
          </cell>
          <cell r="B2940" t="str">
            <v>AMEL COSMETICS</v>
          </cell>
          <cell r="C2940">
            <v>274909.09090909088</v>
          </cell>
          <cell r="D2940">
            <v>699274.09090909082</v>
          </cell>
        </row>
        <row r="2941">
          <cell r="A2941" t="str">
            <v>MDN793</v>
          </cell>
          <cell r="B2941" t="str">
            <v>MB RINGROAD</v>
          </cell>
          <cell r="C2941">
            <v>2437068.5454545459</v>
          </cell>
          <cell r="D2941">
            <v>2297973.4090909092</v>
          </cell>
        </row>
        <row r="2942">
          <cell r="A2942" t="str">
            <v>MDN804</v>
          </cell>
          <cell r="B2942" t="str">
            <v>KNOCK SKIN</v>
          </cell>
          <cell r="C2942">
            <v>1589318.1818181816</v>
          </cell>
          <cell r="D2942">
            <v>3027411.8181818174</v>
          </cell>
        </row>
        <row r="2943">
          <cell r="A2943" t="str">
            <v>MDN805</v>
          </cell>
          <cell r="B2943" t="str">
            <v>KEMANG INDAH PASAR BUAH</v>
          </cell>
          <cell r="C2943">
            <v>1396038.6818181819</v>
          </cell>
          <cell r="D2943">
            <v>2393509.9090909096</v>
          </cell>
        </row>
        <row r="2944">
          <cell r="A2944" t="str">
            <v>MDN814</v>
          </cell>
          <cell r="B2944" t="str">
            <v>PINMOOD</v>
          </cell>
          <cell r="C2944">
            <v>120210123.54545456</v>
          </cell>
          <cell r="D2944">
            <v>197255461.45454535</v>
          </cell>
        </row>
        <row r="2945">
          <cell r="A2945" t="str">
            <v>MDN815</v>
          </cell>
          <cell r="B2945" t="str">
            <v>ABADI SWALAYAN</v>
          </cell>
          <cell r="C2945">
            <v>897188.18181818188</v>
          </cell>
          <cell r="D2945">
            <v>243594.54545454544</v>
          </cell>
        </row>
        <row r="2946">
          <cell r="A2946" t="str">
            <v>MDN820</v>
          </cell>
          <cell r="B2946" t="str">
            <v>TOKO LENTIK</v>
          </cell>
          <cell r="C2946">
            <v>207954.54545454544</v>
          </cell>
        </row>
        <row r="2947">
          <cell r="A2947" t="str">
            <v>MDN822</v>
          </cell>
          <cell r="B2947" t="str">
            <v>JESSYKA COSMETIC</v>
          </cell>
          <cell r="C2947">
            <v>207900</v>
          </cell>
          <cell r="D2947">
            <v>519200</v>
          </cell>
        </row>
        <row r="2948">
          <cell r="A2948" t="str">
            <v>MDN824</v>
          </cell>
          <cell r="B2948" t="str">
            <v>APOTIK ELSA JAYA</v>
          </cell>
          <cell r="C2948">
            <v>266400.00000000006</v>
          </cell>
          <cell r="D2948">
            <v>1004907.2727272725</v>
          </cell>
        </row>
        <row r="2949">
          <cell r="A2949" t="str">
            <v>MDN827</v>
          </cell>
          <cell r="B2949" t="str">
            <v>PERFECT 10 BEAUTY SHOP</v>
          </cell>
          <cell r="C2949">
            <v>98652417.818181798</v>
          </cell>
          <cell r="D2949">
            <v>16988055.909090914</v>
          </cell>
        </row>
        <row r="2950">
          <cell r="A2950" t="str">
            <v>MDN829</v>
          </cell>
          <cell r="B2950" t="str">
            <v>SOLEK KUY</v>
          </cell>
          <cell r="C2950">
            <v>614284.09090909082</v>
          </cell>
        </row>
        <row r="2951">
          <cell r="A2951" t="str">
            <v>MDN835</v>
          </cell>
          <cell r="B2951" t="str">
            <v>TOKO PELANGI</v>
          </cell>
          <cell r="C2951">
            <v>-26488.636363636364</v>
          </cell>
          <cell r="D2951">
            <v>3253969.0909090908</v>
          </cell>
        </row>
        <row r="2952">
          <cell r="A2952" t="str">
            <v>MDN841</v>
          </cell>
          <cell r="B2952" t="str">
            <v>ARA COSMETICS</v>
          </cell>
          <cell r="C2952">
            <v>2136043.6363636362</v>
          </cell>
        </row>
        <row r="2953">
          <cell r="A2953" t="str">
            <v>MDN843</v>
          </cell>
          <cell r="B2953" t="str">
            <v>TOKO NAWRA</v>
          </cell>
          <cell r="C2953">
            <v>592615.90909090906</v>
          </cell>
        </row>
        <row r="2954">
          <cell r="A2954" t="str">
            <v>MDN849</v>
          </cell>
          <cell r="B2954" t="str">
            <v>SUZUYA MERDEKA MALL SIANTAR</v>
          </cell>
          <cell r="C2954">
            <v>4764261.8181818184</v>
          </cell>
          <cell r="D2954">
            <v>6655854.5454545459</v>
          </cell>
        </row>
        <row r="2955">
          <cell r="A2955" t="str">
            <v>MDN853</v>
          </cell>
          <cell r="B2955" t="str">
            <v>BRASTAGI CEMARA</v>
          </cell>
          <cell r="C2955">
            <v>4459018.0909090908</v>
          </cell>
          <cell r="D2955">
            <v>1106101.6363636365</v>
          </cell>
        </row>
        <row r="2956">
          <cell r="A2956" t="str">
            <v>MDN856</v>
          </cell>
          <cell r="B2956" t="str">
            <v>IRIAN SETIABUDI</v>
          </cell>
          <cell r="C2956">
            <v>5874812.1818181826</v>
          </cell>
          <cell r="D2956">
            <v>38925788.318181783</v>
          </cell>
        </row>
        <row r="2957">
          <cell r="A2957" t="str">
            <v>MDN860</v>
          </cell>
          <cell r="B2957" t="str">
            <v>SAZIFA COSMETIC</v>
          </cell>
          <cell r="C2957">
            <v>2572510.6363636362</v>
          </cell>
        </row>
        <row r="2958">
          <cell r="A2958" t="str">
            <v>MEGA2</v>
          </cell>
          <cell r="B2958" t="str">
            <v>MEGA MART</v>
          </cell>
          <cell r="C2958">
            <v>266400.00000000006</v>
          </cell>
        </row>
        <row r="2959">
          <cell r="A2959" t="str">
            <v>MIND</v>
          </cell>
          <cell r="B2959" t="str">
            <v>MITRA INDAH ,PINOH</v>
          </cell>
          <cell r="C2959">
            <v>812549.72727272729</v>
          </cell>
          <cell r="D2959">
            <v>1516729.0909090913</v>
          </cell>
        </row>
        <row r="2960">
          <cell r="A2960" t="str">
            <v>MISS</v>
          </cell>
          <cell r="B2960" t="str">
            <v>MISSHOP COSMETIC,CV</v>
          </cell>
          <cell r="C2960">
            <v>60599733</v>
          </cell>
          <cell r="D2960">
            <v>86290883.181818187</v>
          </cell>
        </row>
        <row r="2961">
          <cell r="A2961" t="str">
            <v>MITRA-KOB</v>
          </cell>
          <cell r="B2961" t="str">
            <v>MITRA MART ,KOBAR</v>
          </cell>
          <cell r="C2961">
            <v>1903948.6363636365</v>
          </cell>
          <cell r="D2961">
            <v>3096436.3636363633</v>
          </cell>
        </row>
        <row r="2962">
          <cell r="A2962" t="str">
            <v>MJ.JY</v>
          </cell>
          <cell r="B2962" t="str">
            <v>MAJU JAYA/LIU RUDY,TK</v>
          </cell>
          <cell r="C2962">
            <v>11281939.090909092</v>
          </cell>
          <cell r="D2962">
            <v>11503939.090909092</v>
          </cell>
        </row>
        <row r="2963">
          <cell r="A2963" t="str">
            <v>MJ88</v>
          </cell>
          <cell r="B2963" t="str">
            <v>MITRA JAYA 88 MINIMARKET</v>
          </cell>
          <cell r="C2963">
            <v>799655.18181818177</v>
          </cell>
          <cell r="D2963">
            <v>371598.81818181823</v>
          </cell>
        </row>
        <row r="2964">
          <cell r="A2964" t="str">
            <v>MK-NGB</v>
          </cell>
          <cell r="B2964" t="str">
            <v>MITRA KITA ,NGABANG</v>
          </cell>
          <cell r="C2964">
            <v>3388048.0909090913</v>
          </cell>
        </row>
        <row r="2965">
          <cell r="A2965" t="str">
            <v>ML-TANR</v>
          </cell>
          <cell r="B2965" t="str">
            <v>MITRA LESTARI</v>
          </cell>
          <cell r="C2965">
            <v>1029424.0909090908</v>
          </cell>
        </row>
        <row r="2966">
          <cell r="A2966" t="str">
            <v>MMMJ</v>
          </cell>
          <cell r="B2966" t="str">
            <v>MITRA JERUJU, MM</v>
          </cell>
          <cell r="C2966">
            <v>330578.18181818182</v>
          </cell>
          <cell r="D2966">
            <v>536054.31818181823</v>
          </cell>
        </row>
        <row r="2967">
          <cell r="A2967" t="str">
            <v>MNI</v>
          </cell>
          <cell r="B2967" t="str">
            <v>MINI SHOP,TAYAN</v>
          </cell>
          <cell r="C2967">
            <v>23534098.363636367</v>
          </cell>
          <cell r="D2967">
            <v>12240515.454545457</v>
          </cell>
        </row>
        <row r="2968">
          <cell r="A2968" t="str">
            <v>MNS</v>
          </cell>
          <cell r="B2968" t="str">
            <v>MANIS MANIS ,TKO</v>
          </cell>
          <cell r="C2968">
            <v>801992.72727272718</v>
          </cell>
          <cell r="D2968">
            <v>158931.81818181818</v>
          </cell>
        </row>
        <row r="2969">
          <cell r="A2969" t="str">
            <v>MS</v>
          </cell>
          <cell r="B2969" t="str">
            <v>PESONA MS,BALAI KARANGAN</v>
          </cell>
          <cell r="C2969">
            <v>84000</v>
          </cell>
          <cell r="D2969">
            <v>367800.00000000006</v>
          </cell>
        </row>
        <row r="2970">
          <cell r="A2970" t="str">
            <v>MSC</v>
          </cell>
          <cell r="B2970" t="str">
            <v>MITRA SUKSES AGUNG,CV</v>
          </cell>
          <cell r="C2970">
            <v>21771222.545454551</v>
          </cell>
          <cell r="D2970">
            <v>35370006.000000022</v>
          </cell>
        </row>
        <row r="2971">
          <cell r="A2971" t="str">
            <v>MUST</v>
          </cell>
          <cell r="B2971" t="str">
            <v>MUSTAQIM STORE,TEBAS</v>
          </cell>
          <cell r="C2971">
            <v>4016619.8181818179</v>
          </cell>
        </row>
        <row r="2972">
          <cell r="A2972" t="str">
            <v>MUT</v>
          </cell>
          <cell r="B2972" t="str">
            <v>MUTIARA BEAUTY,BATU BUIL</v>
          </cell>
          <cell r="C2972">
            <v>13352468.454545461</v>
          </cell>
        </row>
        <row r="2973">
          <cell r="A2973" t="str">
            <v>MUT.MART</v>
          </cell>
          <cell r="B2973" t="str">
            <v>MUTIARA MART,BATU BUIL</v>
          </cell>
          <cell r="C2973">
            <v>1178978.1818181819</v>
          </cell>
        </row>
        <row r="2974">
          <cell r="A2974" t="str">
            <v>MYSA</v>
          </cell>
          <cell r="B2974" t="str">
            <v>MYSAS SKINCARE</v>
          </cell>
          <cell r="C2974">
            <v>517590.90909090912</v>
          </cell>
          <cell r="D2974">
            <v>1224818.1818181819</v>
          </cell>
        </row>
        <row r="2975">
          <cell r="A2975" t="str">
            <v>N002</v>
          </cell>
          <cell r="B2975" t="str">
            <v>NAIFALYA TOSERBA</v>
          </cell>
          <cell r="C2975">
            <v>321900</v>
          </cell>
        </row>
        <row r="2976">
          <cell r="A2976" t="str">
            <v>N004</v>
          </cell>
          <cell r="B2976" t="str">
            <v>NAMII BEAUTY &amp; PERSONAL CARE</v>
          </cell>
          <cell r="C2976">
            <v>329367.27272727282</v>
          </cell>
        </row>
        <row r="2977">
          <cell r="A2977" t="str">
            <v>N011</v>
          </cell>
          <cell r="B2977" t="str">
            <v>NEW RAHMAT</v>
          </cell>
          <cell r="C2977">
            <v>1191926.8181818184</v>
          </cell>
          <cell r="D2977">
            <v>6137869.0909090927</v>
          </cell>
        </row>
        <row r="2978">
          <cell r="A2978" t="str">
            <v>N020</v>
          </cell>
          <cell r="B2978" t="str">
            <v>NOLA BTS</v>
          </cell>
          <cell r="C2978">
            <v>2021612.7272727271</v>
          </cell>
          <cell r="D2978">
            <v>12608508.409090914</v>
          </cell>
        </row>
        <row r="2979">
          <cell r="A2979" t="str">
            <v>N021</v>
          </cell>
          <cell r="B2979" t="str">
            <v>NOLA PP</v>
          </cell>
          <cell r="C2979">
            <v>5788129.0909090918</v>
          </cell>
        </row>
        <row r="2980">
          <cell r="A2980" t="str">
            <v>N024</v>
          </cell>
          <cell r="B2980" t="str">
            <v>NURLELI</v>
          </cell>
          <cell r="C2980">
            <v>1857833.1818181816</v>
          </cell>
          <cell r="D2980">
            <v>2123804.9999999995</v>
          </cell>
        </row>
        <row r="2981">
          <cell r="A2981" t="str">
            <v>N030</v>
          </cell>
          <cell r="B2981" t="str">
            <v>NANDO B.KAPEH</v>
          </cell>
          <cell r="C2981">
            <v>2548877.7272727275</v>
          </cell>
          <cell r="D2981">
            <v>2542909.0909090904</v>
          </cell>
        </row>
        <row r="2982">
          <cell r="A2982" t="str">
            <v>N035</v>
          </cell>
          <cell r="B2982" t="str">
            <v>NINA</v>
          </cell>
          <cell r="C2982">
            <v>4587326.5909090918</v>
          </cell>
        </row>
        <row r="2983">
          <cell r="A2983" t="str">
            <v>N037</v>
          </cell>
          <cell r="B2983" t="str">
            <v>NASEL</v>
          </cell>
          <cell r="C2983">
            <v>975539.318181818</v>
          </cell>
          <cell r="D2983">
            <v>899554.09090909071</v>
          </cell>
        </row>
        <row r="2984">
          <cell r="A2984" t="str">
            <v>N039</v>
          </cell>
          <cell r="B2984" t="str">
            <v>NZ MM II</v>
          </cell>
          <cell r="C2984">
            <v>746979.54545454541</v>
          </cell>
          <cell r="D2984">
            <v>802791.81818181812</v>
          </cell>
        </row>
        <row r="2985">
          <cell r="A2985" t="str">
            <v>N043</v>
          </cell>
          <cell r="B2985" t="str">
            <v>NORY NANDA</v>
          </cell>
          <cell r="C2985">
            <v>943686.81818181812</v>
          </cell>
          <cell r="D2985">
            <v>2313618.1818181816</v>
          </cell>
        </row>
        <row r="2986">
          <cell r="A2986" t="str">
            <v>N045</v>
          </cell>
          <cell r="B2986" t="str">
            <v>NAY STORE</v>
          </cell>
          <cell r="C2986">
            <v>272331.81818181818</v>
          </cell>
          <cell r="D2986">
            <v>2247238.6363636362</v>
          </cell>
        </row>
        <row r="2987">
          <cell r="A2987" t="str">
            <v>N062</v>
          </cell>
          <cell r="B2987" t="str">
            <v>NASTA BEAUTY / NUR DWI SATIKA</v>
          </cell>
          <cell r="C2987">
            <v>159000</v>
          </cell>
        </row>
        <row r="2988">
          <cell r="A2988" t="str">
            <v>NA585143</v>
          </cell>
          <cell r="B2988" t="str">
            <v>RUMAH PELANGI</v>
          </cell>
          <cell r="C2988">
            <v>-1435943.1818181821</v>
          </cell>
        </row>
        <row r="2989">
          <cell r="A2989" t="str">
            <v>NIT1</v>
          </cell>
          <cell r="B2989" t="str">
            <v>NITA FASHION ,SINTANG</v>
          </cell>
          <cell r="C2989">
            <v>54736310.181818187</v>
          </cell>
        </row>
        <row r="2990">
          <cell r="A2990" t="str">
            <v>NSS</v>
          </cell>
          <cell r="B2990" t="str">
            <v>EKARIC BERSAUDARA,PT</v>
          </cell>
          <cell r="C2990">
            <v>1129477.6363636362</v>
          </cell>
        </row>
        <row r="2991">
          <cell r="A2991" t="str">
            <v>O001</v>
          </cell>
          <cell r="B2991" t="str">
            <v>O MART</v>
          </cell>
          <cell r="C2991">
            <v>574154.04545454541</v>
          </cell>
          <cell r="D2991">
            <v>386204.31818181818</v>
          </cell>
        </row>
        <row r="2992">
          <cell r="A2992" t="str">
            <v>O002</v>
          </cell>
          <cell r="B2992" t="str">
            <v>OING SHOP</v>
          </cell>
          <cell r="C2992">
            <v>21863547.272727285</v>
          </cell>
          <cell r="D2992">
            <v>22529197.272727281</v>
          </cell>
        </row>
        <row r="2993">
          <cell r="A2993" t="str">
            <v>O004</v>
          </cell>
          <cell r="B2993" t="str">
            <v>ORANGE MART</v>
          </cell>
          <cell r="C2993">
            <v>332287.90909090912</v>
          </cell>
          <cell r="D2993">
            <v>1380430.2272727275</v>
          </cell>
        </row>
        <row r="2994">
          <cell r="A2994" t="str">
            <v>O008</v>
          </cell>
          <cell r="B2994" t="str">
            <v>OVI</v>
          </cell>
          <cell r="C2994">
            <v>294397.72727272729</v>
          </cell>
          <cell r="D2994">
            <v>539795.45454545459</v>
          </cell>
        </row>
        <row r="2995">
          <cell r="A2995" t="str">
            <v>O015</v>
          </cell>
          <cell r="B2995" t="str">
            <v>OTENTIK BEAUTY</v>
          </cell>
          <cell r="C2995">
            <v>255000.00000000003</v>
          </cell>
          <cell r="D2995">
            <v>574172.72727272729</v>
          </cell>
        </row>
        <row r="2996">
          <cell r="A2996" t="str">
            <v>O018</v>
          </cell>
          <cell r="B2996" t="str">
            <v>ONE KINA COSMETIK</v>
          </cell>
          <cell r="C2996">
            <v>147897.27272727271</v>
          </cell>
          <cell r="D2996">
            <v>263884.09090909094</v>
          </cell>
        </row>
        <row r="2997">
          <cell r="A2997" t="str">
            <v>O035</v>
          </cell>
          <cell r="B2997" t="str">
            <v>OCEAN / MELLY ANDAYANI SINAMBELA</v>
          </cell>
          <cell r="C2997">
            <v>32694.54545454546</v>
          </cell>
        </row>
        <row r="2998">
          <cell r="A2998" t="str">
            <v>OMNI1</v>
          </cell>
          <cell r="B2998" t="str">
            <v>OMNI BEAUTY</v>
          </cell>
          <cell r="C2998">
            <v>682750.90909090918</v>
          </cell>
        </row>
        <row r="2999">
          <cell r="A2999" t="str">
            <v>OPSHE</v>
          </cell>
          <cell r="B2999" t="str">
            <v>OPSHE TOKO, SANGGAU</v>
          </cell>
          <cell r="C2999">
            <v>6552383.8636363642</v>
          </cell>
          <cell r="D2999">
            <v>15999687.818181822</v>
          </cell>
        </row>
        <row r="3000">
          <cell r="A3000" t="str">
            <v>P002</v>
          </cell>
          <cell r="B3000" t="str">
            <v>PARIS COS</v>
          </cell>
          <cell r="C3000">
            <v>1633894.0909090911</v>
          </cell>
          <cell r="D3000">
            <v>1169140.4545454546</v>
          </cell>
        </row>
        <row r="3001">
          <cell r="A3001" t="str">
            <v>P007</v>
          </cell>
          <cell r="B3001" t="str">
            <v>PT.SAHABAT JAYA SENTOSA</v>
          </cell>
          <cell r="C3001">
            <v>199800.00000000006</v>
          </cell>
          <cell r="D3001">
            <v>562495.90909090918</v>
          </cell>
        </row>
        <row r="3002">
          <cell r="A3002" t="str">
            <v>P009</v>
          </cell>
          <cell r="B3002" t="str">
            <v>PT.SAHABAT JAYA SENTOSA JATI</v>
          </cell>
          <cell r="C3002">
            <v>792597.27272727271</v>
          </cell>
        </row>
        <row r="3003">
          <cell r="A3003" t="str">
            <v>P010</v>
          </cell>
          <cell r="B3003" t="str">
            <v>PT.SURIATAMA MINANG LESTARI Tbk</v>
          </cell>
          <cell r="C3003">
            <v>1973037.9545454546</v>
          </cell>
          <cell r="D3003">
            <v>1014109.0909090908</v>
          </cell>
        </row>
        <row r="3004">
          <cell r="A3004" t="str">
            <v>P017</v>
          </cell>
          <cell r="B3004" t="str">
            <v>PT.SENTRAL THETA RITEL</v>
          </cell>
          <cell r="C3004">
            <v>1207459.0909090911</v>
          </cell>
          <cell r="D3004">
            <v>371597.72727272729</v>
          </cell>
        </row>
        <row r="3005">
          <cell r="A3005" t="str">
            <v>P018</v>
          </cell>
          <cell r="B3005" t="str">
            <v>PT.HAIKAL SEJAHTERA</v>
          </cell>
          <cell r="C3005">
            <v>3175003.8636363647</v>
          </cell>
          <cell r="D3005">
            <v>3806061.1363636376</v>
          </cell>
        </row>
        <row r="3006">
          <cell r="A3006" t="str">
            <v>P023</v>
          </cell>
          <cell r="B3006" t="str">
            <v>PT.SAHABAT JAYA SENTOSA  SEI BONG</v>
          </cell>
          <cell r="C3006">
            <v>273816.81818181823</v>
          </cell>
          <cell r="D3006">
            <v>616594.09090909094</v>
          </cell>
        </row>
        <row r="3007">
          <cell r="A3007" t="str">
            <v>P025</v>
          </cell>
          <cell r="B3007" t="str">
            <v>PELANGI SWALAYAN</v>
          </cell>
          <cell r="C3007">
            <v>47561344.772727259</v>
          </cell>
          <cell r="D3007">
            <v>41377883.18181818</v>
          </cell>
        </row>
        <row r="3008">
          <cell r="A3008" t="str">
            <v>P027</v>
          </cell>
          <cell r="B3008" t="str">
            <v>PT.SURIATAMA MINANG LESTARI Tbk JATI</v>
          </cell>
          <cell r="C3008">
            <v>1977575.6818181816</v>
          </cell>
          <cell r="D3008">
            <v>1853409.0909090908</v>
          </cell>
        </row>
        <row r="3009">
          <cell r="A3009" t="str">
            <v>P029</v>
          </cell>
          <cell r="B3009" t="str">
            <v>PERMATA STORE</v>
          </cell>
          <cell r="C3009">
            <v>637434.09090909082</v>
          </cell>
        </row>
        <row r="3010">
          <cell r="A3010" t="str">
            <v>P030</v>
          </cell>
          <cell r="B3010" t="str">
            <v>PT.SAHABAT JAYA SENTOSA KURANJI</v>
          </cell>
          <cell r="C3010">
            <v>2836813.9090909096</v>
          </cell>
          <cell r="D3010">
            <v>725888.86363636353</v>
          </cell>
        </row>
        <row r="3011">
          <cell r="A3011" t="str">
            <v>P037</v>
          </cell>
          <cell r="B3011" t="str">
            <v>PINISI/ MONG HWA</v>
          </cell>
          <cell r="C3011">
            <v>120586.36363636365</v>
          </cell>
        </row>
        <row r="3012">
          <cell r="A3012" t="str">
            <v>P042</v>
          </cell>
          <cell r="B3012" t="str">
            <v>PRIMA GLORI</v>
          </cell>
          <cell r="C3012">
            <v>1948203.5454545459</v>
          </cell>
        </row>
        <row r="3013">
          <cell r="A3013" t="str">
            <v>P050</v>
          </cell>
          <cell r="B3013" t="str">
            <v>PASAR RAYA MAHLIGAI</v>
          </cell>
          <cell r="C3013">
            <v>4964299.0909090899</v>
          </cell>
        </row>
        <row r="3014">
          <cell r="A3014" t="str">
            <v>P051</v>
          </cell>
          <cell r="B3014" t="str">
            <v>PINANG LESTARI</v>
          </cell>
          <cell r="C3014">
            <v>15891019.772727273</v>
          </cell>
          <cell r="D3014">
            <v>17270194.63636364</v>
          </cell>
        </row>
        <row r="3015">
          <cell r="A3015" t="str">
            <v>P053</v>
          </cell>
          <cell r="B3015" t="str">
            <v>SURYA BINTAN MANDIRI</v>
          </cell>
          <cell r="C3015">
            <v>1067267.5454545454</v>
          </cell>
          <cell r="D3015">
            <v>1617609.0909090908</v>
          </cell>
        </row>
        <row r="3016">
          <cell r="A3016" t="str">
            <v>P054</v>
          </cell>
          <cell r="B3016" t="str">
            <v>UTAMA PERMAI</v>
          </cell>
          <cell r="C3016">
            <v>1015528.6363636364</v>
          </cell>
          <cell r="D3016">
            <v>672000</v>
          </cell>
        </row>
        <row r="3017">
          <cell r="A3017" t="str">
            <v>P074</v>
          </cell>
          <cell r="B3017" t="str">
            <v>PINANG KENCANA</v>
          </cell>
          <cell r="C3017">
            <v>983079.54545454541</v>
          </cell>
          <cell r="D3017">
            <v>930164.31818181812</v>
          </cell>
        </row>
        <row r="3018">
          <cell r="A3018" t="str">
            <v>P092</v>
          </cell>
          <cell r="B3018" t="str">
            <v>VIVA BINTAN MANDIRI</v>
          </cell>
          <cell r="C3018">
            <v>1087200</v>
          </cell>
          <cell r="D3018">
            <v>632710.22727272729</v>
          </cell>
        </row>
        <row r="3019">
          <cell r="A3019" t="str">
            <v>P104</v>
          </cell>
          <cell r="B3019" t="str">
            <v>PT. MITRA LANCAR JAYA</v>
          </cell>
          <cell r="C3019">
            <v>358197.95454545453</v>
          </cell>
        </row>
        <row r="3020">
          <cell r="A3020" t="str">
            <v>P117</v>
          </cell>
          <cell r="B3020" t="str">
            <v>UTAMA PERMAI.</v>
          </cell>
          <cell r="C3020">
            <v>988528.77272727271</v>
          </cell>
          <cell r="D3020">
            <v>304209</v>
          </cell>
        </row>
        <row r="3021">
          <cell r="A3021" t="str">
            <v>P119</v>
          </cell>
          <cell r="B3021" t="str">
            <v>PT. BINTAN CITRA PERMATA</v>
          </cell>
          <cell r="C3021">
            <v>709575</v>
          </cell>
          <cell r="D3021">
            <v>1122559.9090909089</v>
          </cell>
        </row>
        <row r="3022">
          <cell r="A3022" t="str">
            <v>P134</v>
          </cell>
          <cell r="B3022" t="str">
            <v>REZEKI MAKMUR ANUGRAH</v>
          </cell>
          <cell r="C3022">
            <v>2885400</v>
          </cell>
          <cell r="D3022">
            <v>1249738.6363636362</v>
          </cell>
        </row>
        <row r="3023">
          <cell r="A3023" t="str">
            <v>P207</v>
          </cell>
          <cell r="B3023" t="str">
            <v>RAMLI ZAINI</v>
          </cell>
          <cell r="C3023">
            <v>-252383.72727272726</v>
          </cell>
        </row>
        <row r="3024">
          <cell r="A3024" t="str">
            <v>P216</v>
          </cell>
          <cell r="B3024" t="str">
            <v>INDOCEMERLANG KARYA LTIGA</v>
          </cell>
          <cell r="C3024">
            <v>871099.90909090894</v>
          </cell>
          <cell r="D3024">
            <v>841979.18181818188</v>
          </cell>
        </row>
        <row r="3025">
          <cell r="A3025" t="str">
            <v>P220</v>
          </cell>
          <cell r="B3025" t="str">
            <v>PT. ANUGERAH TRIJAYA MANDIRI</v>
          </cell>
          <cell r="C3025">
            <v>148336.36363636365</v>
          </cell>
          <cell r="D3025">
            <v>324220.90909090906</v>
          </cell>
        </row>
        <row r="3026">
          <cell r="A3026" t="str">
            <v>PANDA</v>
          </cell>
          <cell r="B3026" t="str">
            <v>PANDA KOSMETIK,PINOH</v>
          </cell>
          <cell r="C3026">
            <v>107437.90909090909</v>
          </cell>
        </row>
        <row r="3027">
          <cell r="A3027" t="str">
            <v>PBD005</v>
          </cell>
          <cell r="B3027" t="str">
            <v>VICTORY</v>
          </cell>
          <cell r="C3027">
            <v>11635473.81818182</v>
          </cell>
          <cell r="D3027">
            <v>9306250.9090909064</v>
          </cell>
        </row>
        <row r="3028">
          <cell r="A3028" t="str">
            <v>PBG002</v>
          </cell>
          <cell r="B3028" t="str">
            <v>TOKO CHERRY</v>
          </cell>
          <cell r="C3028">
            <v>2151082.2727272729</v>
          </cell>
        </row>
        <row r="3029">
          <cell r="A3029" t="str">
            <v>PBG003</v>
          </cell>
          <cell r="B3029" t="str">
            <v xml:space="preserve">BOM </v>
          </cell>
          <cell r="C3029">
            <v>2214000</v>
          </cell>
        </row>
        <row r="3030">
          <cell r="A3030" t="str">
            <v>PIKA.</v>
          </cell>
          <cell r="B3030" t="str">
            <v>PIKACHU TOKO,TUMBANG TITI</v>
          </cell>
          <cell r="C3030">
            <v>7112896.3636363642</v>
          </cell>
          <cell r="D3030">
            <v>4222243.6363636367</v>
          </cell>
        </row>
        <row r="3031">
          <cell r="A3031" t="str">
            <v>PIKAC</v>
          </cell>
          <cell r="B3031" t="str">
            <v>PIKACHU TOKO,SUKADANA</v>
          </cell>
          <cell r="C3031">
            <v>28689384.545454551</v>
          </cell>
        </row>
        <row r="3032">
          <cell r="A3032" t="str">
            <v>POND</v>
          </cell>
          <cell r="B3032" t="str">
            <v>PONDOK JAYA,TKO</v>
          </cell>
          <cell r="C3032">
            <v>209926.22727272729</v>
          </cell>
        </row>
        <row r="3033">
          <cell r="A3033" t="str">
            <v>PRD003</v>
          </cell>
          <cell r="B3033" t="str">
            <v>DECO 100 PERDAGANGAN</v>
          </cell>
          <cell r="C3033">
            <v>1361636.5909090908</v>
          </cell>
          <cell r="D3033">
            <v>1573533.4090909092</v>
          </cell>
        </row>
        <row r="3034">
          <cell r="A3034" t="str">
            <v>PRD006</v>
          </cell>
          <cell r="B3034" t="str">
            <v>TOKO OBAT SONDANG</v>
          </cell>
          <cell r="C3034">
            <v>952077.27272727271</v>
          </cell>
        </row>
        <row r="3035">
          <cell r="A3035" t="str">
            <v>PRIMA.</v>
          </cell>
          <cell r="B3035" t="str">
            <v>SINAR PRIMA LESTARI,CV</v>
          </cell>
          <cell r="C3035">
            <v>238397.72727272726</v>
          </cell>
        </row>
        <row r="3036">
          <cell r="A3036" t="str">
            <v>PRJ003</v>
          </cell>
          <cell r="B3036" t="str">
            <v>APOTIK SINAR JAYA</v>
          </cell>
          <cell r="C3036">
            <v>9888996.5454545487</v>
          </cell>
          <cell r="D3036">
            <v>5887742.7272727266</v>
          </cell>
        </row>
        <row r="3037">
          <cell r="A3037" t="str">
            <v>PRJ004</v>
          </cell>
          <cell r="B3037" t="str">
            <v>APOTIK GANDA</v>
          </cell>
          <cell r="C3037">
            <v>3122990.4545454541</v>
          </cell>
        </row>
        <row r="3038">
          <cell r="A3038" t="str">
            <v>PSP013</v>
          </cell>
          <cell r="B3038" t="str">
            <v>PABOL COSMETIC</v>
          </cell>
          <cell r="C3038">
            <v>3147411.8181818184</v>
          </cell>
          <cell r="D3038">
            <v>12491045.454545455</v>
          </cell>
        </row>
        <row r="3039">
          <cell r="A3039" t="str">
            <v>PSP016</v>
          </cell>
          <cell r="B3039" t="str">
            <v>APOTIK IYES</v>
          </cell>
          <cell r="C3039">
            <v>3161892.2727272725</v>
          </cell>
          <cell r="D3039">
            <v>2648863.6363636358</v>
          </cell>
        </row>
        <row r="3040">
          <cell r="A3040" t="str">
            <v>PSP027</v>
          </cell>
          <cell r="B3040" t="str">
            <v>APOTIK DELL</v>
          </cell>
          <cell r="C3040">
            <v>354947.72727272729</v>
          </cell>
          <cell r="D3040">
            <v>655772.72727272729</v>
          </cell>
        </row>
        <row r="3041">
          <cell r="A3041" t="str">
            <v>PST002</v>
          </cell>
          <cell r="B3041" t="str">
            <v>AKIAT</v>
          </cell>
          <cell r="C3041">
            <v>45069643.636363581</v>
          </cell>
          <cell r="D3041">
            <v>12276398.181818185</v>
          </cell>
        </row>
        <row r="3042">
          <cell r="A3042" t="str">
            <v>PST004</v>
          </cell>
          <cell r="B3042" t="str">
            <v>ANGO</v>
          </cell>
          <cell r="C3042">
            <v>273463.63636363635</v>
          </cell>
          <cell r="D3042">
            <v>848695.90909090906</v>
          </cell>
        </row>
        <row r="3043">
          <cell r="A3043" t="str">
            <v>PST008</v>
          </cell>
          <cell r="B3043" t="str">
            <v>APOTIK NIAGA JAYA SIANTAR</v>
          </cell>
          <cell r="C3043">
            <v>435354.54545454553</v>
          </cell>
        </row>
        <row r="3044">
          <cell r="A3044" t="str">
            <v>PST012</v>
          </cell>
          <cell r="B3044" t="str">
            <v>ASUN PJK HORAS</v>
          </cell>
          <cell r="C3044">
            <v>7267960.454545456</v>
          </cell>
          <cell r="D3044">
            <v>7751402.1818181844</v>
          </cell>
        </row>
        <row r="3045">
          <cell r="A3045" t="str">
            <v>PST018</v>
          </cell>
          <cell r="B3045" t="str">
            <v>KOK LI</v>
          </cell>
          <cell r="C3045">
            <v>975841.36363636341</v>
          </cell>
          <cell r="D3045">
            <v>804681.818181818</v>
          </cell>
        </row>
        <row r="3046">
          <cell r="A3046" t="str">
            <v>PST024</v>
          </cell>
          <cell r="B3046" t="str">
            <v>TOKO ADAM</v>
          </cell>
          <cell r="C3046">
            <v>199800.00000000006</v>
          </cell>
        </row>
        <row r="3047">
          <cell r="A3047" t="str">
            <v>PST025</v>
          </cell>
          <cell r="B3047" t="str">
            <v>TOKO JHONSON</v>
          </cell>
          <cell r="C3047">
            <v>6357703.6363636358</v>
          </cell>
          <cell r="D3047">
            <v>11561581.363636367</v>
          </cell>
        </row>
        <row r="3048">
          <cell r="A3048" t="str">
            <v>PST026</v>
          </cell>
          <cell r="B3048" t="str">
            <v>TOKO JOJO</v>
          </cell>
          <cell r="C3048">
            <v>1678248.8181818179</v>
          </cell>
          <cell r="D3048">
            <v>577896.13636363635</v>
          </cell>
        </row>
        <row r="3049">
          <cell r="A3049" t="str">
            <v>PST033</v>
          </cell>
          <cell r="B3049" t="str">
            <v>TOKO OBAT SEHAT</v>
          </cell>
          <cell r="C3049">
            <v>4864755.0000000009</v>
          </cell>
          <cell r="D3049">
            <v>4327948.409090912</v>
          </cell>
        </row>
        <row r="3050">
          <cell r="A3050" t="str">
            <v>PST034</v>
          </cell>
          <cell r="B3050" t="str">
            <v>TOKO OBAT VITA HUSADA</v>
          </cell>
          <cell r="C3050">
            <v>1130989.0909090908</v>
          </cell>
          <cell r="D3050">
            <v>3230432.7272727303</v>
          </cell>
        </row>
        <row r="3051">
          <cell r="A3051" t="str">
            <v>PST037</v>
          </cell>
          <cell r="B3051" t="str">
            <v>TOKO BORU MALAU</v>
          </cell>
          <cell r="C3051">
            <v>12125559.136363642</v>
          </cell>
          <cell r="D3051">
            <v>5826137.7272727266</v>
          </cell>
        </row>
        <row r="3052">
          <cell r="A3052" t="str">
            <v>PST039</v>
          </cell>
          <cell r="B3052" t="str">
            <v>TOKO DIANA</v>
          </cell>
          <cell r="C3052">
            <v>2121181.8181818179</v>
          </cell>
          <cell r="D3052">
            <v>782284.09090909082</v>
          </cell>
        </row>
        <row r="3053">
          <cell r="A3053" t="str">
            <v>PST050</v>
          </cell>
          <cell r="B3053" t="str">
            <v>APOTIK BUDI FARMA</v>
          </cell>
          <cell r="C3053">
            <v>2406055.9090909087</v>
          </cell>
          <cell r="D3053">
            <v>3058335.0000000014</v>
          </cell>
        </row>
        <row r="3054">
          <cell r="A3054" t="str">
            <v>PST051</v>
          </cell>
          <cell r="B3054" t="str">
            <v>APOTIK LAMHOT</v>
          </cell>
          <cell r="C3054">
            <v>553418.18181818177</v>
          </cell>
          <cell r="D3054">
            <v>747670.90909090906</v>
          </cell>
        </row>
        <row r="3055">
          <cell r="A3055" t="str">
            <v>PST053</v>
          </cell>
          <cell r="B3055" t="str">
            <v>TOKO KASI PUTRI</v>
          </cell>
          <cell r="C3055">
            <v>1141577.7272727271</v>
          </cell>
        </row>
        <row r="3056">
          <cell r="A3056" t="str">
            <v>PST058</v>
          </cell>
          <cell r="B3056" t="str">
            <v>APOTIK KARYA BUDI</v>
          </cell>
          <cell r="C3056">
            <v>1461870</v>
          </cell>
          <cell r="D3056">
            <v>5909712.7272727285</v>
          </cell>
        </row>
        <row r="3057">
          <cell r="A3057" t="str">
            <v>PST065</v>
          </cell>
          <cell r="B3057" t="str">
            <v>METRO SIANTAR</v>
          </cell>
          <cell r="C3057">
            <v>1848679.7727272727</v>
          </cell>
          <cell r="D3057">
            <v>1458417.2727272727</v>
          </cell>
        </row>
        <row r="3058">
          <cell r="A3058" t="str">
            <v>PST069</v>
          </cell>
          <cell r="B3058" t="str">
            <v>VARIA FARMA</v>
          </cell>
          <cell r="C3058">
            <v>11715651.81818182</v>
          </cell>
        </row>
        <row r="3059">
          <cell r="A3059" t="str">
            <v>PST079</v>
          </cell>
          <cell r="B3059" t="str">
            <v>TOKO OBAT OZIL</v>
          </cell>
          <cell r="C3059">
            <v>1217042.4545454546</v>
          </cell>
          <cell r="D3059">
            <v>470000</v>
          </cell>
        </row>
        <row r="3060">
          <cell r="A3060" t="str">
            <v>PST080</v>
          </cell>
          <cell r="B3060" t="str">
            <v>APOTIK ROULINA</v>
          </cell>
          <cell r="C3060">
            <v>413222.72727272718</v>
          </cell>
          <cell r="D3060">
            <v>344072.72727272729</v>
          </cell>
        </row>
        <row r="3061">
          <cell r="A3061" t="str">
            <v>PST095</v>
          </cell>
          <cell r="B3061" t="str">
            <v>RATU JAYA</v>
          </cell>
          <cell r="C3061">
            <v>5906284.7727272734</v>
          </cell>
        </row>
        <row r="3062">
          <cell r="A3062" t="str">
            <v>PST097</v>
          </cell>
          <cell r="B3062" t="str">
            <v>IVAN</v>
          </cell>
          <cell r="C3062">
            <v>817772.72727272729</v>
          </cell>
        </row>
        <row r="3063">
          <cell r="A3063" t="str">
            <v>PST099</v>
          </cell>
          <cell r="B3063" t="str">
            <v>TOKO OBAT ANUGRAH FARMA</v>
          </cell>
          <cell r="C3063">
            <v>577063.63636363635</v>
          </cell>
        </row>
        <row r="3064">
          <cell r="A3064" t="str">
            <v>PST101</v>
          </cell>
          <cell r="B3064" t="str">
            <v>MEGA MAS</v>
          </cell>
          <cell r="C3064">
            <v>5722427.7272727285</v>
          </cell>
          <cell r="D3064">
            <v>5401054.5454545449</v>
          </cell>
        </row>
        <row r="3065">
          <cell r="A3065" t="str">
            <v>PST106</v>
          </cell>
          <cell r="B3065" t="str">
            <v>APOTIK BERKAH</v>
          </cell>
          <cell r="C3065">
            <v>521700</v>
          </cell>
        </row>
        <row r="3066">
          <cell r="A3066" t="str">
            <v>PST107</v>
          </cell>
          <cell r="B3066" t="str">
            <v>TOKO JACKSON</v>
          </cell>
          <cell r="C3066">
            <v>714354.54545454541</v>
          </cell>
          <cell r="D3066">
            <v>1139747.7272727273</v>
          </cell>
        </row>
        <row r="3067">
          <cell r="A3067" t="str">
            <v>PST108</v>
          </cell>
          <cell r="B3067" t="str">
            <v>TOKO OBAT ORACION FARMA</v>
          </cell>
          <cell r="C3067">
            <v>1197585</v>
          </cell>
          <cell r="D3067">
            <v>3701011.7727272757</v>
          </cell>
        </row>
        <row r="3068">
          <cell r="A3068" t="str">
            <v>PST127</v>
          </cell>
          <cell r="B3068" t="str">
            <v>SRIWIJAYA COSMETIC</v>
          </cell>
          <cell r="C3068">
            <v>417763.63636363635</v>
          </cell>
          <cell r="D3068">
            <v>768927.27272727294</v>
          </cell>
        </row>
        <row r="3069">
          <cell r="A3069" t="str">
            <v>PST136</v>
          </cell>
          <cell r="B3069" t="str">
            <v>APOTIK LESTARI</v>
          </cell>
          <cell r="C3069">
            <v>2554757.0454545449</v>
          </cell>
        </row>
        <row r="3070">
          <cell r="A3070" t="str">
            <v>PST137</v>
          </cell>
          <cell r="B3070" t="str">
            <v>NAULI MARKET</v>
          </cell>
          <cell r="C3070">
            <v>1552094.9999999998</v>
          </cell>
          <cell r="D3070">
            <v>3410361.8181818197</v>
          </cell>
        </row>
        <row r="3071">
          <cell r="A3071" t="str">
            <v>PST139</v>
          </cell>
          <cell r="B3071" t="str">
            <v>TOKO USAHA JOE</v>
          </cell>
          <cell r="C3071">
            <v>1804081.3636363635</v>
          </cell>
        </row>
        <row r="3072">
          <cell r="A3072" t="str">
            <v>PST140</v>
          </cell>
          <cell r="B3072" t="str">
            <v>APOTIK BERSAMA PORSEA</v>
          </cell>
          <cell r="C3072">
            <v>1808569.5454545456</v>
          </cell>
        </row>
        <row r="3073">
          <cell r="A3073" t="str">
            <v>PST141</v>
          </cell>
          <cell r="B3073" t="str">
            <v>TOKO OBAT FAMILI</v>
          </cell>
          <cell r="C3073">
            <v>133200</v>
          </cell>
          <cell r="D3073">
            <v>378807.95454545459</v>
          </cell>
        </row>
        <row r="3074">
          <cell r="A3074" t="str">
            <v>PST142</v>
          </cell>
          <cell r="B3074" t="str">
            <v>APOTIK GEONA CAHAYA FARMA</v>
          </cell>
          <cell r="C3074">
            <v>907434.54545454541</v>
          </cell>
        </row>
        <row r="3075">
          <cell r="A3075" t="str">
            <v>PST143</v>
          </cell>
          <cell r="B3075" t="str">
            <v>ZAHARA COSMETIC</v>
          </cell>
          <cell r="C3075">
            <v>1014136.3636363636</v>
          </cell>
          <cell r="D3075">
            <v>866400</v>
          </cell>
        </row>
        <row r="3076">
          <cell r="A3076" t="str">
            <v>PST145</v>
          </cell>
          <cell r="B3076" t="str">
            <v>BERKAH ALSHOP</v>
          </cell>
          <cell r="C3076">
            <v>2146621.3636363642</v>
          </cell>
          <cell r="D3076">
            <v>1728648.4090909094</v>
          </cell>
        </row>
        <row r="3077">
          <cell r="A3077" t="str">
            <v>PST146</v>
          </cell>
          <cell r="B3077" t="str">
            <v>BAWANA COSMETIC</v>
          </cell>
          <cell r="C3077">
            <v>3864000</v>
          </cell>
          <cell r="D3077">
            <v>2150000</v>
          </cell>
        </row>
        <row r="3078">
          <cell r="A3078" t="str">
            <v>PST148</v>
          </cell>
          <cell r="B3078" t="str">
            <v xml:space="preserve">INDAH </v>
          </cell>
          <cell r="C3078">
            <v>619816.36363636365</v>
          </cell>
        </row>
        <row r="3079">
          <cell r="A3079" t="str">
            <v>PST150</v>
          </cell>
          <cell r="B3079" t="str">
            <v>BLOOME COSMETIC</v>
          </cell>
          <cell r="C3079">
            <v>2135740.9090909096</v>
          </cell>
        </row>
        <row r="3080">
          <cell r="A3080" t="str">
            <v>PST152</v>
          </cell>
          <cell r="B3080" t="str">
            <v>TOKO PUTRA</v>
          </cell>
          <cell r="C3080">
            <v>4621784.3181818184</v>
          </cell>
          <cell r="D3080">
            <v>1568581.8181818184</v>
          </cell>
        </row>
        <row r="3081">
          <cell r="A3081" t="str">
            <v>PUS2</v>
          </cell>
          <cell r="B3081" t="str">
            <v>PUSAT CANTIK 2</v>
          </cell>
          <cell r="C3081">
            <v>7980459.0454545487</v>
          </cell>
          <cell r="D3081">
            <v>17453680.090909101</v>
          </cell>
        </row>
        <row r="3082">
          <cell r="A3082" t="str">
            <v>PYB004</v>
          </cell>
          <cell r="B3082" t="str">
            <v>ASRIN SIREGAR</v>
          </cell>
          <cell r="C3082">
            <v>2745130.9090909092</v>
          </cell>
          <cell r="D3082">
            <v>3093231.8181818179</v>
          </cell>
        </row>
        <row r="3083">
          <cell r="A3083" t="str">
            <v>Q003</v>
          </cell>
          <cell r="B3083" t="str">
            <v>QORY</v>
          </cell>
          <cell r="C3083">
            <v>317863.63636363635</v>
          </cell>
        </row>
        <row r="3084">
          <cell r="A3084" t="str">
            <v>R010</v>
          </cell>
          <cell r="B3084" t="str">
            <v>RANI G.MEDAN</v>
          </cell>
          <cell r="C3084">
            <v>2538004.0909090918</v>
          </cell>
          <cell r="D3084">
            <v>2320584.5454545459</v>
          </cell>
        </row>
        <row r="3085">
          <cell r="A3085" t="str">
            <v>R015</v>
          </cell>
          <cell r="B3085" t="str">
            <v>RENO PP</v>
          </cell>
          <cell r="C3085">
            <v>490397.72727272718</v>
          </cell>
        </row>
        <row r="3086">
          <cell r="A3086" t="str">
            <v>R016</v>
          </cell>
          <cell r="B3086" t="str">
            <v>REREN</v>
          </cell>
          <cell r="C3086">
            <v>1964225.4545454544</v>
          </cell>
          <cell r="D3086">
            <v>2023609.0909090904</v>
          </cell>
        </row>
        <row r="3087">
          <cell r="A3087" t="str">
            <v>R020</v>
          </cell>
          <cell r="B3087" t="str">
            <v>RIDHO PP</v>
          </cell>
          <cell r="C3087">
            <v>303923.63636363635</v>
          </cell>
        </row>
        <row r="3088">
          <cell r="A3088" t="str">
            <v>R021</v>
          </cell>
          <cell r="B3088" t="str">
            <v>RIFA MART</v>
          </cell>
          <cell r="C3088">
            <v>767201.59090909071</v>
          </cell>
          <cell r="D3088">
            <v>245300</v>
          </cell>
        </row>
        <row r="3089">
          <cell r="A3089" t="str">
            <v>R022</v>
          </cell>
          <cell r="B3089" t="str">
            <v>RIFA MART 2</v>
          </cell>
          <cell r="C3089">
            <v>328101.40909090906</v>
          </cell>
        </row>
        <row r="3090">
          <cell r="A3090" t="str">
            <v>R027</v>
          </cell>
          <cell r="B3090" t="str">
            <v>RISDA</v>
          </cell>
          <cell r="C3090">
            <v>4491272.7272727266</v>
          </cell>
          <cell r="D3090">
            <v>4642223.1818181807</v>
          </cell>
        </row>
        <row r="3091">
          <cell r="A3091" t="str">
            <v>R029</v>
          </cell>
          <cell r="B3091" t="str">
            <v>RIZKI MART KP.KALAWI</v>
          </cell>
          <cell r="C3091">
            <v>376322.72727272729</v>
          </cell>
        </row>
        <row r="3092">
          <cell r="A3092" t="str">
            <v>R033</v>
          </cell>
          <cell r="B3092" t="str">
            <v>RUMAH NELLA</v>
          </cell>
          <cell r="C3092">
            <v>854141.13636363635</v>
          </cell>
          <cell r="D3092">
            <v>972511.36363636353</v>
          </cell>
        </row>
        <row r="3093">
          <cell r="A3093" t="str">
            <v>R037</v>
          </cell>
          <cell r="B3093" t="str">
            <v>RIZKY MART BKT</v>
          </cell>
          <cell r="C3093">
            <v>770102.27272727259</v>
          </cell>
        </row>
        <row r="3094">
          <cell r="A3094" t="str">
            <v>R038</v>
          </cell>
          <cell r="B3094" t="str">
            <v>RIO PAINAN</v>
          </cell>
          <cell r="C3094">
            <v>1168148.8636363638</v>
          </cell>
          <cell r="D3094">
            <v>2301492.2727272729</v>
          </cell>
        </row>
        <row r="3095">
          <cell r="A3095" t="str">
            <v>R041</v>
          </cell>
          <cell r="B3095" t="str">
            <v>RYANDRA</v>
          </cell>
          <cell r="C3095">
            <v>1906273.6363636372</v>
          </cell>
          <cell r="D3095">
            <v>2018390.4545454551</v>
          </cell>
        </row>
        <row r="3096">
          <cell r="A3096" t="str">
            <v>R045</v>
          </cell>
          <cell r="B3096" t="str">
            <v>RAHMAD BERSAUDARA</v>
          </cell>
          <cell r="C3096">
            <v>344352.27272727271</v>
          </cell>
          <cell r="D3096">
            <v>317863.63636363635</v>
          </cell>
        </row>
        <row r="3097">
          <cell r="A3097" t="str">
            <v>R046</v>
          </cell>
          <cell r="B3097" t="str">
            <v>RUSLI S.PENUH</v>
          </cell>
          <cell r="C3097">
            <v>736329.5454545453</v>
          </cell>
        </row>
        <row r="3098">
          <cell r="A3098" t="str">
            <v>R048</v>
          </cell>
          <cell r="B3098" t="str">
            <v>RAZIQ MART</v>
          </cell>
          <cell r="C3098">
            <v>408984.54545454553</v>
          </cell>
          <cell r="D3098">
            <v>1153759.0909090908</v>
          </cell>
        </row>
        <row r="3099">
          <cell r="A3099" t="str">
            <v>R051</v>
          </cell>
          <cell r="B3099" t="str">
            <v>RATU KOSMETIK</v>
          </cell>
          <cell r="C3099">
            <v>980584.09090909106</v>
          </cell>
        </row>
        <row r="3100">
          <cell r="A3100" t="str">
            <v>R056</v>
          </cell>
          <cell r="B3100" t="str">
            <v>RINO</v>
          </cell>
          <cell r="C3100">
            <v>74884.090909090912</v>
          </cell>
          <cell r="D3100">
            <v>112000</v>
          </cell>
        </row>
        <row r="3101">
          <cell r="A3101" t="str">
            <v>R057</v>
          </cell>
          <cell r="B3101" t="str">
            <v>RIZKI M.LABUH</v>
          </cell>
          <cell r="C3101">
            <v>1341488.8636363635</v>
          </cell>
        </row>
        <row r="3102">
          <cell r="A3102" t="str">
            <v>R060</v>
          </cell>
          <cell r="B3102" t="str">
            <v>RATNA COS</v>
          </cell>
          <cell r="C3102">
            <v>820708.18181818165</v>
          </cell>
          <cell r="D3102">
            <v>210709.09090909091</v>
          </cell>
        </row>
        <row r="3103">
          <cell r="A3103" t="str">
            <v>R219</v>
          </cell>
          <cell r="B3103" t="str">
            <v>ROXY DAIK / ROBIN</v>
          </cell>
          <cell r="C3103">
            <v>2947088.5909090913</v>
          </cell>
          <cell r="D3103">
            <v>1180864.5</v>
          </cell>
        </row>
        <row r="3104">
          <cell r="A3104" t="str">
            <v>R220</v>
          </cell>
          <cell r="B3104" t="str">
            <v>RIDO / SEPTINO</v>
          </cell>
          <cell r="C3104">
            <v>6767764.0909090918</v>
          </cell>
          <cell r="D3104">
            <v>13520746.5</v>
          </cell>
        </row>
        <row r="3105">
          <cell r="A3105" t="str">
            <v>R222</v>
          </cell>
          <cell r="B3105" t="str">
            <v>MISS GLAM / REDIAN FIKRI</v>
          </cell>
          <cell r="C3105">
            <v>39159441.545454562</v>
          </cell>
          <cell r="D3105">
            <v>5406095.0000000009</v>
          </cell>
        </row>
        <row r="3106">
          <cell r="A3106" t="str">
            <v>RAHASIA</v>
          </cell>
          <cell r="B3106" t="str">
            <v>RAHASIA CANTIK ,TK (SALWA)</v>
          </cell>
          <cell r="C3106">
            <v>19611394.363636371</v>
          </cell>
          <cell r="D3106">
            <v>23524698.545454554</v>
          </cell>
        </row>
        <row r="3107">
          <cell r="A3107" t="str">
            <v>RAHS2</v>
          </cell>
          <cell r="B3107" t="str">
            <v>RAHASIA CANTIK2,TK</v>
          </cell>
          <cell r="C3107">
            <v>19154465.590909094</v>
          </cell>
          <cell r="D3107">
            <v>25148930.363636371</v>
          </cell>
        </row>
        <row r="3108">
          <cell r="A3108" t="str">
            <v>RPT003</v>
          </cell>
          <cell r="B3108" t="str">
            <v>BRASTAGI R PRAPAT</v>
          </cell>
          <cell r="C3108">
            <v>1889680.9090909092</v>
          </cell>
          <cell r="D3108">
            <v>2288458.6363636367</v>
          </cell>
        </row>
        <row r="3109">
          <cell r="A3109" t="str">
            <v>RPT006</v>
          </cell>
          <cell r="B3109" t="str">
            <v>TOKO JAYA BARU</v>
          </cell>
          <cell r="C3109">
            <v>116363600.18181816</v>
          </cell>
          <cell r="D3109">
            <v>110296683.81818181</v>
          </cell>
        </row>
        <row r="3110">
          <cell r="A3110" t="str">
            <v>RPT015</v>
          </cell>
          <cell r="B3110" t="str">
            <v>MOLY</v>
          </cell>
          <cell r="C3110">
            <v>942218.18181818177</v>
          </cell>
        </row>
        <row r="3111">
          <cell r="A3111" t="str">
            <v>RPT016</v>
          </cell>
          <cell r="B3111" t="str">
            <v>TOKO SUMBER MURAH</v>
          </cell>
          <cell r="C3111">
            <v>53066378.181818187</v>
          </cell>
        </row>
        <row r="3112">
          <cell r="A3112" t="str">
            <v>RPT017</v>
          </cell>
          <cell r="B3112" t="str">
            <v>TOKO EMELLY</v>
          </cell>
          <cell r="C3112">
            <v>864589.09090909094</v>
          </cell>
        </row>
        <row r="3113">
          <cell r="A3113" t="str">
            <v>RPT026</v>
          </cell>
          <cell r="B3113" t="str">
            <v>MISS GLAM RANTAU PRAPAT</v>
          </cell>
          <cell r="C3113">
            <v>59057881.000000015</v>
          </cell>
          <cell r="D3113">
            <v>49012413.227272704</v>
          </cell>
        </row>
        <row r="3114">
          <cell r="A3114" t="str">
            <v>RTU</v>
          </cell>
          <cell r="B3114" t="str">
            <v>RATU TOKO,SGU</v>
          </cell>
          <cell r="C3114">
            <v>7178003.7272727285</v>
          </cell>
          <cell r="D3114">
            <v>5369315.454545456</v>
          </cell>
        </row>
        <row r="3115">
          <cell r="A3115" t="str">
            <v>RUD</v>
          </cell>
          <cell r="B3115" t="str">
            <v>RUDY, TO</v>
          </cell>
          <cell r="C3115">
            <v>317409.54545454553</v>
          </cell>
          <cell r="D3115">
            <v>901673.18181818165</v>
          </cell>
        </row>
        <row r="3116">
          <cell r="A3116" t="str">
            <v>RVON</v>
          </cell>
          <cell r="B3116" t="str">
            <v>RISHA SUKSES SEJAHTERA,CV</v>
          </cell>
          <cell r="C3116">
            <v>37696649.181818195</v>
          </cell>
          <cell r="D3116">
            <v>90826109.727272719</v>
          </cell>
        </row>
        <row r="3117">
          <cell r="A3117" t="str">
            <v>RYL-M</v>
          </cell>
          <cell r="B3117" t="str">
            <v>ROYAL MART</v>
          </cell>
          <cell r="C3117">
            <v>1817887.4999999998</v>
          </cell>
          <cell r="D3117">
            <v>1498982.7272727275</v>
          </cell>
        </row>
        <row r="3118">
          <cell r="A3118" t="str">
            <v>S004</v>
          </cell>
          <cell r="B3118" t="str">
            <v>SALATA MART</v>
          </cell>
          <cell r="C3118">
            <v>2039199.5454545452</v>
          </cell>
          <cell r="D3118">
            <v>1040069.9999999998</v>
          </cell>
        </row>
        <row r="3119">
          <cell r="A3119" t="str">
            <v>S015</v>
          </cell>
          <cell r="B3119" t="str">
            <v>SEJATI SWALAYAN</v>
          </cell>
          <cell r="C3119">
            <v>1881139.0909090908</v>
          </cell>
          <cell r="D3119">
            <v>4016396.5909090922</v>
          </cell>
        </row>
        <row r="3120">
          <cell r="A3120" t="str">
            <v>S017</v>
          </cell>
          <cell r="B3120" t="str">
            <v>SINAR JAYA TOBOH</v>
          </cell>
          <cell r="C3120">
            <v>1190270.4545454546</v>
          </cell>
        </row>
        <row r="3121">
          <cell r="A3121" t="str">
            <v>S020</v>
          </cell>
          <cell r="B3121" t="str">
            <v>SINGGALANG SUTOMO</v>
          </cell>
          <cell r="C3121">
            <v>856599.13636363635</v>
          </cell>
          <cell r="D3121">
            <v>1346555</v>
          </cell>
        </row>
        <row r="3122">
          <cell r="A3122" t="str">
            <v>S028</v>
          </cell>
          <cell r="B3122" t="str">
            <v>SINGGALANG GADUT</v>
          </cell>
          <cell r="C3122">
            <v>582573.18181818177</v>
          </cell>
          <cell r="D3122">
            <v>1081891.1818181819</v>
          </cell>
        </row>
        <row r="3123">
          <cell r="A3123" t="str">
            <v>S029</v>
          </cell>
          <cell r="B3123" t="str">
            <v>SUMBER RM</v>
          </cell>
          <cell r="C3123">
            <v>1968181.3636363642</v>
          </cell>
          <cell r="D3123">
            <v>635727.27272727259</v>
          </cell>
        </row>
        <row r="3124">
          <cell r="A3124" t="str">
            <v>S033</v>
          </cell>
          <cell r="B3124" t="str">
            <v>SABANG MERAUKE MART</v>
          </cell>
          <cell r="C3124">
            <v>239154.54545454547</v>
          </cell>
        </row>
        <row r="3125">
          <cell r="A3125" t="str">
            <v>S034</v>
          </cell>
          <cell r="B3125" t="str">
            <v>SCRAFTA</v>
          </cell>
          <cell r="C3125">
            <v>6758160.6818181835</v>
          </cell>
          <cell r="D3125">
            <v>6094368.1818181835</v>
          </cell>
        </row>
        <row r="3126">
          <cell r="A3126" t="str">
            <v>S049</v>
          </cell>
          <cell r="B3126" t="str">
            <v>SAHABAT PARIAMAN</v>
          </cell>
          <cell r="C3126">
            <v>264886.36363636365</v>
          </cell>
        </row>
        <row r="3127">
          <cell r="A3127" t="str">
            <v>S050</v>
          </cell>
          <cell r="B3127" t="str">
            <v>SWALAYAN 90</v>
          </cell>
          <cell r="C3127">
            <v>1574226.1363636365</v>
          </cell>
          <cell r="D3127">
            <v>3084852.4090909087</v>
          </cell>
        </row>
        <row r="3128">
          <cell r="A3128" t="str">
            <v>S051</v>
          </cell>
          <cell r="B3128" t="str">
            <v>SS MART P.ARO</v>
          </cell>
          <cell r="C3128">
            <v>1050052.5</v>
          </cell>
          <cell r="D3128">
            <v>633275.18181818188</v>
          </cell>
        </row>
        <row r="3129">
          <cell r="A3129" t="str">
            <v>S058</v>
          </cell>
          <cell r="B3129" t="str">
            <v>SUKA JAYA COSMETIK</v>
          </cell>
          <cell r="C3129">
            <v>1186085.4545454546</v>
          </cell>
          <cell r="D3129">
            <v>1093450.9090909092</v>
          </cell>
        </row>
        <row r="3130">
          <cell r="A3130" t="str">
            <v>S059</v>
          </cell>
          <cell r="B3130" t="str">
            <v>SEJAHTERA MANDIRI SUPPLY</v>
          </cell>
          <cell r="C3130">
            <v>1172872.7272727273</v>
          </cell>
          <cell r="D3130">
            <v>575583.40909090906</v>
          </cell>
        </row>
        <row r="3131">
          <cell r="A3131" t="str">
            <v>S063</v>
          </cell>
          <cell r="B3131" t="str">
            <v>SARI FAJAR</v>
          </cell>
          <cell r="C3131">
            <v>212968.63636363635</v>
          </cell>
          <cell r="D3131">
            <v>1314655.9090909092</v>
          </cell>
        </row>
        <row r="3132">
          <cell r="A3132" t="str">
            <v>S071</v>
          </cell>
          <cell r="B3132" t="str">
            <v>SUSIYANTI</v>
          </cell>
          <cell r="C3132">
            <v>2660648.8636363633</v>
          </cell>
          <cell r="D3132">
            <v>3387975.6818181835</v>
          </cell>
        </row>
        <row r="3133">
          <cell r="A3133" t="str">
            <v>S075</v>
          </cell>
          <cell r="B3133" t="str">
            <v>SINAR JAYA BARU / HASYIM</v>
          </cell>
          <cell r="C3133">
            <v>37084.090909090912</v>
          </cell>
          <cell r="D3133">
            <v>177476.04545454547</v>
          </cell>
        </row>
        <row r="3134">
          <cell r="A3134" t="str">
            <v>S099</v>
          </cell>
          <cell r="B3134" t="str">
            <v>SEDERHANA / LO SJU BOI</v>
          </cell>
          <cell r="C3134">
            <v>212400</v>
          </cell>
          <cell r="D3134">
            <v>112000</v>
          </cell>
        </row>
        <row r="3135">
          <cell r="A3135" t="str">
            <v>S120</v>
          </cell>
          <cell r="B3135" t="str">
            <v>SUBROTO</v>
          </cell>
          <cell r="C3135">
            <v>105954.54545454544</v>
          </cell>
          <cell r="D3135">
            <v>168000</v>
          </cell>
        </row>
        <row r="3136">
          <cell r="A3136" t="str">
            <v>S123</v>
          </cell>
          <cell r="B3136" t="str">
            <v>SUSILOWATI</v>
          </cell>
          <cell r="C3136">
            <v>754065.00000000023</v>
          </cell>
        </row>
        <row r="3137">
          <cell r="A3137" t="str">
            <v>S243</v>
          </cell>
          <cell r="B3137" t="str">
            <v>SRIJAYA MART / SRI SULASTRI</v>
          </cell>
          <cell r="C3137">
            <v>107720.45454545454</v>
          </cell>
          <cell r="D3137">
            <v>79084.090909090912</v>
          </cell>
        </row>
        <row r="3138">
          <cell r="A3138" t="str">
            <v>S247</v>
          </cell>
          <cell r="B3138" t="str">
            <v>TOKO SEMANGAT / LAI KIE</v>
          </cell>
          <cell r="C3138">
            <v>22200</v>
          </cell>
        </row>
        <row r="3139">
          <cell r="A3139" t="str">
            <v>S249</v>
          </cell>
          <cell r="B3139" t="str">
            <v>SITI MARDIYAH</v>
          </cell>
          <cell r="C3139">
            <v>239457.27272727274</v>
          </cell>
          <cell r="D3139">
            <v>713074.09090909071</v>
          </cell>
        </row>
        <row r="3140">
          <cell r="A3140" t="str">
            <v>S251</v>
          </cell>
          <cell r="B3140" t="str">
            <v>SINAR REZEKI / PHILIP TAN</v>
          </cell>
          <cell r="C3140">
            <v>1016830.6363636364</v>
          </cell>
          <cell r="D3140">
            <v>836194.63636363647</v>
          </cell>
        </row>
        <row r="3141">
          <cell r="A3141" t="str">
            <v>S264</v>
          </cell>
          <cell r="B3141" t="str">
            <v>SINAR REZEKI / A BA</v>
          </cell>
          <cell r="C3141">
            <v>55626.136363636368</v>
          </cell>
          <cell r="D3141">
            <v>56342.045454545456</v>
          </cell>
        </row>
        <row r="3142">
          <cell r="A3142" t="str">
            <v>SABAR</v>
          </cell>
          <cell r="B3142" t="str">
            <v>SS KOSMETIK,PTK</v>
          </cell>
          <cell r="C3142">
            <v>1500950.4545454546</v>
          </cell>
          <cell r="D3142">
            <v>392400.00000000006</v>
          </cell>
        </row>
        <row r="3143">
          <cell r="A3143" t="str">
            <v>SAFA</v>
          </cell>
          <cell r="B3143" t="str">
            <v>SAFA PONSEL,PUNGGUR</v>
          </cell>
          <cell r="C3143">
            <v>410273.18181818182</v>
          </cell>
        </row>
        <row r="3144">
          <cell r="A3144" t="str">
            <v>SAN1</v>
          </cell>
          <cell r="B3144" t="str">
            <v>SANDO, TO</v>
          </cell>
          <cell r="C3144">
            <v>557018.18181818177</v>
          </cell>
        </row>
        <row r="3145">
          <cell r="A3145" t="str">
            <v>SAT-M</v>
          </cell>
          <cell r="B3145" t="str">
            <v>SATELIT MART,NGABANG</v>
          </cell>
          <cell r="C3145">
            <v>2554109.7272727275</v>
          </cell>
        </row>
        <row r="3146">
          <cell r="A3146" t="str">
            <v>SBG002</v>
          </cell>
          <cell r="B3146" t="str">
            <v>NAULI SWALAYAN</v>
          </cell>
          <cell r="C3146">
            <v>3018360.6818181821</v>
          </cell>
          <cell r="D3146">
            <v>1252296.8181818181</v>
          </cell>
        </row>
        <row r="3147">
          <cell r="A3147" t="str">
            <v>SBG004</v>
          </cell>
          <cell r="B3147" t="str">
            <v>AIDO SIBOLGA</v>
          </cell>
          <cell r="C3147">
            <v>1614722.7272727275</v>
          </cell>
          <cell r="D3147">
            <v>2097116.1818181816</v>
          </cell>
        </row>
        <row r="3148">
          <cell r="A3148" t="str">
            <v>SBG014</v>
          </cell>
          <cell r="B3148" t="str">
            <v>TOKO MELODY</v>
          </cell>
          <cell r="C3148">
            <v>1639652.7272727271</v>
          </cell>
          <cell r="D3148">
            <v>1619255.4545454546</v>
          </cell>
        </row>
        <row r="3149">
          <cell r="A3149" t="str">
            <v>SBG015</v>
          </cell>
          <cell r="B3149" t="str">
            <v>AIDO PANDAN</v>
          </cell>
          <cell r="C3149">
            <v>1153026.8181818181</v>
          </cell>
        </row>
        <row r="3150">
          <cell r="A3150" t="str">
            <v>SBG017</v>
          </cell>
          <cell r="B3150" t="str">
            <v>ANGELIA MELY</v>
          </cell>
          <cell r="C3150">
            <v>22818583.636363633</v>
          </cell>
          <cell r="D3150">
            <v>57766113.727272734</v>
          </cell>
        </row>
        <row r="3151">
          <cell r="A3151" t="str">
            <v>SBJY</v>
          </cell>
          <cell r="B3151" t="str">
            <v>SERBA JAYA ,TK</v>
          </cell>
          <cell r="C3151">
            <v>357852.27272727276</v>
          </cell>
          <cell r="D3151">
            <v>573289.77272727271</v>
          </cell>
        </row>
        <row r="3152">
          <cell r="A3152" t="str">
            <v>SBR</v>
          </cell>
          <cell r="B3152" t="str">
            <v>SAHABAT BARU, TO</v>
          </cell>
          <cell r="C3152">
            <v>2090806.3636363635</v>
          </cell>
          <cell r="D3152">
            <v>2917200</v>
          </cell>
        </row>
        <row r="3153">
          <cell r="A3153" t="str">
            <v>SBR003</v>
          </cell>
          <cell r="B3153" t="str">
            <v>TOKO SEDERHANA</v>
          </cell>
          <cell r="C3153">
            <v>2268654.5454545459</v>
          </cell>
        </row>
        <row r="3154">
          <cell r="A3154" t="str">
            <v>SBR004</v>
          </cell>
          <cell r="B3154" t="str">
            <v>TOKO MARLINA COS</v>
          </cell>
          <cell r="C3154">
            <v>2500865.1818181812</v>
          </cell>
        </row>
        <row r="3155">
          <cell r="A3155" t="str">
            <v>SDK009</v>
          </cell>
          <cell r="B3155" t="str">
            <v>MALAU ACC</v>
          </cell>
          <cell r="C3155">
            <v>956618.18181818188</v>
          </cell>
          <cell r="D3155">
            <v>1590218.1818181816</v>
          </cell>
        </row>
        <row r="3156">
          <cell r="A3156" t="str">
            <v>SDK012</v>
          </cell>
          <cell r="B3156" t="str">
            <v>RUMAH COSMETICS</v>
          </cell>
          <cell r="C3156">
            <v>4778509.0909090908</v>
          </cell>
          <cell r="D3156">
            <v>3711436.3636363628</v>
          </cell>
        </row>
        <row r="3157">
          <cell r="A3157" t="str">
            <v>SDK013</v>
          </cell>
          <cell r="B3157" t="str">
            <v>ROBIKA MARKET</v>
          </cell>
          <cell r="C3157">
            <v>974984.31818181835</v>
          </cell>
        </row>
        <row r="3158">
          <cell r="A3158" t="str">
            <v>SEA.</v>
          </cell>
          <cell r="B3158" t="str">
            <v>SEA KOSMETIK,SINTANG</v>
          </cell>
          <cell r="C3158">
            <v>21348115.181818184</v>
          </cell>
          <cell r="D3158">
            <v>9917654.3636363652</v>
          </cell>
        </row>
        <row r="3159">
          <cell r="A3159" t="str">
            <v>SGL004</v>
          </cell>
          <cell r="B3159" t="str">
            <v>TOKO JAYA RAYA</v>
          </cell>
          <cell r="C3159">
            <v>532800</v>
          </cell>
          <cell r="D3159">
            <v>3908509.0909090904</v>
          </cell>
        </row>
        <row r="3160">
          <cell r="A3160" t="str">
            <v>SIGM</v>
          </cell>
          <cell r="B3160" t="str">
            <v>SIGMA ,TKO</v>
          </cell>
          <cell r="C3160">
            <v>689461.36363636353</v>
          </cell>
          <cell r="D3160">
            <v>66600.000000000015</v>
          </cell>
        </row>
        <row r="3161">
          <cell r="A3161" t="str">
            <v>SJY</v>
          </cell>
          <cell r="B3161" t="str">
            <v>SANJAYA, TK</v>
          </cell>
          <cell r="C3161">
            <v>991961.59090909082</v>
          </cell>
          <cell r="D3161">
            <v>772852.49999999988</v>
          </cell>
        </row>
        <row r="3162">
          <cell r="A3162" t="str">
            <v>SKP001</v>
          </cell>
          <cell r="B3162" t="str">
            <v>PURNAMA MARKET</v>
          </cell>
          <cell r="C3162">
            <v>356400.00000000012</v>
          </cell>
          <cell r="D3162">
            <v>210479.31818181821</v>
          </cell>
        </row>
        <row r="3163">
          <cell r="A3163" t="str">
            <v>SKP002</v>
          </cell>
          <cell r="B3163" t="str">
            <v>UD. RAJA PAS</v>
          </cell>
          <cell r="C3163">
            <v>635727.27272727259</v>
          </cell>
        </row>
        <row r="3164">
          <cell r="A3164" t="str">
            <v>SMJY</v>
          </cell>
          <cell r="B3164" t="str">
            <v>SM JAYA,BENGKAYANG</v>
          </cell>
          <cell r="C3164">
            <v>16459694.590909095</v>
          </cell>
          <cell r="D3164">
            <v>22079138.59090909</v>
          </cell>
        </row>
        <row r="3165">
          <cell r="A3165" t="str">
            <v>SMNIS</v>
          </cell>
          <cell r="B3165" t="str">
            <v>SANGAT MANIS,TK</v>
          </cell>
          <cell r="C3165">
            <v>4132100.8636363647</v>
          </cell>
          <cell r="D3165">
            <v>1007626.3636363638</v>
          </cell>
        </row>
        <row r="3166">
          <cell r="A3166" t="str">
            <v>SOFT</v>
          </cell>
          <cell r="B3166" t="str">
            <v>SOFTLENS SHOP22</v>
          </cell>
          <cell r="C3166">
            <v>4119925.6363636358</v>
          </cell>
          <cell r="D3166">
            <v>1371455.4545454546</v>
          </cell>
        </row>
        <row r="3167">
          <cell r="A3167" t="str">
            <v>SONIC</v>
          </cell>
          <cell r="B3167" t="str">
            <v>SONIC CELL,SINTANG TOKO</v>
          </cell>
          <cell r="C3167">
            <v>5743923</v>
          </cell>
          <cell r="D3167">
            <v>1271454.5454545454</v>
          </cell>
        </row>
        <row r="3168">
          <cell r="A3168" t="str">
            <v>SPG004</v>
          </cell>
          <cell r="B3168" t="str">
            <v>SEGAR</v>
          </cell>
          <cell r="C3168">
            <v>5905738.6363636367</v>
          </cell>
          <cell r="D3168">
            <v>7067848.0909090899</v>
          </cell>
        </row>
        <row r="3169">
          <cell r="A3169" t="str">
            <v>SRI-RZKI</v>
          </cell>
          <cell r="B3169" t="str">
            <v>ANUGERAH SRIREZEKI RETAILINDO,CV</v>
          </cell>
          <cell r="C3169">
            <v>55626.136363636375</v>
          </cell>
        </row>
        <row r="3170">
          <cell r="A3170" t="str">
            <v>STB003</v>
          </cell>
          <cell r="B3170" t="str">
            <v>STABAT CITY</v>
          </cell>
          <cell r="C3170">
            <v>1069924.0909090908</v>
          </cell>
          <cell r="D3170">
            <v>2610762.4090909092</v>
          </cell>
        </row>
        <row r="3171">
          <cell r="A3171" t="str">
            <v>STB010</v>
          </cell>
          <cell r="B3171" t="str">
            <v>AISYAH MM</v>
          </cell>
          <cell r="C3171">
            <v>8586414.5454545468</v>
          </cell>
          <cell r="D3171">
            <v>5123213.5909090918</v>
          </cell>
        </row>
        <row r="3172">
          <cell r="A3172" t="str">
            <v>T005</v>
          </cell>
          <cell r="B3172" t="str">
            <v>TIKA</v>
          </cell>
          <cell r="C3172">
            <v>1490806.3636363638</v>
          </cell>
          <cell r="D3172">
            <v>1802274.9999999995</v>
          </cell>
        </row>
        <row r="3173">
          <cell r="A3173" t="str">
            <v>T007</v>
          </cell>
          <cell r="B3173" t="str">
            <v>TO RESTI</v>
          </cell>
          <cell r="C3173">
            <v>9267099.5454545468</v>
          </cell>
          <cell r="D3173">
            <v>12432545.454545457</v>
          </cell>
        </row>
        <row r="3174">
          <cell r="A3174" t="str">
            <v>T009</v>
          </cell>
          <cell r="B3174" t="str">
            <v>TOKO AISYAH BEAUTY SHOP</v>
          </cell>
          <cell r="C3174">
            <v>2979139.0909090908</v>
          </cell>
          <cell r="D3174">
            <v>2396350.9090909092</v>
          </cell>
        </row>
        <row r="3175">
          <cell r="A3175" t="str">
            <v>T012</v>
          </cell>
          <cell r="B3175" t="str">
            <v>TOKO ARSY</v>
          </cell>
          <cell r="C3175">
            <v>146123683.09090897</v>
          </cell>
          <cell r="D3175">
            <v>119110321.63636361</v>
          </cell>
        </row>
        <row r="3176">
          <cell r="A3176" t="str">
            <v>T014</v>
          </cell>
          <cell r="B3176" t="str">
            <v>TOKO EB P&amp;D</v>
          </cell>
          <cell r="C3176">
            <v>368637.04545454547</v>
          </cell>
          <cell r="D3176">
            <v>609354.54545454553</v>
          </cell>
        </row>
        <row r="3177">
          <cell r="A3177" t="str">
            <v>T015</v>
          </cell>
          <cell r="B3177" t="str">
            <v>TOKO TITA</v>
          </cell>
          <cell r="C3177">
            <v>393439.5</v>
          </cell>
        </row>
        <row r="3178">
          <cell r="A3178" t="str">
            <v>T018</v>
          </cell>
          <cell r="B3178" t="str">
            <v>TO. SAKINAH / GUSDARINA</v>
          </cell>
          <cell r="C3178">
            <v>91120.909090909088</v>
          </cell>
          <cell r="D3178">
            <v>426315</v>
          </cell>
        </row>
        <row r="3179">
          <cell r="A3179" t="str">
            <v>T020</v>
          </cell>
          <cell r="B3179" t="str">
            <v>TOKO KELUARGA NIPAH</v>
          </cell>
          <cell r="C3179">
            <v>214611.68181818182</v>
          </cell>
          <cell r="D3179">
            <v>281879.95454545453</v>
          </cell>
        </row>
        <row r="3180">
          <cell r="A3180" t="str">
            <v>T021</v>
          </cell>
          <cell r="B3180" t="str">
            <v>TOKO MAS UDIN</v>
          </cell>
          <cell r="C3180">
            <v>6501769.0909090899</v>
          </cell>
          <cell r="D3180">
            <v>7747699.0909090927</v>
          </cell>
        </row>
        <row r="3181">
          <cell r="A3181" t="str">
            <v>T023</v>
          </cell>
          <cell r="B3181" t="str">
            <v>TOKO SAMUDRA JAYA</v>
          </cell>
          <cell r="C3181">
            <v>401863.63636363635</v>
          </cell>
          <cell r="D3181">
            <v>869863.63636363624</v>
          </cell>
        </row>
        <row r="3182">
          <cell r="A3182" t="str">
            <v>T026</v>
          </cell>
          <cell r="B3182" t="str">
            <v>TOKO KK MART</v>
          </cell>
          <cell r="C3182">
            <v>227850.00000000003</v>
          </cell>
        </row>
        <row r="3183">
          <cell r="A3183" t="str">
            <v>T0282</v>
          </cell>
          <cell r="B3183" t="str">
            <v>CAHAYA TERANG / YANTO</v>
          </cell>
          <cell r="C3183">
            <v>238397.72727272726</v>
          </cell>
          <cell r="D3183">
            <v>451366.36363636353</v>
          </cell>
        </row>
        <row r="3184">
          <cell r="A3184" t="str">
            <v>T031</v>
          </cell>
          <cell r="B3184" t="str">
            <v>TOKO SINAR BARU SITEBA</v>
          </cell>
          <cell r="C3184">
            <v>332301.13636363635</v>
          </cell>
        </row>
        <row r="3185">
          <cell r="A3185" t="str">
            <v>T034</v>
          </cell>
          <cell r="B3185" t="str">
            <v>TONI COSMETIC</v>
          </cell>
          <cell r="C3185">
            <v>2555169.0909090904</v>
          </cell>
          <cell r="D3185">
            <v>4565935.6818181816</v>
          </cell>
        </row>
        <row r="3186">
          <cell r="A3186" t="str">
            <v>T037</v>
          </cell>
          <cell r="B3186" t="str">
            <v>TOKO BUDI KHATIB</v>
          </cell>
          <cell r="C3186">
            <v>504343.63636363629</v>
          </cell>
          <cell r="D3186">
            <v>1387030.9090909089</v>
          </cell>
        </row>
        <row r="3187">
          <cell r="A3187" t="str">
            <v>T040</v>
          </cell>
          <cell r="B3187" t="str">
            <v>TOKO GADIH RANCAK</v>
          </cell>
          <cell r="C3187">
            <v>25944979.090909101</v>
          </cell>
          <cell r="D3187">
            <v>22121004.545454554</v>
          </cell>
        </row>
        <row r="3188">
          <cell r="A3188" t="str">
            <v>T041</v>
          </cell>
          <cell r="B3188" t="str">
            <v>TOKO KHANZA</v>
          </cell>
          <cell r="C3188">
            <v>401598</v>
          </cell>
        </row>
        <row r="3189">
          <cell r="A3189" t="str">
            <v>T098</v>
          </cell>
          <cell r="B3189" t="str">
            <v>TOKO HARI - HARI / A MIANG</v>
          </cell>
          <cell r="C3189">
            <v>699300.00000000023</v>
          </cell>
        </row>
        <row r="3190">
          <cell r="A3190" t="str">
            <v>T123</v>
          </cell>
          <cell r="B3190" t="str">
            <v>TOKO ISNA / FAJAR</v>
          </cell>
          <cell r="C3190">
            <v>398433.13636363635</v>
          </cell>
        </row>
        <row r="3191">
          <cell r="A3191" t="str">
            <v>T192</v>
          </cell>
          <cell r="B3191" t="str">
            <v>MERLINDONA TARIGAN</v>
          </cell>
          <cell r="C3191">
            <v>450310.09090909082</v>
          </cell>
        </row>
        <row r="3192">
          <cell r="A3192" t="str">
            <v>T193</v>
          </cell>
          <cell r="B3192" t="str">
            <v>TOKO ARI 2 / NOFRIANTO</v>
          </cell>
          <cell r="C3192">
            <v>37084.090909090912</v>
          </cell>
        </row>
        <row r="3193">
          <cell r="A3193" t="str">
            <v>T201</v>
          </cell>
          <cell r="B3193" t="str">
            <v>TITIN / RAWIUL KHATIMAH</v>
          </cell>
          <cell r="C3193">
            <v>4241260.9090909092</v>
          </cell>
          <cell r="D3193">
            <v>6911128.3636363642</v>
          </cell>
        </row>
        <row r="3194">
          <cell r="A3194" t="str">
            <v>T218</v>
          </cell>
          <cell r="B3194" t="str">
            <v>TOKO KARUNIA JAYA / DESI MANDANG</v>
          </cell>
          <cell r="C3194">
            <v>37084.090909090912</v>
          </cell>
          <cell r="D3194">
            <v>18542.045454545456</v>
          </cell>
        </row>
        <row r="3195">
          <cell r="A3195" t="str">
            <v>T269</v>
          </cell>
          <cell r="B3195" t="str">
            <v>TOKO ZAYYAN / WIDYA MARINA</v>
          </cell>
          <cell r="C3195">
            <v>3183325.3636363638</v>
          </cell>
          <cell r="D3195">
            <v>3500087.9999999995</v>
          </cell>
        </row>
        <row r="3196">
          <cell r="A3196" t="str">
            <v>T272</v>
          </cell>
          <cell r="B3196" t="str">
            <v>AMAN</v>
          </cell>
          <cell r="C3196">
            <v>37084.090909090912</v>
          </cell>
          <cell r="D3196">
            <v>55626.136363636368</v>
          </cell>
        </row>
        <row r="3197">
          <cell r="A3197" t="str">
            <v>T291</v>
          </cell>
          <cell r="B3197" t="str">
            <v>TOKO RANDY / KRISTYANTO</v>
          </cell>
          <cell r="C3197">
            <v>188626.13636363638</v>
          </cell>
          <cell r="D3197">
            <v>347863.63636363635</v>
          </cell>
        </row>
        <row r="3198">
          <cell r="A3198" t="str">
            <v>T296</v>
          </cell>
          <cell r="B3198" t="str">
            <v>TOKO TIAN / ANTO</v>
          </cell>
          <cell r="C3198">
            <v>190718.18181818182</v>
          </cell>
          <cell r="D3198">
            <v>420639.54545454541</v>
          </cell>
        </row>
        <row r="3199">
          <cell r="A3199" t="str">
            <v>TANSU</v>
          </cell>
          <cell r="B3199" t="str">
            <v>TAN SUN LIE/ RUSTANDIE</v>
          </cell>
          <cell r="C3199">
            <v>2088720.0000000012</v>
          </cell>
        </row>
        <row r="3200">
          <cell r="A3200" t="str">
            <v>TBT001</v>
          </cell>
          <cell r="B3200" t="str">
            <v>IRIAN TEBING</v>
          </cell>
          <cell r="C3200">
            <v>66131853.409090877</v>
          </cell>
          <cell r="D3200">
            <v>13577180.454545455</v>
          </cell>
        </row>
        <row r="3201">
          <cell r="A3201" t="str">
            <v>TBT003</v>
          </cell>
          <cell r="B3201" t="str">
            <v>TOKO NUSANTARA T.TINGGI</v>
          </cell>
          <cell r="C3201">
            <v>34790643.81818182</v>
          </cell>
          <cell r="D3201">
            <v>34166543.636363626</v>
          </cell>
        </row>
        <row r="3202">
          <cell r="A3202" t="str">
            <v>TBT015</v>
          </cell>
          <cell r="B3202" t="str">
            <v>APOTIK BAGELAN</v>
          </cell>
          <cell r="C3202">
            <v>1718345.4545454544</v>
          </cell>
          <cell r="D3202">
            <v>992732.72727272729</v>
          </cell>
        </row>
        <row r="3203">
          <cell r="A3203" t="str">
            <v>TBT019</v>
          </cell>
          <cell r="B3203" t="str">
            <v>TOKO JATINEGARA</v>
          </cell>
          <cell r="C3203">
            <v>3081220.9090909096</v>
          </cell>
          <cell r="D3203">
            <v>3208442.727272728</v>
          </cell>
        </row>
        <row r="3204">
          <cell r="A3204" t="str">
            <v>TBT021</v>
          </cell>
          <cell r="B3204" t="str">
            <v>CV.MAHARANI/DECO T.TINGGI</v>
          </cell>
          <cell r="C3204">
            <v>399477.27272727271</v>
          </cell>
        </row>
        <row r="3205">
          <cell r="A3205" t="str">
            <v>TITA</v>
          </cell>
          <cell r="B3205" t="str">
            <v>TITAN TOKO ,BODOK</v>
          </cell>
          <cell r="C3205">
            <v>20618943.272727277</v>
          </cell>
          <cell r="D3205">
            <v>900000</v>
          </cell>
        </row>
        <row r="3206">
          <cell r="A3206" t="str">
            <v>TJB003</v>
          </cell>
          <cell r="B3206" t="str">
            <v xml:space="preserve"> ANGEL TANJUNG BALAI</v>
          </cell>
          <cell r="C3206">
            <v>800100</v>
          </cell>
          <cell r="D3206">
            <v>1098900.0000000002</v>
          </cell>
        </row>
        <row r="3207">
          <cell r="A3207" t="str">
            <v>TJB018</v>
          </cell>
          <cell r="B3207" t="str">
            <v>HANS TANJUNG BALAI</v>
          </cell>
          <cell r="C3207">
            <v>1444745.4545454546</v>
          </cell>
          <cell r="D3207">
            <v>931189.09090909082</v>
          </cell>
        </row>
        <row r="3208">
          <cell r="A3208" t="str">
            <v>TJB020</v>
          </cell>
          <cell r="B3208" t="str">
            <v>MEI LIN MARKET</v>
          </cell>
          <cell r="C3208">
            <v>34021673.706818178</v>
          </cell>
          <cell r="D3208">
            <v>36338611.363636374</v>
          </cell>
        </row>
        <row r="3209">
          <cell r="A3209" t="str">
            <v>TJB027</v>
          </cell>
          <cell r="B3209" t="str">
            <v>TOKO ROBIN</v>
          </cell>
          <cell r="C3209">
            <v>18772807.636363637</v>
          </cell>
        </row>
        <row r="3210">
          <cell r="A3210" t="str">
            <v>TJB028</v>
          </cell>
          <cell r="B3210" t="str">
            <v>TOKO AFWA</v>
          </cell>
          <cell r="C3210">
            <v>274909.09090909088</v>
          </cell>
          <cell r="D3210">
            <v>178798.29545454544</v>
          </cell>
        </row>
        <row r="3211">
          <cell r="A3211" t="str">
            <v>TJB033</v>
          </cell>
          <cell r="B3211" t="str">
            <v>YAKIN FARMA</v>
          </cell>
          <cell r="C3211">
            <v>1413537.9545454544</v>
          </cell>
          <cell r="D3211">
            <v>922172.72727272729</v>
          </cell>
        </row>
        <row r="3212">
          <cell r="A3212" t="str">
            <v>TJB047</v>
          </cell>
          <cell r="B3212" t="str">
            <v>RAJA MANDIRI</v>
          </cell>
          <cell r="C3212">
            <v>451063.63636363641</v>
          </cell>
          <cell r="D3212">
            <v>148336.36363636365</v>
          </cell>
        </row>
        <row r="3213">
          <cell r="A3213" t="str">
            <v>TJM007</v>
          </cell>
          <cell r="B3213" t="str">
            <v>IRIAN TAMORA</v>
          </cell>
          <cell r="C3213">
            <v>23347945.22727273</v>
          </cell>
          <cell r="D3213">
            <v>3071333.8636363638</v>
          </cell>
        </row>
        <row r="3214">
          <cell r="B3214" t="str">
            <v>TOKO UD ABEL SINUHAJI/SEBELAH WARMAT</v>
          </cell>
          <cell r="C3214">
            <v>-56115</v>
          </cell>
        </row>
        <row r="3215">
          <cell r="A3215" t="str">
            <v>TJM009</v>
          </cell>
          <cell r="B3215" t="str">
            <v>TREND ABG</v>
          </cell>
          <cell r="C3215">
            <v>252954.54545454544</v>
          </cell>
          <cell r="D3215">
            <v>238800</v>
          </cell>
        </row>
        <row r="3216">
          <cell r="A3216" t="str">
            <v>TJM013</v>
          </cell>
          <cell r="B3216" t="str">
            <v>TOKO GWEEND</v>
          </cell>
          <cell r="C3216">
            <v>456045.45454545459</v>
          </cell>
        </row>
        <row r="3217">
          <cell r="A3217" t="str">
            <v>TK SNTI</v>
          </cell>
          <cell r="B3217" t="str">
            <v>SANTI ,TOKO</v>
          </cell>
          <cell r="C3217">
            <v>7272765</v>
          </cell>
        </row>
        <row r="3218">
          <cell r="A3218" t="str">
            <v>TLC001</v>
          </cell>
          <cell r="B3218" t="str">
            <v>BATRAS</v>
          </cell>
          <cell r="C3218">
            <v>-329569.09090909088</v>
          </cell>
        </row>
        <row r="3219">
          <cell r="A3219" t="str">
            <v>TOBE</v>
          </cell>
          <cell r="B3219" t="str">
            <v>TOBELY TOKO,SEKADAU</v>
          </cell>
          <cell r="C3219">
            <v>25468147.909090925</v>
          </cell>
        </row>
        <row r="3220">
          <cell r="A3220" t="str">
            <v>TOP</v>
          </cell>
          <cell r="B3220" t="str">
            <v>TOP MARKET,PINOH</v>
          </cell>
          <cell r="C3220">
            <v>435804.54545454547</v>
          </cell>
        </row>
        <row r="3221">
          <cell r="A3221" t="str">
            <v>TPU007</v>
          </cell>
          <cell r="B3221" t="str">
            <v>EGA COSMETIC</v>
          </cell>
          <cell r="C3221">
            <v>11099022.272727273</v>
          </cell>
          <cell r="D3221">
            <v>1765909.0909090908</v>
          </cell>
        </row>
        <row r="3222">
          <cell r="A3222" t="str">
            <v>TRT001</v>
          </cell>
          <cell r="B3222" t="str">
            <v>DORI TARUTUNG</v>
          </cell>
          <cell r="C3222">
            <v>6407892.2727272753</v>
          </cell>
          <cell r="D3222">
            <v>8552450.4545454569</v>
          </cell>
        </row>
        <row r="3223">
          <cell r="A3223" t="str">
            <v>U002</v>
          </cell>
          <cell r="B3223" t="str">
            <v>UMMY COS ML</v>
          </cell>
          <cell r="C3223">
            <v>4073042.0454545449</v>
          </cell>
          <cell r="D3223">
            <v>8665750.909090912</v>
          </cell>
        </row>
        <row r="3224">
          <cell r="A3224" t="str">
            <v>U005</v>
          </cell>
          <cell r="B3224" t="str">
            <v>UTAMA BTS</v>
          </cell>
          <cell r="C3224">
            <v>1264365</v>
          </cell>
          <cell r="D3224">
            <v>1707368.1818181821</v>
          </cell>
        </row>
        <row r="3225">
          <cell r="A3225" t="str">
            <v>U006</v>
          </cell>
          <cell r="B3225" t="str">
            <v>UNIVERSAL</v>
          </cell>
          <cell r="C3225">
            <v>1412228.6363636367</v>
          </cell>
        </row>
        <row r="3226">
          <cell r="A3226" t="str">
            <v>U011</v>
          </cell>
          <cell r="B3226" t="str">
            <v>UNI COST</v>
          </cell>
          <cell r="C3226">
            <v>1739726.3636363633</v>
          </cell>
        </row>
        <row r="3227">
          <cell r="A3227" t="str">
            <v>U012</v>
          </cell>
          <cell r="B3227" t="str">
            <v>URANGBUAKALUANG</v>
          </cell>
          <cell r="C3227">
            <v>22203711.136363648</v>
          </cell>
          <cell r="D3227">
            <v>43988479.772727266</v>
          </cell>
        </row>
        <row r="3228">
          <cell r="A3228" t="str">
            <v>V002</v>
          </cell>
          <cell r="B3228" t="str">
            <v>VARIA I</v>
          </cell>
          <cell r="C3228">
            <v>28682661.818181828</v>
          </cell>
          <cell r="D3228">
            <v>24424524.545454539</v>
          </cell>
        </row>
        <row r="3229">
          <cell r="A3229" t="str">
            <v>V003</v>
          </cell>
          <cell r="B3229" t="str">
            <v>VIO SURIAN</v>
          </cell>
          <cell r="C3229">
            <v>521145</v>
          </cell>
          <cell r="D3229">
            <v>317863.63636363635</v>
          </cell>
        </row>
        <row r="3230">
          <cell r="A3230" t="str">
            <v>V008</v>
          </cell>
          <cell r="B3230" t="str">
            <v>VIONEST / LINA</v>
          </cell>
          <cell r="C3230">
            <v>2686286.1818181816</v>
          </cell>
          <cell r="D3230">
            <v>2945860.9545454546</v>
          </cell>
        </row>
        <row r="3231">
          <cell r="A3231" t="str">
            <v>V016</v>
          </cell>
          <cell r="B3231" t="str">
            <v>VINA / HERLIANA</v>
          </cell>
          <cell r="C3231">
            <v>305386.36363636365</v>
          </cell>
          <cell r="D3231">
            <v>158931.81818181818</v>
          </cell>
        </row>
        <row r="3232">
          <cell r="A3232" t="str">
            <v>VERO.</v>
          </cell>
          <cell r="B3232" t="str">
            <v>VERO MART,PARIS2</v>
          </cell>
          <cell r="C3232">
            <v>601670.45454545447</v>
          </cell>
          <cell r="D3232">
            <v>877152.27272727271</v>
          </cell>
        </row>
        <row r="3233">
          <cell r="A3233" t="str">
            <v>VERO1</v>
          </cell>
          <cell r="B3233" t="str">
            <v>VERO HANASUI</v>
          </cell>
          <cell r="C3233">
            <v>114000</v>
          </cell>
          <cell r="D3233">
            <v>2856822.8636363642</v>
          </cell>
        </row>
        <row r="3234">
          <cell r="A3234" t="str">
            <v>VI.ASS</v>
          </cell>
          <cell r="B3234" t="str">
            <v>VI ACCESSORIES &amp; COSMETIK</v>
          </cell>
          <cell r="C3234">
            <v>10225188.727272732</v>
          </cell>
        </row>
        <row r="3235">
          <cell r="A3235" t="str">
            <v>W007</v>
          </cell>
          <cell r="B3235" t="str">
            <v>WIFA</v>
          </cell>
          <cell r="C3235">
            <v>2835751.3636363633</v>
          </cell>
          <cell r="D3235">
            <v>1750254.5454545459</v>
          </cell>
        </row>
        <row r="3236">
          <cell r="A3236" t="str">
            <v>W020</v>
          </cell>
          <cell r="B3236" t="str">
            <v>WIDYAFIT / ZULPANDRA</v>
          </cell>
          <cell r="C3236">
            <v>423288.409090909</v>
          </cell>
        </row>
        <row r="3237">
          <cell r="A3237" t="str">
            <v>WAROEN</v>
          </cell>
          <cell r="B3237" t="str">
            <v>WAROENG MART</v>
          </cell>
          <cell r="C3237">
            <v>413374.090909091</v>
          </cell>
          <cell r="D3237">
            <v>418142.04545454559</v>
          </cell>
        </row>
        <row r="3238">
          <cell r="A3238" t="str">
            <v>WILS</v>
          </cell>
          <cell r="B3238" t="str">
            <v>WILSON,TK</v>
          </cell>
          <cell r="C3238">
            <v>1048011.5454545452</v>
          </cell>
          <cell r="D3238">
            <v>281796.13636363635</v>
          </cell>
        </row>
        <row r="3239">
          <cell r="A3239" t="str">
            <v>WIN</v>
          </cell>
          <cell r="B3239" t="str">
            <v>WIN MART,TEBAS</v>
          </cell>
          <cell r="C3239">
            <v>644052.27272727282</v>
          </cell>
          <cell r="D3239">
            <v>586474.90909090906</v>
          </cell>
        </row>
        <row r="3240">
          <cell r="A3240" t="str">
            <v>WJY1</v>
          </cell>
          <cell r="B3240" t="str">
            <v>WIJAYA MART,SAMBAS</v>
          </cell>
          <cell r="C3240">
            <v>1974518.1818181816</v>
          </cell>
          <cell r="D3240">
            <v>537218.18181818177</v>
          </cell>
        </row>
        <row r="3241">
          <cell r="A3241" t="str">
            <v>Y005</v>
          </cell>
          <cell r="B3241" t="str">
            <v>YEN MART</v>
          </cell>
          <cell r="C3241">
            <v>707345.45454545447</v>
          </cell>
          <cell r="D3241">
            <v>280954.54545454541</v>
          </cell>
        </row>
        <row r="3242">
          <cell r="A3242" t="str">
            <v>Y019</v>
          </cell>
          <cell r="B3242" t="str">
            <v>YUMNA COS</v>
          </cell>
          <cell r="C3242">
            <v>358167.27272727276</v>
          </cell>
        </row>
        <row r="3243">
          <cell r="A3243" t="str">
            <v>YUSN</v>
          </cell>
          <cell r="B3243" t="str">
            <v>YUSNITA COLLECTION,SAMBAS</v>
          </cell>
          <cell r="C3243">
            <v>3565469.7727272729</v>
          </cell>
        </row>
        <row r="3244">
          <cell r="A3244" t="str">
            <v>Z001</v>
          </cell>
          <cell r="B3244" t="str">
            <v>ZAFRAN</v>
          </cell>
          <cell r="C3244">
            <v>3732049.9090909096</v>
          </cell>
        </row>
        <row r="3245">
          <cell r="A3245" t="str">
            <v>Z015</v>
          </cell>
          <cell r="B3245" t="str">
            <v>ZAHRA UK</v>
          </cell>
          <cell r="C3245">
            <v>259071.81818181818</v>
          </cell>
        </row>
        <row r="3246">
          <cell r="B3246" t="str">
            <v>ZAIDY FRASTYA</v>
          </cell>
          <cell r="D3246">
            <v>692885.45454545459</v>
          </cell>
        </row>
        <row r="3247">
          <cell r="A3247" t="str">
            <v>Z016</v>
          </cell>
          <cell r="B3247" t="str">
            <v>ZASKIA</v>
          </cell>
          <cell r="C3247">
            <v>198975.00000000003</v>
          </cell>
        </row>
        <row r="3248">
          <cell r="A3248" t="str">
            <v>CST0035051</v>
          </cell>
          <cell r="B3248" t="str">
            <v xml:space="preserve">MAKE UP STORE </v>
          </cell>
          <cell r="D3248">
            <v>10342448.954545457</v>
          </cell>
        </row>
        <row r="3249">
          <cell r="A3249" t="str">
            <v>CST0037906</v>
          </cell>
          <cell r="B3249" t="str">
            <v>NAOMI BEAUTY</v>
          </cell>
          <cell r="D3249">
            <v>680663.63636363635</v>
          </cell>
        </row>
        <row r="3250">
          <cell r="A3250" t="str">
            <v>CST0035675</v>
          </cell>
          <cell r="B3250" t="str">
            <v>TOKO RIZKY</v>
          </cell>
          <cell r="D3250">
            <v>22200.000000000004</v>
          </cell>
        </row>
        <row r="3251">
          <cell r="A3251" t="str">
            <v>CST0036803</v>
          </cell>
          <cell r="B3251" t="str">
            <v>RAHASYA CANTIK BY CURUP OSKECE</v>
          </cell>
          <cell r="D3251">
            <v>6432240.9090909092</v>
          </cell>
        </row>
        <row r="3252">
          <cell r="A3252" t="str">
            <v>CST0024857</v>
          </cell>
          <cell r="B3252" t="str">
            <v>SAFA SUKARAJA</v>
          </cell>
          <cell r="D3252">
            <v>317863.63636363629</v>
          </cell>
        </row>
        <row r="3253">
          <cell r="A3253" t="str">
            <v>CST0038966</v>
          </cell>
          <cell r="B3253" t="str">
            <v>IQBAL COLLECTION</v>
          </cell>
          <cell r="D3253">
            <v>911712.27272727271</v>
          </cell>
        </row>
        <row r="3254">
          <cell r="A3254" t="str">
            <v>CST0032857</v>
          </cell>
          <cell r="B3254" t="str">
            <v>APOTIK ABY 88</v>
          </cell>
          <cell r="D3254">
            <v>215143.63636363635</v>
          </cell>
        </row>
        <row r="3255">
          <cell r="A3255" t="str">
            <v>CST0023028</v>
          </cell>
          <cell r="B3255" t="str">
            <v>MAULANA APOTEK</v>
          </cell>
          <cell r="D3255">
            <v>218954</v>
          </cell>
        </row>
        <row r="3256">
          <cell r="A3256" t="str">
            <v>CST0022120</v>
          </cell>
          <cell r="B3256" t="str">
            <v>ANANDA SGM APOTIK</v>
          </cell>
          <cell r="D3256">
            <v>313354</v>
          </cell>
        </row>
        <row r="3257">
          <cell r="A3257" t="str">
            <v>CST0037391</v>
          </cell>
          <cell r="B3257" t="str">
            <v>TOKO DIRANGGA</v>
          </cell>
          <cell r="D3257">
            <v>249954</v>
          </cell>
        </row>
        <row r="3258">
          <cell r="A3258" t="str">
            <v>CST0029701</v>
          </cell>
          <cell r="B3258" t="str">
            <v xml:space="preserve">TUNGGANG JAYA </v>
          </cell>
          <cell r="D3258">
            <v>73839.772727272721</v>
          </cell>
        </row>
        <row r="3259">
          <cell r="A3259" t="str">
            <v>CST0033489</v>
          </cell>
          <cell r="B3259" t="str">
            <v>KEISYAH KOSMETIK (SUKARAMI)</v>
          </cell>
          <cell r="D3259">
            <v>70560.454545454544</v>
          </cell>
        </row>
        <row r="3260">
          <cell r="A3260" t="str">
            <v>CST0032440</v>
          </cell>
          <cell r="B3260" t="str">
            <v>BUDE CAHAYA</v>
          </cell>
          <cell r="D3260">
            <v>12109.09090909091</v>
          </cell>
        </row>
        <row r="3261">
          <cell r="A3261" t="str">
            <v>CST0032500</v>
          </cell>
          <cell r="B3261" t="str">
            <v>AMEL COSMETIK</v>
          </cell>
          <cell r="D3261">
            <v>599400.00000000012</v>
          </cell>
        </row>
        <row r="3262">
          <cell r="A3262" t="str">
            <v>CST0022610</v>
          </cell>
          <cell r="B3262" t="str">
            <v>TOKO ANDRI</v>
          </cell>
          <cell r="D3262">
            <v>16650.000000000004</v>
          </cell>
        </row>
        <row r="3263">
          <cell r="A3263" t="str">
            <v>CST0022622</v>
          </cell>
          <cell r="B3263" t="str">
            <v>ZIVANA</v>
          </cell>
          <cell r="D3263">
            <v>16650.000000000004</v>
          </cell>
        </row>
        <row r="3264">
          <cell r="A3264" t="str">
            <v>CST0022978</v>
          </cell>
          <cell r="B3264" t="str">
            <v xml:space="preserve">HAFIZHA TOKO </v>
          </cell>
          <cell r="D3264">
            <v>199340.68181818182</v>
          </cell>
        </row>
        <row r="3265">
          <cell r="A3265" t="str">
            <v>CST0034628</v>
          </cell>
          <cell r="B3265" t="str">
            <v>MILLENNIALCARE</v>
          </cell>
          <cell r="D3265">
            <v>425000</v>
          </cell>
        </row>
        <row r="3266">
          <cell r="A3266" t="str">
            <v>CST0033777</v>
          </cell>
          <cell r="B3266" t="str">
            <v>REZVAN</v>
          </cell>
          <cell r="D3266">
            <v>16650.000000000004</v>
          </cell>
        </row>
        <row r="3267">
          <cell r="A3267" t="str">
            <v>CST0037641</v>
          </cell>
          <cell r="B3267" t="str">
            <v>TK ABBASYI</v>
          </cell>
          <cell r="D3267">
            <v>203331.81818181818</v>
          </cell>
        </row>
        <row r="3268">
          <cell r="A3268" t="str">
            <v>CST0030284</v>
          </cell>
          <cell r="B3268" t="str">
            <v>HELMI</v>
          </cell>
          <cell r="D3268">
            <v>111977.27272727274</v>
          </cell>
        </row>
        <row r="3269">
          <cell r="A3269" t="str">
            <v>CST0031063</v>
          </cell>
          <cell r="B3269" t="str">
            <v>RANIA</v>
          </cell>
          <cell r="D3269">
            <v>8325.0000000000018</v>
          </cell>
        </row>
        <row r="3270">
          <cell r="A3270" t="str">
            <v>CST0022816</v>
          </cell>
          <cell r="B3270" t="str">
            <v>SUPRI AGM</v>
          </cell>
          <cell r="D3270">
            <v>695665.90909090894</v>
          </cell>
        </row>
        <row r="3271">
          <cell r="A3271" t="str">
            <v>CST0022901</v>
          </cell>
          <cell r="B3271" t="str">
            <v>IRA</v>
          </cell>
          <cell r="D3271">
            <v>0</v>
          </cell>
        </row>
        <row r="3272">
          <cell r="A3272" t="str">
            <v>CST0023998</v>
          </cell>
          <cell r="B3272" t="str">
            <v xml:space="preserve">FEBRI </v>
          </cell>
          <cell r="D3272">
            <v>0</v>
          </cell>
        </row>
        <row r="3273">
          <cell r="A3273" t="str">
            <v>CST0031598</v>
          </cell>
          <cell r="B3273" t="str">
            <v>APOTIK AMAL FARMA</v>
          </cell>
          <cell r="D3273">
            <v>692942.72727272718</v>
          </cell>
        </row>
        <row r="3274">
          <cell r="A3274" t="str">
            <v>CST0024154</v>
          </cell>
          <cell r="B3274" t="str">
            <v>JAYA UNIT</v>
          </cell>
          <cell r="D3274">
            <v>-1.4551915228366852E-11</v>
          </cell>
        </row>
        <row r="3275">
          <cell r="A3275" t="str">
            <v>CST0027343</v>
          </cell>
          <cell r="B3275" t="str">
            <v>NENG LAIS</v>
          </cell>
          <cell r="D3275">
            <v>413400</v>
          </cell>
        </row>
        <row r="3276">
          <cell r="A3276" t="str">
            <v>CST0022618</v>
          </cell>
          <cell r="B3276" t="str">
            <v>LOVITA</v>
          </cell>
          <cell r="D3276">
            <v>185420.45454545453</v>
          </cell>
        </row>
        <row r="3277">
          <cell r="A3277" t="str">
            <v>CST0027625</v>
          </cell>
          <cell r="B3277" t="str">
            <v>BINTANG AHMAD</v>
          </cell>
          <cell r="D3277">
            <v>28000</v>
          </cell>
        </row>
        <row r="3278">
          <cell r="A3278" t="str">
            <v>CST0023450</v>
          </cell>
          <cell r="B3278" t="str">
            <v>GITA MM</v>
          </cell>
          <cell r="D3278">
            <v>793800</v>
          </cell>
        </row>
        <row r="3279">
          <cell r="A3279" t="str">
            <v>CST0023394</v>
          </cell>
          <cell r="B3279" t="str">
            <v>WK KIDS MART</v>
          </cell>
          <cell r="D3279">
            <v>575104.90909090906</v>
          </cell>
        </row>
        <row r="3280">
          <cell r="A3280" t="str">
            <v>CST0036606</v>
          </cell>
          <cell r="B3280" t="str">
            <v>APOTIK ANANDA MUKO-MUKO</v>
          </cell>
          <cell r="D3280">
            <v>211908</v>
          </cell>
        </row>
        <row r="3281">
          <cell r="A3281" t="str">
            <v>CST0026692</v>
          </cell>
          <cell r="B3281" t="str">
            <v xml:space="preserve">AD 2 </v>
          </cell>
          <cell r="D3281">
            <v>211908</v>
          </cell>
        </row>
        <row r="3282">
          <cell r="A3282" t="str">
            <v>CST0022572</v>
          </cell>
          <cell r="B3282" t="str">
            <v>RADIUS TOKO</v>
          </cell>
          <cell r="D3282">
            <v>55988.636363636368</v>
          </cell>
        </row>
        <row r="3283">
          <cell r="A3283" t="str">
            <v>CST0022518</v>
          </cell>
          <cell r="B3283" t="str">
            <v>NAILAH TOKO</v>
          </cell>
          <cell r="D3283">
            <v>40868.181818181823</v>
          </cell>
        </row>
        <row r="3284">
          <cell r="A3284" t="str">
            <v>CST0037505</v>
          </cell>
          <cell r="B3284" t="str">
            <v>TK UUM</v>
          </cell>
          <cell r="D3284">
            <v>204710.22727272729</v>
          </cell>
        </row>
        <row r="3285">
          <cell r="A3285" t="str">
            <v>CST0031927</v>
          </cell>
          <cell r="B3285" t="str">
            <v>APOTIK ZARA</v>
          </cell>
          <cell r="D3285">
            <v>202574.54545454547</v>
          </cell>
        </row>
        <row r="3286">
          <cell r="A3286" t="str">
            <v>CST0025706</v>
          </cell>
          <cell r="B3286" t="str">
            <v xml:space="preserve">APOTIK KEMBAR FARMA </v>
          </cell>
          <cell r="D3286">
            <v>2542909.0909090908</v>
          </cell>
        </row>
        <row r="3287">
          <cell r="A3287" t="str">
            <v>CST0037356</v>
          </cell>
          <cell r="B3287" t="str">
            <v>HALWA</v>
          </cell>
          <cell r="D3287">
            <v>26488.636363636364</v>
          </cell>
        </row>
        <row r="3288">
          <cell r="A3288" t="str">
            <v>CST0032371</v>
          </cell>
          <cell r="B3288" t="str">
            <v>YULIANTI</v>
          </cell>
          <cell r="D3288">
            <v>24218.18181818182</v>
          </cell>
        </row>
        <row r="3289">
          <cell r="A3289" t="str">
            <v>CST0026038</v>
          </cell>
          <cell r="B3289" t="str">
            <v>APOTIK SURYA ABADI</v>
          </cell>
          <cell r="D3289">
            <v>967782.81818181812</v>
          </cell>
        </row>
        <row r="3290">
          <cell r="A3290" t="str">
            <v>CST0037533</v>
          </cell>
          <cell r="B3290" t="str">
            <v>TOKO TATA</v>
          </cell>
          <cell r="D3290">
            <v>317863.63636363635</v>
          </cell>
        </row>
        <row r="3291">
          <cell r="A3291" t="str">
            <v>CST0035460</v>
          </cell>
          <cell r="B3291" t="str">
            <v>TOKO LIMA SAUDARA KAMPAR</v>
          </cell>
          <cell r="D3291">
            <v>-1.8189894035458565E-12</v>
          </cell>
        </row>
        <row r="3292">
          <cell r="A3292" t="str">
            <v>CST0024068</v>
          </cell>
          <cell r="B3292" t="str">
            <v>CALYESA TO</v>
          </cell>
          <cell r="D3292">
            <v>188400</v>
          </cell>
        </row>
        <row r="3293">
          <cell r="A3293" t="str">
            <v>CST0030245</v>
          </cell>
          <cell r="B3293" t="str">
            <v>MUKSIN</v>
          </cell>
          <cell r="D3293">
            <v>317863.63636363635</v>
          </cell>
        </row>
        <row r="3294">
          <cell r="A3294" t="str">
            <v>CST0036600</v>
          </cell>
          <cell r="B3294" t="str">
            <v>YONO</v>
          </cell>
          <cell r="D3294">
            <v>225000</v>
          </cell>
        </row>
        <row r="3295">
          <cell r="A3295" t="str">
            <v>CST0027304</v>
          </cell>
          <cell r="B3295" t="str">
            <v>APOTIK MOSHA</v>
          </cell>
          <cell r="D3295">
            <v>433840.90909090912</v>
          </cell>
        </row>
        <row r="3296">
          <cell r="A3296" t="str">
            <v>CST0025975</v>
          </cell>
          <cell r="B3296" t="str">
            <v>SARI KETAHUN</v>
          </cell>
          <cell r="D3296">
            <v>231954</v>
          </cell>
        </row>
        <row r="3297">
          <cell r="A3297" t="str">
            <v>CST0033297</v>
          </cell>
          <cell r="B3297" t="str">
            <v>KAYLA</v>
          </cell>
          <cell r="D3297">
            <v>0</v>
          </cell>
        </row>
        <row r="3298">
          <cell r="A3298" t="str">
            <v>CST0035423</v>
          </cell>
          <cell r="B3298" t="str">
            <v>TOKO AA</v>
          </cell>
          <cell r="D3298">
            <v>158200.00000000003</v>
          </cell>
        </row>
        <row r="3299">
          <cell r="A3299" t="str">
            <v>CST0022785</v>
          </cell>
          <cell r="B3299" t="str">
            <v>APOTIK MUTIARA</v>
          </cell>
          <cell r="D3299">
            <v>941137.27272727282</v>
          </cell>
        </row>
        <row r="3300">
          <cell r="A3300" t="str">
            <v>CST0022023</v>
          </cell>
          <cell r="B3300" t="str">
            <v>MARNIS GTC</v>
          </cell>
          <cell r="D3300">
            <v>946800</v>
          </cell>
        </row>
        <row r="3301">
          <cell r="A3301" t="str">
            <v>CST0034627</v>
          </cell>
          <cell r="B3301" t="str">
            <v>TOKO ACS</v>
          </cell>
          <cell r="D3301">
            <v>16650.000000000004</v>
          </cell>
        </row>
        <row r="3302">
          <cell r="A3302" t="str">
            <v>CST0022136</v>
          </cell>
          <cell r="B3302" t="str">
            <v>DEDEK BKL / DHE2K TOKO</v>
          </cell>
          <cell r="D3302">
            <v>216954.00000000003</v>
          </cell>
        </row>
        <row r="3303">
          <cell r="A3303" t="str">
            <v>CST0022319</v>
          </cell>
          <cell r="B3303" t="str">
            <v xml:space="preserve">KIRA MART </v>
          </cell>
          <cell r="D3303">
            <v>0</v>
          </cell>
        </row>
        <row r="3304">
          <cell r="A3304" t="str">
            <v>CST0022388</v>
          </cell>
          <cell r="B3304" t="str">
            <v>EXPRS TOKO</v>
          </cell>
          <cell r="D3304">
            <v>18542.045454545456</v>
          </cell>
        </row>
        <row r="3305">
          <cell r="A3305" t="str">
            <v>CST0024203</v>
          </cell>
          <cell r="B3305" t="str">
            <v>YULI TOKO-PANORAMA</v>
          </cell>
          <cell r="D3305">
            <v>893045.45454545435</v>
          </cell>
        </row>
        <row r="3306">
          <cell r="A3306" t="str">
            <v>CST0022735</v>
          </cell>
          <cell r="B3306" t="str">
            <v xml:space="preserve">RIZAL </v>
          </cell>
          <cell r="D3306">
            <v>635727.27272727259</v>
          </cell>
        </row>
        <row r="3307">
          <cell r="A3307" t="str">
            <v>CST0027355</v>
          </cell>
          <cell r="B3307" t="str">
            <v>NATASYA</v>
          </cell>
          <cell r="D3307">
            <v>317863.63636363635</v>
          </cell>
        </row>
        <row r="3308">
          <cell r="A3308" t="str">
            <v>CST0036819</v>
          </cell>
          <cell r="B3308" t="str">
            <v>NAFALINDO 2</v>
          </cell>
          <cell r="D3308">
            <v>317863.63636363635</v>
          </cell>
        </row>
        <row r="3309">
          <cell r="A3309" t="str">
            <v>CST0022393</v>
          </cell>
          <cell r="B3309" t="str">
            <v>ZHIANJI MAN</v>
          </cell>
          <cell r="D3309">
            <v>498817.63636363635</v>
          </cell>
        </row>
        <row r="3310">
          <cell r="A3310" t="str">
            <v>CST0027331</v>
          </cell>
          <cell r="B3310" t="str">
            <v>ROY AYU</v>
          </cell>
          <cell r="D3310">
            <v>459954.54545454541</v>
          </cell>
        </row>
        <row r="3311">
          <cell r="A3311" t="str">
            <v>CST0040420</v>
          </cell>
          <cell r="B3311" t="str">
            <v>PT. MYLOVA GRUP INTERNASIONAL</v>
          </cell>
          <cell r="D3311">
            <v>10645644.545454547</v>
          </cell>
        </row>
        <row r="3312">
          <cell r="A3312" t="str">
            <v>CST0037728</v>
          </cell>
          <cell r="B3312" t="str">
            <v>AGUSTIN ITA PRATIWI</v>
          </cell>
          <cell r="D3312">
            <v>35318</v>
          </cell>
        </row>
        <row r="3313">
          <cell r="A3313" t="str">
            <v>CST0019102</v>
          </cell>
          <cell r="B3313" t="str">
            <v>DEA</v>
          </cell>
          <cell r="D3313">
            <v>376863.63636363635</v>
          </cell>
        </row>
        <row r="3314">
          <cell r="A3314" t="str">
            <v>CST0011087</v>
          </cell>
          <cell r="B3314" t="str">
            <v>SAROH</v>
          </cell>
          <cell r="D3314">
            <v>224018.18181818179</v>
          </cell>
        </row>
        <row r="3315">
          <cell r="A3315" t="str">
            <v>CST0013849</v>
          </cell>
          <cell r="B3315" t="str">
            <v>ELYA KOSMETIK</v>
          </cell>
          <cell r="D3315">
            <v>313827.27272727271</v>
          </cell>
        </row>
        <row r="3316">
          <cell r="A3316" t="str">
            <v>CST0031417</v>
          </cell>
          <cell r="B3316" t="str">
            <v>MAMI</v>
          </cell>
          <cell r="D3316">
            <v>100000</v>
          </cell>
        </row>
        <row r="3317">
          <cell r="A3317" t="str">
            <v>CST0013760</v>
          </cell>
          <cell r="B3317" t="str">
            <v>RINI</v>
          </cell>
          <cell r="D3317">
            <v>504343.63636363624</v>
          </cell>
        </row>
        <row r="3318">
          <cell r="A3318" t="str">
            <v>CST0030033</v>
          </cell>
          <cell r="B3318" t="str">
            <v>MUBAROK MART</v>
          </cell>
          <cell r="D3318">
            <v>1029859.0909090908</v>
          </cell>
        </row>
        <row r="3319">
          <cell r="A3319" t="str">
            <v>CST0030103</v>
          </cell>
          <cell r="B3319" t="str">
            <v>TOKO AW</v>
          </cell>
          <cell r="D3319">
            <v>476795.45454545447</v>
          </cell>
        </row>
        <row r="3320">
          <cell r="A3320" t="str">
            <v>CST0013817</v>
          </cell>
          <cell r="B3320" t="str">
            <v>ARIES WIJAYA</v>
          </cell>
          <cell r="D3320">
            <v>572479.09090909094</v>
          </cell>
        </row>
        <row r="3321">
          <cell r="A3321" t="str">
            <v>CST0031423</v>
          </cell>
          <cell r="B3321" t="str">
            <v>ANI STORE</v>
          </cell>
          <cell r="D3321">
            <v>1087918.6363636365</v>
          </cell>
        </row>
        <row r="3322">
          <cell r="A3322" t="str">
            <v>CST0012278</v>
          </cell>
          <cell r="B3322" t="str">
            <v>IKIN</v>
          </cell>
          <cell r="D3322">
            <v>317863.63636363629</v>
          </cell>
        </row>
        <row r="3323">
          <cell r="A3323" t="str">
            <v>CST0040158</v>
          </cell>
          <cell r="B3323" t="str">
            <v>MASITOH</v>
          </cell>
          <cell r="D3323">
            <v>61806.818181818177</v>
          </cell>
        </row>
        <row r="3324">
          <cell r="A3324" t="str">
            <v>CST0029644</v>
          </cell>
          <cell r="B3324" t="str">
            <v>TOKO KADUT</v>
          </cell>
          <cell r="D3324">
            <v>71488.636363636368</v>
          </cell>
        </row>
        <row r="3325">
          <cell r="A3325" t="str">
            <v>CST0029751</v>
          </cell>
          <cell r="B3325" t="str">
            <v>SRC NURYOKO</v>
          </cell>
          <cell r="D3325">
            <v>72654.545454545456</v>
          </cell>
        </row>
        <row r="3326">
          <cell r="A3326" t="str">
            <v>CST0037795</v>
          </cell>
          <cell r="B3326" t="str">
            <v>PUTRI JAYA</v>
          </cell>
          <cell r="D3326">
            <v>344352.27272727271</v>
          </cell>
        </row>
        <row r="3327">
          <cell r="A3327" t="str">
            <v>CST0036261</v>
          </cell>
          <cell r="B3327" t="str">
            <v>TOKO AQILA</v>
          </cell>
          <cell r="D3327">
            <v>72654.545454545456</v>
          </cell>
        </row>
        <row r="3328">
          <cell r="A3328" t="str">
            <v>CST0037857</v>
          </cell>
          <cell r="B3328" t="str">
            <v>AMANDA SHOP</v>
          </cell>
          <cell r="D3328">
            <v>10029660.000000004</v>
          </cell>
        </row>
        <row r="3329">
          <cell r="A3329" t="str">
            <v>CST0032127</v>
          </cell>
          <cell r="B3329" t="str">
            <v>TOKO MENTARI</v>
          </cell>
          <cell r="D3329">
            <v>1061018.1818181816</v>
          </cell>
        </row>
        <row r="3330">
          <cell r="A3330" t="str">
            <v>CST0010527</v>
          </cell>
          <cell r="B3330" t="str">
            <v>DIAH</v>
          </cell>
          <cell r="D3330">
            <v>66600.000000000015</v>
          </cell>
        </row>
        <row r="3331">
          <cell r="A3331" t="str">
            <v>CST0021355</v>
          </cell>
          <cell r="B3331" t="str">
            <v>LILIS PURBOLINGGO</v>
          </cell>
          <cell r="D3331">
            <v>317863.63636363635</v>
          </cell>
        </row>
        <row r="3332">
          <cell r="A3332" t="str">
            <v>CST0010257</v>
          </cell>
          <cell r="B3332" t="str">
            <v>APT SARI FARMA</v>
          </cell>
          <cell r="D3332">
            <v>57215.454545454551</v>
          </cell>
        </row>
        <row r="3333">
          <cell r="A3333" t="str">
            <v>CST0010078</v>
          </cell>
          <cell r="B3333" t="str">
            <v>TOKO OBAT AHYA</v>
          </cell>
          <cell r="D3333">
            <v>38143.636363636368</v>
          </cell>
        </row>
        <row r="3334">
          <cell r="A3334" t="str">
            <v>CST0019676</v>
          </cell>
          <cell r="B3334" t="str">
            <v>MM GABE JAYA</v>
          </cell>
          <cell r="D3334">
            <v>4248823.6363636367</v>
          </cell>
        </row>
        <row r="3335">
          <cell r="A3335" t="str">
            <v>CST0038544</v>
          </cell>
          <cell r="B3335" t="str">
            <v>TOKO KARTIKA PUTRI</v>
          </cell>
          <cell r="D3335">
            <v>-7.2759576141834259E-12</v>
          </cell>
        </row>
        <row r="3336">
          <cell r="A3336" t="str">
            <v>CST0030577</v>
          </cell>
          <cell r="B3336" t="str">
            <v>TOKO BINTANG</v>
          </cell>
          <cell r="D3336">
            <v>42000</v>
          </cell>
        </row>
        <row r="3337">
          <cell r="A3337" t="str">
            <v>CST0013883</v>
          </cell>
          <cell r="B3337" t="str">
            <v>SALSA SHOP</v>
          </cell>
          <cell r="D3337">
            <v>587620.45454545459</v>
          </cell>
        </row>
        <row r="3338">
          <cell r="A3338" t="str">
            <v>CST0000768</v>
          </cell>
          <cell r="B3338" t="str">
            <v>NURMA</v>
          </cell>
          <cell r="D3338">
            <v>150758.18181818182</v>
          </cell>
        </row>
        <row r="3339">
          <cell r="A3339" t="str">
            <v>CST0007329</v>
          </cell>
          <cell r="B3339" t="str">
            <v>PT. SEKAWAN CHANDRA ABADI</v>
          </cell>
          <cell r="D3339">
            <v>11811812.72727273</v>
          </cell>
        </row>
        <row r="3340">
          <cell r="A3340" t="str">
            <v>CST0027662</v>
          </cell>
          <cell r="B3340" t="str">
            <v>KAHFI 2</v>
          </cell>
          <cell r="D3340">
            <v>265742.04545454547</v>
          </cell>
        </row>
        <row r="3341">
          <cell r="A3341" t="str">
            <v>CST0040182</v>
          </cell>
          <cell r="B3341" t="str">
            <v>SALVITA BEAUTY SHOP</v>
          </cell>
          <cell r="D3341">
            <v>358437.95454545453</v>
          </cell>
        </row>
        <row r="3342">
          <cell r="A3342" t="str">
            <v>CST0000597</v>
          </cell>
          <cell r="B3342" t="str">
            <v>BU MAMAT</v>
          </cell>
          <cell r="D3342">
            <v>26488.636363636364</v>
          </cell>
        </row>
        <row r="3343">
          <cell r="A3343" t="str">
            <v>CST0025915</v>
          </cell>
          <cell r="B3343" t="str">
            <v>APT RISKY</v>
          </cell>
          <cell r="D3343">
            <v>240718.18181818182</v>
          </cell>
        </row>
        <row r="3344">
          <cell r="A3344" t="str">
            <v>CST0012158</v>
          </cell>
          <cell r="B3344" t="str">
            <v>SADEWO</v>
          </cell>
          <cell r="D3344">
            <v>33300.000000000007</v>
          </cell>
        </row>
        <row r="3345">
          <cell r="A3345" t="str">
            <v>CST0034549</v>
          </cell>
          <cell r="B3345" t="str">
            <v>TOKO RESTU BUNDA</v>
          </cell>
          <cell r="D3345">
            <v>502404.54545454547</v>
          </cell>
        </row>
        <row r="3346">
          <cell r="A3346" t="str">
            <v>CST0000229</v>
          </cell>
          <cell r="B3346" t="str">
            <v>MASINAY KOSMETIK</v>
          </cell>
          <cell r="D3346">
            <v>3065719.0909090908</v>
          </cell>
        </row>
        <row r="3347">
          <cell r="A3347" t="str">
            <v>CST0033066</v>
          </cell>
          <cell r="B3347" t="str">
            <v>ARITONANG</v>
          </cell>
          <cell r="D3347">
            <v>84000</v>
          </cell>
        </row>
        <row r="3348">
          <cell r="A3348" t="str">
            <v>CST0009285</v>
          </cell>
          <cell r="B3348" t="str">
            <v>APT RAJA WIJAYA</v>
          </cell>
          <cell r="D3348">
            <v>38143.636363636368</v>
          </cell>
        </row>
        <row r="3349">
          <cell r="A3349" t="str">
            <v>CST0000298</v>
          </cell>
          <cell r="B3349" t="str">
            <v>SARI WARAS</v>
          </cell>
          <cell r="D3349">
            <v>159789.54545454547</v>
          </cell>
        </row>
        <row r="3350">
          <cell r="A3350" t="str">
            <v>CST0035765</v>
          </cell>
          <cell r="B3350" t="str">
            <v>CV. VSHOP GROUP</v>
          </cell>
          <cell r="D3350">
            <v>30339545.454545461</v>
          </cell>
        </row>
        <row r="3351">
          <cell r="A3351" t="str">
            <v>CST0016757</v>
          </cell>
          <cell r="B3351" t="str">
            <v>ETI</v>
          </cell>
          <cell r="D3351">
            <v>512150.909090909</v>
          </cell>
        </row>
        <row r="3352">
          <cell r="A3352" t="str">
            <v>CST0000074</v>
          </cell>
          <cell r="B3352" t="str">
            <v>NIA</v>
          </cell>
          <cell r="D3352">
            <v>157326.59090909091</v>
          </cell>
        </row>
        <row r="3353">
          <cell r="A3353" t="str">
            <v>CST0011592</v>
          </cell>
          <cell r="B3353" t="str">
            <v>EDO TOKO</v>
          </cell>
          <cell r="D3353">
            <v>23298272.727272723</v>
          </cell>
        </row>
        <row r="3354">
          <cell r="A3354" t="str">
            <v>CST0024993</v>
          </cell>
          <cell r="B3354" t="str">
            <v>PB SWALAYAN</v>
          </cell>
          <cell r="D3354">
            <v>10157331.136363642</v>
          </cell>
        </row>
        <row r="3355">
          <cell r="A3355" t="str">
            <v>CST0012220</v>
          </cell>
          <cell r="B3355" t="str">
            <v>WENDIKA</v>
          </cell>
          <cell r="D3355">
            <v>529772.72727272718</v>
          </cell>
        </row>
        <row r="3356">
          <cell r="A3356" t="str">
            <v>CST0033788</v>
          </cell>
          <cell r="B3356" t="str">
            <v>TOKO QOSMETIK IRMA</v>
          </cell>
          <cell r="D3356">
            <v>349498.63636363629</v>
          </cell>
        </row>
        <row r="3357">
          <cell r="A3357" t="str">
            <v>CST0017494</v>
          </cell>
          <cell r="B3357" t="str">
            <v>DINI</v>
          </cell>
          <cell r="D3357">
            <v>317863.63636363635</v>
          </cell>
        </row>
        <row r="3358">
          <cell r="A3358" t="str">
            <v>CST0007134</v>
          </cell>
          <cell r="B3358" t="str">
            <v>TOKO EMRY 2</v>
          </cell>
          <cell r="D3358">
            <v>0</v>
          </cell>
        </row>
        <row r="3359">
          <cell r="A3359" t="str">
            <v>CST0000489</v>
          </cell>
          <cell r="B3359" t="str">
            <v>TK NOVI</v>
          </cell>
          <cell r="D3359">
            <v>680985</v>
          </cell>
        </row>
        <row r="3360">
          <cell r="A3360" t="str">
            <v>CST0009877</v>
          </cell>
          <cell r="B3360" t="str">
            <v>SANUR</v>
          </cell>
          <cell r="D3360">
            <v>538063.63636363635</v>
          </cell>
        </row>
        <row r="3361">
          <cell r="A3361" t="str">
            <v>CST0031226</v>
          </cell>
          <cell r="B3361" t="str">
            <v>RAFI</v>
          </cell>
          <cell r="D3361">
            <v>317863.63636363635</v>
          </cell>
        </row>
        <row r="3362">
          <cell r="A3362" t="str">
            <v>CST0040197</v>
          </cell>
          <cell r="B3362" t="str">
            <v>LAU</v>
          </cell>
          <cell r="D3362">
            <v>51488.636363636368</v>
          </cell>
        </row>
        <row r="3363">
          <cell r="A3363" t="str">
            <v>CST0000277</v>
          </cell>
          <cell r="B3363" t="str">
            <v>FADLI TOKO</v>
          </cell>
          <cell r="D3363">
            <v>118063.63636363637</v>
          </cell>
        </row>
        <row r="3364">
          <cell r="A3364" t="str">
            <v>CST0015095</v>
          </cell>
          <cell r="B3364" t="str">
            <v>BANDUNG</v>
          </cell>
          <cell r="D3364">
            <v>942686.81818181812</v>
          </cell>
        </row>
        <row r="3365">
          <cell r="A3365" t="str">
            <v>CST0031499</v>
          </cell>
          <cell r="B3365" t="str">
            <v>SP SWALAYAN</v>
          </cell>
          <cell r="D3365">
            <v>317863.63636363635</v>
          </cell>
        </row>
        <row r="3366">
          <cell r="A3366" t="str">
            <v>CST0010006</v>
          </cell>
          <cell r="B3366" t="str">
            <v>LAURA</v>
          </cell>
          <cell r="D3366">
            <v>400790.72727272729</v>
          </cell>
        </row>
        <row r="3367">
          <cell r="A3367" t="str">
            <v>CST0037572</v>
          </cell>
          <cell r="B3367" t="str">
            <v>TOKO KEYLA</v>
          </cell>
          <cell r="D3367">
            <v>8325.0000000000018</v>
          </cell>
        </row>
        <row r="3368">
          <cell r="A3368" t="str">
            <v>CST0030416</v>
          </cell>
          <cell r="B3368" t="str">
            <v>WR DJINGOLU 193</v>
          </cell>
          <cell r="D3368">
            <v>435863.63636363635</v>
          </cell>
        </row>
        <row r="3369">
          <cell r="A3369" t="str">
            <v>CST0033277</v>
          </cell>
          <cell r="B3369" t="str">
            <v xml:space="preserve">AHMAD JUHAIRI </v>
          </cell>
          <cell r="D3369">
            <v>133954.54545454547</v>
          </cell>
        </row>
        <row r="3370">
          <cell r="A3370" t="str">
            <v>CST0014415</v>
          </cell>
          <cell r="B3370" t="str">
            <v>SALSABILA</v>
          </cell>
          <cell r="D3370">
            <v>1842831.8181818177</v>
          </cell>
        </row>
        <row r="3371">
          <cell r="A3371" t="str">
            <v>CST0033224</v>
          </cell>
          <cell r="B3371" t="str">
            <v>RIKA</v>
          </cell>
          <cell r="D3371">
            <v>157418.18181818182</v>
          </cell>
        </row>
        <row r="3372">
          <cell r="A3372" t="str">
            <v>CST0014455</v>
          </cell>
          <cell r="B3372" t="str">
            <v>FITRIA</v>
          </cell>
          <cell r="D3372">
            <v>267897.72727272724</v>
          </cell>
        </row>
        <row r="3373">
          <cell r="A3373" t="str">
            <v>CST0040229</v>
          </cell>
          <cell r="B3373" t="str">
            <v>EVA SAHABAT CANTIK</v>
          </cell>
          <cell r="D3373">
            <v>4031062.5</v>
          </cell>
        </row>
        <row r="3374">
          <cell r="A3374" t="str">
            <v>CST0028338</v>
          </cell>
          <cell r="B3374" t="str">
            <v>TK AMBAR/ KURNIA JAYA</v>
          </cell>
          <cell r="D3374">
            <v>157418.18181818182</v>
          </cell>
        </row>
        <row r="3375">
          <cell r="A3375" t="str">
            <v>CST0035430</v>
          </cell>
          <cell r="B3375" t="str">
            <v>CASH</v>
          </cell>
          <cell r="D3375">
            <v>26488.636363636364</v>
          </cell>
        </row>
        <row r="3376">
          <cell r="A3376" t="str">
            <v>CST0038156</v>
          </cell>
          <cell r="B3376" t="str">
            <v>TK PUNCAK METRO</v>
          </cell>
          <cell r="D3376">
            <v>54945</v>
          </cell>
        </row>
        <row r="3377">
          <cell r="A3377" t="str">
            <v>CST0019070</v>
          </cell>
          <cell r="B3377" t="str">
            <v>MBAK DINI</v>
          </cell>
          <cell r="D3377">
            <v>317863.63636363635</v>
          </cell>
        </row>
        <row r="3378">
          <cell r="A3378" t="str">
            <v>CST0000096</v>
          </cell>
          <cell r="B3378" t="str">
            <v>AAN</v>
          </cell>
          <cell r="D3378">
            <v>2690255.4545454541</v>
          </cell>
        </row>
        <row r="3379">
          <cell r="A3379" t="str">
            <v>CST0033225</v>
          </cell>
          <cell r="B3379" t="str">
            <v>TOKO NADIN</v>
          </cell>
          <cell r="D3379">
            <v>157418.18181818182</v>
          </cell>
        </row>
        <row r="3380">
          <cell r="A3380" t="str">
            <v>CST0014493</v>
          </cell>
          <cell r="B3380" t="str">
            <v>MULYA JAYA</v>
          </cell>
          <cell r="D3380">
            <v>545093.18181818177</v>
          </cell>
        </row>
        <row r="3381">
          <cell r="A3381" t="str">
            <v>CST0039918</v>
          </cell>
          <cell r="B3381" t="str">
            <v>MUSLIM TOKO</v>
          </cell>
          <cell r="D3381">
            <v>63000</v>
          </cell>
        </row>
        <row r="3382">
          <cell r="A3382" t="str">
            <v>CST0031627</v>
          </cell>
          <cell r="B3382" t="str">
            <v>SUPRAPTI BAKSO</v>
          </cell>
          <cell r="D3382">
            <v>317863.63636363635</v>
          </cell>
        </row>
        <row r="3383">
          <cell r="A3383" t="str">
            <v>CST0000294</v>
          </cell>
          <cell r="B3383" t="str">
            <v>EDI TOKO</v>
          </cell>
          <cell r="D3383">
            <v>686585.45454545447</v>
          </cell>
        </row>
        <row r="3384">
          <cell r="A3384" t="str">
            <v>CST0032572</v>
          </cell>
          <cell r="B3384" t="str">
            <v>MULIA KOSMETIK</v>
          </cell>
          <cell r="D3384">
            <v>3735699.9999999986</v>
          </cell>
        </row>
        <row r="3385">
          <cell r="A3385" t="str">
            <v>CST0013751</v>
          </cell>
          <cell r="B3385" t="str">
            <v>CAHAYA COSMETIK</v>
          </cell>
          <cell r="D3385">
            <v>16922064.545454543</v>
          </cell>
        </row>
        <row r="3386">
          <cell r="A3386" t="str">
            <v>CST0022581</v>
          </cell>
          <cell r="B3386" t="str">
            <v>SITI SIDO</v>
          </cell>
          <cell r="D3386">
            <v>317863.63636363635</v>
          </cell>
        </row>
        <row r="3387">
          <cell r="A3387" t="str">
            <v>CST0007119</v>
          </cell>
          <cell r="B3387" t="str">
            <v>AMPERA</v>
          </cell>
          <cell r="D3387">
            <v>3508897.2727272734</v>
          </cell>
        </row>
        <row r="3388">
          <cell r="A3388" t="str">
            <v>CST0000787</v>
          </cell>
          <cell r="B3388" t="str">
            <v>NASYA</v>
          </cell>
          <cell r="D3388">
            <v>401618.18181818188</v>
          </cell>
        </row>
        <row r="3389">
          <cell r="A3389" t="str">
            <v>CST0010627</v>
          </cell>
          <cell r="B3389" t="str">
            <v>TOKO CELLO</v>
          </cell>
          <cell r="D3389">
            <v>586718.18181818177</v>
          </cell>
        </row>
        <row r="3390">
          <cell r="A3390" t="str">
            <v>CST0019089</v>
          </cell>
          <cell r="B3390" t="str">
            <v>TOKO RUDI</v>
          </cell>
          <cell r="D3390">
            <v>2114965.9090909092</v>
          </cell>
        </row>
        <row r="3391">
          <cell r="A3391" t="str">
            <v>CST0011529</v>
          </cell>
          <cell r="B3391" t="str">
            <v>TOKO MAURA</v>
          </cell>
          <cell r="D3391">
            <v>1025640</v>
          </cell>
        </row>
        <row r="3392">
          <cell r="A3392" t="str">
            <v>CST0010685</v>
          </cell>
          <cell r="B3392" t="str">
            <v>ALI TOKO BARU</v>
          </cell>
          <cell r="D3392">
            <v>317863.63636363635</v>
          </cell>
        </row>
        <row r="3393">
          <cell r="A3393" t="str">
            <v>CST0014502</v>
          </cell>
          <cell r="B3393" t="str">
            <v>TOKO MARYATI</v>
          </cell>
          <cell r="D3393">
            <v>317863.63636363635</v>
          </cell>
        </row>
        <row r="3394">
          <cell r="A3394" t="str">
            <v>CST0028787</v>
          </cell>
          <cell r="B3394" t="str">
            <v xml:space="preserve">TOKO WULAN </v>
          </cell>
          <cell r="D3394">
            <v>1597289.9999999998</v>
          </cell>
        </row>
        <row r="3395">
          <cell r="A3395" t="str">
            <v>CST0000201</v>
          </cell>
          <cell r="B3395" t="str">
            <v>MILA TOKO</v>
          </cell>
          <cell r="D3395">
            <v>317863.63636363629</v>
          </cell>
        </row>
        <row r="3396">
          <cell r="A3396" t="str">
            <v>CST0031390</v>
          </cell>
          <cell r="B3396" t="str">
            <v>TOKO IZZA</v>
          </cell>
          <cell r="D3396">
            <v>22200.000000000004</v>
          </cell>
        </row>
        <row r="3397">
          <cell r="A3397" t="str">
            <v>CST0006907</v>
          </cell>
          <cell r="B3397" t="str">
            <v>ARIS TOKO</v>
          </cell>
          <cell r="D3397">
            <v>7182961.3636363633</v>
          </cell>
        </row>
        <row r="3398">
          <cell r="A3398" t="str">
            <v>CST0036333</v>
          </cell>
          <cell r="B3398" t="str">
            <v>KEN KEN</v>
          </cell>
          <cell r="D3398">
            <v>28000</v>
          </cell>
        </row>
        <row r="3399">
          <cell r="A3399" t="str">
            <v>CST0009229</v>
          </cell>
          <cell r="B3399" t="str">
            <v>BUYUNG</v>
          </cell>
          <cell r="D3399">
            <v>644736.36363636365</v>
          </cell>
        </row>
        <row r="3400">
          <cell r="A3400" t="str">
            <v>CST0040271</v>
          </cell>
          <cell r="B3400" t="str">
            <v>IVO</v>
          </cell>
          <cell r="D3400">
            <v>136681.36363636362</v>
          </cell>
        </row>
        <row r="3401">
          <cell r="A3401" t="str">
            <v>CST0040287</v>
          </cell>
          <cell r="B3401" t="str">
            <v>LE SHOPA</v>
          </cell>
          <cell r="D3401">
            <v>1771254.5454545454</v>
          </cell>
        </row>
        <row r="3402">
          <cell r="A3402" t="str">
            <v>CST0040131</v>
          </cell>
          <cell r="B3402" t="str">
            <v>ZIO</v>
          </cell>
          <cell r="D3402">
            <v>58488.636363636368</v>
          </cell>
        </row>
        <row r="3403">
          <cell r="A3403" t="str">
            <v>CST0039949</v>
          </cell>
          <cell r="B3403" t="str">
            <v>TOKO ARIS</v>
          </cell>
          <cell r="D3403">
            <v>266400.00000000006</v>
          </cell>
        </row>
        <row r="3404">
          <cell r="A3404" t="str">
            <v>CST0039517</v>
          </cell>
          <cell r="B3404" t="str">
            <v>TOKO EMI</v>
          </cell>
          <cell r="D3404">
            <v>228861.81818181818</v>
          </cell>
        </row>
        <row r="3405">
          <cell r="A3405" t="str">
            <v>CST0028753</v>
          </cell>
          <cell r="B3405" t="str">
            <v>SRC SUSI HANDAYANI</v>
          </cell>
          <cell r="D3405">
            <v>157418.18181818182</v>
          </cell>
        </row>
        <row r="3406">
          <cell r="A3406" t="str">
            <v>CST0038184</v>
          </cell>
          <cell r="B3406" t="str">
            <v>BB SHOP</v>
          </cell>
          <cell r="D3406">
            <v>121090.90909090909</v>
          </cell>
        </row>
        <row r="3407">
          <cell r="A3407" t="str">
            <v>CST0008558</v>
          </cell>
          <cell r="B3407" t="str">
            <v>OZAN</v>
          </cell>
          <cell r="D3407">
            <v>0</v>
          </cell>
        </row>
        <row r="3408">
          <cell r="A3408" t="str">
            <v>CST0009152</v>
          </cell>
          <cell r="B3408" t="str">
            <v>TOKO RAGIL</v>
          </cell>
          <cell r="D3408">
            <v>1232080.9090909089</v>
          </cell>
        </row>
        <row r="3409">
          <cell r="A3409" t="str">
            <v>CST0010963</v>
          </cell>
          <cell r="B3409" t="str">
            <v>APT SARI SEHAT 1</v>
          </cell>
          <cell r="D3409">
            <v>57215.454545454551</v>
          </cell>
        </row>
        <row r="3410">
          <cell r="A3410" t="str">
            <v>CST0025358</v>
          </cell>
          <cell r="B3410" t="str">
            <v>APT PANDAWA 3</v>
          </cell>
          <cell r="D3410">
            <v>57215.454545454551</v>
          </cell>
        </row>
        <row r="3411">
          <cell r="A3411" t="str">
            <v>CST0028062</v>
          </cell>
          <cell r="B3411" t="str">
            <v>ANANDA COSMETIC</v>
          </cell>
          <cell r="D3411">
            <v>3384000</v>
          </cell>
        </row>
        <row r="3412">
          <cell r="A3412" t="str">
            <v>CST0040142</v>
          </cell>
          <cell r="B3412" t="str">
            <v>PN  TOKO</v>
          </cell>
          <cell r="D3412">
            <v>29500</v>
          </cell>
        </row>
        <row r="3413">
          <cell r="A3413" t="str">
            <v>CST0040062</v>
          </cell>
          <cell r="B3413" t="str">
            <v>INDAH HANASUI</v>
          </cell>
          <cell r="D3413">
            <v>-30303</v>
          </cell>
        </row>
        <row r="3414">
          <cell r="A3414" t="str">
            <v>CST0040307</v>
          </cell>
          <cell r="B3414" t="str">
            <v>RATU SKINCARE</v>
          </cell>
          <cell r="D3414">
            <v>317863.63636363629</v>
          </cell>
        </row>
        <row r="3415">
          <cell r="A3415" t="str">
            <v>CST0010873</v>
          </cell>
          <cell r="B3415" t="str">
            <v>MAHMUD 2</v>
          </cell>
          <cell r="D3415">
            <v>168954.54545454544</v>
          </cell>
        </row>
        <row r="3416">
          <cell r="A3416" t="str">
            <v>CST0000590</v>
          </cell>
          <cell r="B3416" t="str">
            <v>KAYAN</v>
          </cell>
          <cell r="D3416">
            <v>154465.90909090909</v>
          </cell>
        </row>
        <row r="3417">
          <cell r="A3417" t="str">
            <v>CST0039003</v>
          </cell>
          <cell r="B3417" t="str">
            <v>TOKO NAY SHOP</v>
          </cell>
          <cell r="D3417">
            <v>22780.227272727272</v>
          </cell>
        </row>
        <row r="3418">
          <cell r="A3418" t="str">
            <v>CST0006909</v>
          </cell>
          <cell r="B3418" t="str">
            <v>ASIFA</v>
          </cell>
          <cell r="D3418">
            <v>185420.45454545453</v>
          </cell>
        </row>
        <row r="3419">
          <cell r="A3419" t="str">
            <v>CST0036267</v>
          </cell>
          <cell r="B3419" t="str">
            <v>TOKO ROLUS</v>
          </cell>
          <cell r="D3419">
            <v>1202627.0454545454</v>
          </cell>
        </row>
        <row r="3420">
          <cell r="A3420" t="str">
            <v>CST0031821</v>
          </cell>
          <cell r="B3420" t="str">
            <v>SITI AISYAH</v>
          </cell>
          <cell r="D3420">
            <v>24218.18181818182</v>
          </cell>
        </row>
        <row r="3421">
          <cell r="A3421" t="str">
            <v>CST0030564</v>
          </cell>
          <cell r="B3421" t="str">
            <v>SAKURA</v>
          </cell>
          <cell r="D3421">
            <v>4717244.9999999991</v>
          </cell>
        </row>
        <row r="3422">
          <cell r="A3422" t="str">
            <v>CST0006209</v>
          </cell>
          <cell r="B3422" t="str">
            <v>HERVI</v>
          </cell>
          <cell r="D3422">
            <v>24218.18181818182</v>
          </cell>
        </row>
        <row r="3423">
          <cell r="A3423" t="str">
            <v>CST0030059</v>
          </cell>
          <cell r="B3423" t="str">
            <v>TOKO MITRA</v>
          </cell>
          <cell r="D3423">
            <v>317863.63636363635</v>
          </cell>
        </row>
        <row r="3424">
          <cell r="A3424" t="str">
            <v>CST0000408</v>
          </cell>
          <cell r="B3424" t="str">
            <v>TRIONO</v>
          </cell>
          <cell r="D3424">
            <v>37109.090909090912</v>
          </cell>
        </row>
        <row r="3425">
          <cell r="A3425" t="str">
            <v>CST0012758</v>
          </cell>
          <cell r="B3425" t="str">
            <v>ANAM</v>
          </cell>
          <cell r="D3425">
            <v>26488.63636363636</v>
          </cell>
        </row>
        <row r="3426">
          <cell r="A3426" t="str">
            <v>CST0030251</v>
          </cell>
          <cell r="B3426" t="str">
            <v>ALMAERA</v>
          </cell>
          <cell r="D3426">
            <v>317863.63636363635</v>
          </cell>
        </row>
        <row r="3427">
          <cell r="A3427" t="str">
            <v>CST0038516</v>
          </cell>
          <cell r="B3427" t="str">
            <v>SUKIS TOKO</v>
          </cell>
          <cell r="D3427">
            <v>12109.09090909091</v>
          </cell>
        </row>
        <row r="3428">
          <cell r="A3428" t="str">
            <v>CST0030162</v>
          </cell>
          <cell r="B3428" t="str">
            <v>EKA TOKO</v>
          </cell>
          <cell r="D3428">
            <v>551300</v>
          </cell>
        </row>
        <row r="3429">
          <cell r="A3429" t="str">
            <v>CST0000419</v>
          </cell>
          <cell r="B3429" t="str">
            <v>TOKO SRIKANDI</v>
          </cell>
          <cell r="D3429">
            <v>617400</v>
          </cell>
        </row>
        <row r="3430">
          <cell r="A3430" t="str">
            <v>CST0040342</v>
          </cell>
          <cell r="B3430" t="str">
            <v xml:space="preserve">EVA BEAUTY </v>
          </cell>
          <cell r="D3430">
            <v>15917702.727272728</v>
          </cell>
        </row>
        <row r="3431">
          <cell r="A3431" t="str">
            <v>CST0006579</v>
          </cell>
          <cell r="B3431" t="str">
            <v>NUR</v>
          </cell>
          <cell r="D3431">
            <v>344352.27272727271</v>
          </cell>
        </row>
        <row r="3432">
          <cell r="A3432" t="str">
            <v>CST0029303</v>
          </cell>
          <cell r="B3432" t="str">
            <v>TOKO HERI</v>
          </cell>
          <cell r="D3432">
            <v>227304.54545454547</v>
          </cell>
        </row>
        <row r="3433">
          <cell r="A3433" t="str">
            <v>CST0032981</v>
          </cell>
          <cell r="B3433" t="str">
            <v>DIAH ADMIN</v>
          </cell>
          <cell r="D3433">
            <v>26488.636363636364</v>
          </cell>
        </row>
        <row r="3434">
          <cell r="A3434" t="str">
            <v>CST0012937</v>
          </cell>
          <cell r="B3434" t="str">
            <v>APOTIK UB</v>
          </cell>
          <cell r="D3434">
            <v>114430.9090909091</v>
          </cell>
        </row>
        <row r="3435">
          <cell r="A3435" t="str">
            <v>CST0022925</v>
          </cell>
          <cell r="B3435" t="str">
            <v xml:space="preserve">RAJINO </v>
          </cell>
          <cell r="D3435">
            <v>238397.72727272729</v>
          </cell>
        </row>
        <row r="3436">
          <cell r="A3436" t="str">
            <v>CST0006633</v>
          </cell>
          <cell r="B3436" t="str">
            <v>EMRYWAR</v>
          </cell>
          <cell r="D3436">
            <v>401245.13636363641</v>
          </cell>
        </row>
        <row r="3437">
          <cell r="A3437" t="str">
            <v>CST0039661</v>
          </cell>
          <cell r="B3437" t="str">
            <v>AYRIZ KOSMETIK</v>
          </cell>
          <cell r="D3437">
            <v>98083.636363636382</v>
          </cell>
        </row>
        <row r="3438">
          <cell r="A3438" t="str">
            <v>CST0024204</v>
          </cell>
          <cell r="B3438" t="str">
            <v>TOKO NINA</v>
          </cell>
          <cell r="D3438">
            <v>317863.63636363629</v>
          </cell>
        </row>
        <row r="3439">
          <cell r="A3439" t="str">
            <v>CST0038451</v>
          </cell>
          <cell r="B3439" t="str">
            <v>HAFID HELPER TLB</v>
          </cell>
          <cell r="D3439">
            <v>225330.08045454547</v>
          </cell>
        </row>
        <row r="3440">
          <cell r="A3440" t="str">
            <v>CST0033635</v>
          </cell>
          <cell r="B3440" t="str">
            <v>BAROKAH</v>
          </cell>
          <cell r="D3440">
            <v>529772.72727272718</v>
          </cell>
        </row>
        <row r="3441">
          <cell r="A3441" t="str">
            <v>CST0034570</v>
          </cell>
          <cell r="B3441" t="str">
            <v>HAFIZ</v>
          </cell>
          <cell r="D3441">
            <v>114430.9090909091</v>
          </cell>
        </row>
        <row r="3442">
          <cell r="A3442" t="str">
            <v>CST0010780</v>
          </cell>
          <cell r="B3442" t="str">
            <v>MUMUN</v>
          </cell>
          <cell r="D3442">
            <v>317863.63636363635</v>
          </cell>
        </row>
        <row r="3443">
          <cell r="A3443" t="str">
            <v>CST0040360</v>
          </cell>
          <cell r="B3443" t="str">
            <v>WR. LUTFI</v>
          </cell>
          <cell r="D3443">
            <v>47200</v>
          </cell>
        </row>
        <row r="3444">
          <cell r="A3444" t="str">
            <v>CST0008761</v>
          </cell>
          <cell r="B3444" t="str">
            <v>FARID</v>
          </cell>
          <cell r="D3444">
            <v>91318.181818181823</v>
          </cell>
        </row>
        <row r="3445">
          <cell r="A3445" t="str">
            <v>CST0031223</v>
          </cell>
          <cell r="B3445" t="str">
            <v>WR MEGO</v>
          </cell>
          <cell r="D3445">
            <v>228861.81818181818</v>
          </cell>
        </row>
        <row r="3446">
          <cell r="A3446" t="str">
            <v>CST0034599</v>
          </cell>
          <cell r="B3446" t="str">
            <v>TOKO IDA KOSMETIK</v>
          </cell>
          <cell r="D3446">
            <v>273362.72727272729</v>
          </cell>
        </row>
        <row r="3447">
          <cell r="A3447" t="str">
            <v>CST0020677</v>
          </cell>
          <cell r="B3447" t="str">
            <v>SRC VERA</v>
          </cell>
          <cell r="D3447">
            <v>12109.09090909091</v>
          </cell>
        </row>
        <row r="3448">
          <cell r="A3448" t="str">
            <v>CST0016812</v>
          </cell>
          <cell r="B3448" t="str">
            <v>RICARD</v>
          </cell>
          <cell r="D3448">
            <v>55988.636363636368</v>
          </cell>
        </row>
        <row r="3449">
          <cell r="A3449" t="str">
            <v>CST0030411</v>
          </cell>
          <cell r="B3449" t="str">
            <v>MARWAN BERKAH</v>
          </cell>
          <cell r="D3449">
            <v>556261.36363636353</v>
          </cell>
        </row>
        <row r="3450">
          <cell r="A3450" t="str">
            <v>CST0028838</v>
          </cell>
          <cell r="B3450" t="str">
            <v xml:space="preserve">TOKO HIDAYAH </v>
          </cell>
          <cell r="D3450">
            <v>4424509.0909090908</v>
          </cell>
        </row>
        <row r="3451">
          <cell r="A3451" t="str">
            <v>CST0000236</v>
          </cell>
          <cell r="B3451" t="str">
            <v>RIAN</v>
          </cell>
          <cell r="D3451">
            <v>233931.81818181818</v>
          </cell>
        </row>
        <row r="3452">
          <cell r="A3452" t="str">
            <v>CST0006771</v>
          </cell>
          <cell r="B3452" t="str">
            <v>MAHKOTA</v>
          </cell>
          <cell r="D3452">
            <v>248863.63636363638</v>
          </cell>
        </row>
        <row r="3453">
          <cell r="A3453" t="str">
            <v>CST0007348</v>
          </cell>
          <cell r="B3453" t="str">
            <v>PT. SEKAWAN CHANDRA PERSADA</v>
          </cell>
          <cell r="D3453">
            <v>-67609.090909090912</v>
          </cell>
        </row>
        <row r="3454">
          <cell r="A3454" t="str">
            <v>CST0007577</v>
          </cell>
          <cell r="B3454" t="str">
            <v>TOKO ATUN</v>
          </cell>
          <cell r="D3454">
            <v>675818.18181818177</v>
          </cell>
        </row>
        <row r="3455">
          <cell r="A3455" t="str">
            <v>CST0007302</v>
          </cell>
          <cell r="B3455" t="str">
            <v>MIRA</v>
          </cell>
          <cell r="D3455">
            <v>503153.63636363629</v>
          </cell>
        </row>
        <row r="3456">
          <cell r="A3456" t="str">
            <v>CST0007338</v>
          </cell>
          <cell r="B3456" t="str">
            <v>PT. SEKAWAN CHANDRA ABADI</v>
          </cell>
          <cell r="D3456">
            <v>2363139.5454545454</v>
          </cell>
        </row>
        <row r="3457">
          <cell r="A3457" t="str">
            <v>CST0031587</v>
          </cell>
          <cell r="B3457" t="str">
            <v>ALI RIZKY</v>
          </cell>
          <cell r="D3457">
            <v>708353.18181818177</v>
          </cell>
        </row>
        <row r="3458">
          <cell r="A3458" t="str">
            <v>CST0039920</v>
          </cell>
          <cell r="B3458" t="str">
            <v>DIANA</v>
          </cell>
          <cell r="D3458">
            <v>263515</v>
          </cell>
        </row>
        <row r="3459">
          <cell r="A3459" t="str">
            <v>CST0011870</v>
          </cell>
          <cell r="B3459" t="str">
            <v>BAGAS MART</v>
          </cell>
          <cell r="D3459">
            <v>370840.90909090906</v>
          </cell>
        </row>
        <row r="3460">
          <cell r="A3460" t="str">
            <v>CST0024385</v>
          </cell>
          <cell r="B3460" t="str">
            <v>WIWIN</v>
          </cell>
          <cell r="D3460">
            <v>126000</v>
          </cell>
        </row>
        <row r="3461">
          <cell r="A3461" t="str">
            <v>CST0035575</v>
          </cell>
          <cell r="B3461" t="str">
            <v>TOKO DAHLIA</v>
          </cell>
          <cell r="D3461">
            <v>237867.95454545453</v>
          </cell>
        </row>
        <row r="3462">
          <cell r="A3462" t="str">
            <v>CST0040386</v>
          </cell>
          <cell r="B3462" t="str">
            <v>PELANGI ANJAR</v>
          </cell>
          <cell r="D3462">
            <v>26488.636363636364</v>
          </cell>
        </row>
        <row r="3463">
          <cell r="A3463" t="str">
            <v>CST0000615</v>
          </cell>
          <cell r="B3463" t="str">
            <v>AGUS TOKO</v>
          </cell>
          <cell r="D3463">
            <v>1842218.1818181816</v>
          </cell>
        </row>
        <row r="3464">
          <cell r="A3464" t="str">
            <v>CST0000363</v>
          </cell>
          <cell r="B3464" t="str">
            <v>TOKO RESI</v>
          </cell>
          <cell r="D3464">
            <v>238397.72727272721</v>
          </cell>
        </row>
        <row r="3465">
          <cell r="A3465" t="str">
            <v>CST0029149</v>
          </cell>
          <cell r="B3465" t="str">
            <v>NINGSIH</v>
          </cell>
          <cell r="D3465">
            <v>158931.81818181818</v>
          </cell>
        </row>
        <row r="3466">
          <cell r="A3466" t="str">
            <v>CST0040391</v>
          </cell>
          <cell r="B3466" t="str">
            <v>LALABO</v>
          </cell>
          <cell r="D3466">
            <v>53025683.454545431</v>
          </cell>
        </row>
        <row r="3467">
          <cell r="A3467" t="str">
            <v>CST0036235</v>
          </cell>
          <cell r="B3467" t="str">
            <v>TOKO AYU</v>
          </cell>
          <cell r="D3467">
            <v>91120.909090909103</v>
          </cell>
        </row>
        <row r="3468">
          <cell r="A3468" t="str">
            <v>CST0032176</v>
          </cell>
          <cell r="B3468" t="str">
            <v>TOKO PURI</v>
          </cell>
          <cell r="D3468">
            <v>84763.636363636368</v>
          </cell>
        </row>
        <row r="3469">
          <cell r="A3469" t="str">
            <v>CST0011010</v>
          </cell>
          <cell r="B3469" t="str">
            <v>TOPIK</v>
          </cell>
          <cell r="D3469">
            <v>378181.81818181818</v>
          </cell>
        </row>
        <row r="3470">
          <cell r="A3470" t="str">
            <v>CST0035006</v>
          </cell>
          <cell r="B3470" t="str">
            <v>MARGO MULYO</v>
          </cell>
          <cell r="D3470">
            <v>317863.63636363629</v>
          </cell>
        </row>
        <row r="3471">
          <cell r="A3471" t="str">
            <v>CST0040387</v>
          </cell>
          <cell r="B3471" t="str">
            <v>YUNMA STORE</v>
          </cell>
          <cell r="D3471">
            <v>3168625.9090909092</v>
          </cell>
        </row>
        <row r="3472">
          <cell r="A3472" t="str">
            <v>CST0039917</v>
          </cell>
          <cell r="B3472" t="str">
            <v>TOKO 2F</v>
          </cell>
          <cell r="D3472">
            <v>32000</v>
          </cell>
        </row>
        <row r="3473">
          <cell r="A3473" t="str">
            <v>CST0007051</v>
          </cell>
          <cell r="B3473" t="str">
            <v>SARAH TOKO</v>
          </cell>
          <cell r="D3473">
            <v>25000</v>
          </cell>
        </row>
        <row r="3474">
          <cell r="A3474" t="str">
            <v>CST0014868</v>
          </cell>
          <cell r="B3474" t="str">
            <v>ELI</v>
          </cell>
          <cell r="D3474">
            <v>1034832.2727272727</v>
          </cell>
        </row>
        <row r="3475">
          <cell r="A3475" t="str">
            <v>CST0011986</v>
          </cell>
          <cell r="B3475" t="str">
            <v>ERNA PS</v>
          </cell>
          <cell r="D3475">
            <v>619200</v>
          </cell>
        </row>
        <row r="3476">
          <cell r="A3476" t="str">
            <v>CST0019343</v>
          </cell>
          <cell r="B3476" t="str">
            <v>KOKOM</v>
          </cell>
          <cell r="D3476">
            <v>5011118.1818181826</v>
          </cell>
        </row>
        <row r="3477">
          <cell r="A3477" t="str">
            <v>CST0039318</v>
          </cell>
          <cell r="B3477" t="str">
            <v>EIZHA DAILY</v>
          </cell>
          <cell r="D3477">
            <v>20922462.68181818</v>
          </cell>
        </row>
        <row r="3478">
          <cell r="A3478" t="str">
            <v>CST0024397</v>
          </cell>
          <cell r="B3478" t="str">
            <v>MAYA BABY &amp; KIDS</v>
          </cell>
          <cell r="D3478">
            <v>12785210.909090905</v>
          </cell>
        </row>
        <row r="3479">
          <cell r="A3479" t="str">
            <v xml:space="preserve">AA044501 </v>
          </cell>
          <cell r="B3479" t="str">
            <v xml:space="preserve"> PENJUALAN TUNAI GT </v>
          </cell>
          <cell r="D3479">
            <v>2233691.4895454547</v>
          </cell>
        </row>
        <row r="3480">
          <cell r="A3480" t="str">
            <v xml:space="preserve">AA030182 </v>
          </cell>
          <cell r="B3480" t="str">
            <v xml:space="preserve"> CV, WIVIOS GLOBAL INDONESIA - ALIU </v>
          </cell>
          <cell r="D3480">
            <v>55443041.727272734</v>
          </cell>
        </row>
        <row r="3481">
          <cell r="A3481" t="str">
            <v xml:space="preserve"> AA080601 </v>
          </cell>
          <cell r="B3481" t="str">
            <v xml:space="preserve"> CEMERLANG - WIWIK </v>
          </cell>
          <cell r="D3481">
            <v>5765629.0000000019</v>
          </cell>
        </row>
        <row r="3482">
          <cell r="A3482" t="str">
            <v xml:space="preserve"> AA085228 </v>
          </cell>
          <cell r="B3482" t="str">
            <v xml:space="preserve"> RESSHY KOSMETIK </v>
          </cell>
          <cell r="D3482">
            <v>882899.99999999988</v>
          </cell>
        </row>
        <row r="3483">
          <cell r="A3483" t="str">
            <v xml:space="preserve"> AA203921 </v>
          </cell>
          <cell r="B3483" t="str">
            <v xml:space="preserve"> NOVA KOSMETIK </v>
          </cell>
          <cell r="D3483">
            <v>853355.27272727271</v>
          </cell>
        </row>
        <row r="3484">
          <cell r="A3484" t="str">
            <v xml:space="preserve"> AA0106000001 </v>
          </cell>
          <cell r="B3484" t="str">
            <v xml:space="preserve"> CV, JHON NIAGA PERKASA ( C ) </v>
          </cell>
          <cell r="D3484">
            <v>59058251.31818182</v>
          </cell>
        </row>
        <row r="3485">
          <cell r="A3485" t="str">
            <v xml:space="preserve"> AA042701 </v>
          </cell>
          <cell r="B3485" t="str">
            <v xml:space="preserve"> CV, JHON NIAGA PERKASA MT ( F ) </v>
          </cell>
          <cell r="D3485">
            <v>89955930.545454562</v>
          </cell>
        </row>
        <row r="3486">
          <cell r="A3486" t="str">
            <v xml:space="preserve"> AA052150 </v>
          </cell>
          <cell r="B3486" t="str">
            <v xml:space="preserve"> HOUSE OF LINDA </v>
          </cell>
          <cell r="D3486">
            <v>9698688.6363636386</v>
          </cell>
        </row>
        <row r="3487">
          <cell r="A3487" t="str">
            <v xml:space="preserve"> AA073310 </v>
          </cell>
          <cell r="B3487" t="str">
            <v xml:space="preserve"> LIE COSMETIC </v>
          </cell>
          <cell r="D3487">
            <v>6821331.8181818184</v>
          </cell>
        </row>
        <row r="3488">
          <cell r="A3488" t="str">
            <v xml:space="preserve"> AA083941 </v>
          </cell>
          <cell r="B3488" t="str">
            <v xml:space="preserve"> NADINE </v>
          </cell>
          <cell r="D3488">
            <v>686614.09090909094</v>
          </cell>
        </row>
        <row r="3489">
          <cell r="A3489" t="str">
            <v xml:space="preserve"> AA222713 </v>
          </cell>
          <cell r="B3489" t="str">
            <v xml:space="preserve"> BON-BON KOSMETIK-JEFRI,C </v>
          </cell>
          <cell r="D3489">
            <v>24765118.409090921</v>
          </cell>
        </row>
        <row r="3490">
          <cell r="A3490" t="str">
            <v xml:space="preserve"> AA223639 </v>
          </cell>
          <cell r="B3490" t="str">
            <v xml:space="preserve"> MAUMU KOSMETIK </v>
          </cell>
          <cell r="D3490">
            <v>9361733.8636363633</v>
          </cell>
        </row>
        <row r="3491">
          <cell r="A3491" t="str">
            <v xml:space="preserve"> AA365107 </v>
          </cell>
          <cell r="B3491" t="str">
            <v xml:space="preserve"> RUMAH CANTIK KU </v>
          </cell>
          <cell r="D3491">
            <v>27947022.59090909</v>
          </cell>
        </row>
        <row r="3492">
          <cell r="A3492" t="str">
            <v xml:space="preserve"> AA370906 </v>
          </cell>
          <cell r="B3492" t="str">
            <v xml:space="preserve"> DNIAS KOSMETIK </v>
          </cell>
          <cell r="D3492">
            <v>2243589.0909090908</v>
          </cell>
        </row>
        <row r="3493">
          <cell r="A3493" t="str">
            <v xml:space="preserve"> AA393042 </v>
          </cell>
          <cell r="B3493" t="str">
            <v xml:space="preserve"> KERANJANG AA </v>
          </cell>
          <cell r="D3493">
            <v>3790080.6363636376</v>
          </cell>
        </row>
        <row r="3494">
          <cell r="A3494" t="str">
            <v xml:space="preserve"> AA345181 </v>
          </cell>
          <cell r="B3494" t="str">
            <v xml:space="preserve"> RINA KOSMETIK II </v>
          </cell>
          <cell r="D3494">
            <v>20611660.90909091</v>
          </cell>
        </row>
        <row r="3495">
          <cell r="A3495" t="str">
            <v xml:space="preserve"> AA325405 </v>
          </cell>
          <cell r="B3495" t="str">
            <v xml:space="preserve"> SINAR BARU (GRANDE) </v>
          </cell>
          <cell r="D3495">
            <v>52297090.36363636</v>
          </cell>
        </row>
        <row r="3496">
          <cell r="A3496" t="str">
            <v xml:space="preserve"> AA380025 </v>
          </cell>
          <cell r="B3496" t="str">
            <v xml:space="preserve"> AZAH M,N </v>
          </cell>
          <cell r="D3496">
            <v>15177458.181818184</v>
          </cell>
        </row>
        <row r="3497">
          <cell r="A3497" t="str">
            <v xml:space="preserve"> AA541200 </v>
          </cell>
          <cell r="B3497" t="str">
            <v xml:space="preserve"> FARID COSMETIK SHOP </v>
          </cell>
          <cell r="D3497">
            <v>5493859.6363636367</v>
          </cell>
        </row>
        <row r="3498">
          <cell r="A3498" t="str">
            <v xml:space="preserve"> AA413615 </v>
          </cell>
          <cell r="B3498" t="str">
            <v xml:space="preserve"> MISS GLAM LUBUK LINGGAU </v>
          </cell>
          <cell r="D3498">
            <v>42991216.954545438</v>
          </cell>
        </row>
        <row r="3499">
          <cell r="A3499" t="str">
            <v xml:space="preserve"> AA416603 </v>
          </cell>
          <cell r="B3499" t="str">
            <v xml:space="preserve"> WINDA COSMETIC </v>
          </cell>
          <cell r="D3499">
            <v>25277267.81818182</v>
          </cell>
        </row>
        <row r="3500">
          <cell r="A3500" t="str">
            <v xml:space="preserve"> AA302411 </v>
          </cell>
          <cell r="B3500" t="str">
            <v xml:space="preserve"> ICHA </v>
          </cell>
          <cell r="D3500">
            <v>2111826.1363636362</v>
          </cell>
        </row>
        <row r="3501">
          <cell r="A3501" t="str">
            <v xml:space="preserve"> AA303622 </v>
          </cell>
          <cell r="B3501" t="str">
            <v xml:space="preserve"> MM YEARS KELUANG </v>
          </cell>
          <cell r="D3501">
            <v>7511692.909090911</v>
          </cell>
        </row>
        <row r="3502">
          <cell r="A3502" t="str">
            <v xml:space="preserve"> AA303624 </v>
          </cell>
          <cell r="B3502" t="str">
            <v xml:space="preserve"> MM GYANT </v>
          </cell>
          <cell r="D3502">
            <v>867425</v>
          </cell>
        </row>
        <row r="3503">
          <cell r="A3503" t="str">
            <v xml:space="preserve"> AA520602 </v>
          </cell>
          <cell r="B3503" t="str">
            <v xml:space="preserve"> CANTIK MM </v>
          </cell>
          <cell r="D3503">
            <v>14674898.363636371</v>
          </cell>
        </row>
        <row r="3504">
          <cell r="A3504" t="str">
            <v xml:space="preserve"> AA530016 </v>
          </cell>
          <cell r="B3504" t="str">
            <v xml:space="preserve"> ANTON WIJAYA </v>
          </cell>
          <cell r="D3504">
            <v>328916.36363636365</v>
          </cell>
        </row>
        <row r="3505">
          <cell r="A3505" t="str">
            <v xml:space="preserve"> AA532400 </v>
          </cell>
          <cell r="B3505" t="str">
            <v xml:space="preserve"> ISMET </v>
          </cell>
          <cell r="D3505">
            <v>8535587.8636363652</v>
          </cell>
        </row>
        <row r="3506">
          <cell r="A3506" t="str">
            <v xml:space="preserve"> AA035426 </v>
          </cell>
          <cell r="B3506" t="str">
            <v xml:space="preserve"> SAID </v>
          </cell>
          <cell r="D3506">
            <v>1171135</v>
          </cell>
        </row>
        <row r="3507">
          <cell r="A3507" t="str">
            <v xml:space="preserve"> AA083937 </v>
          </cell>
          <cell r="B3507" t="str">
            <v xml:space="preserve"> NEY KOSMETIK </v>
          </cell>
          <cell r="D3507">
            <v>12881319.545454547</v>
          </cell>
        </row>
        <row r="3508">
          <cell r="A3508" t="str">
            <v xml:space="preserve"> AA124535 </v>
          </cell>
          <cell r="B3508" t="str">
            <v xml:space="preserve"> PINKY GLOW </v>
          </cell>
          <cell r="D3508">
            <v>75600</v>
          </cell>
        </row>
        <row r="3509">
          <cell r="A3509" t="str">
            <v xml:space="preserve"> AA305421 </v>
          </cell>
          <cell r="B3509" t="str">
            <v xml:space="preserve"> SEVEN MART </v>
          </cell>
          <cell r="D3509">
            <v>274316.31818181818</v>
          </cell>
        </row>
        <row r="3510">
          <cell r="A3510" t="str">
            <v xml:space="preserve"> AA043520 </v>
          </cell>
          <cell r="B3510" t="str">
            <v xml:space="preserve"> MISS GLAM </v>
          </cell>
          <cell r="D3510">
            <v>48135863.136363633</v>
          </cell>
        </row>
        <row r="3511">
          <cell r="A3511" t="str">
            <v xml:space="preserve"> AA415706 </v>
          </cell>
          <cell r="B3511" t="str">
            <v xml:space="preserve"> TOKO DW </v>
          </cell>
          <cell r="D3511">
            <v>164718.18181818182</v>
          </cell>
        </row>
        <row r="3512">
          <cell r="A3512" t="str">
            <v xml:space="preserve"> AA015112 </v>
          </cell>
          <cell r="B3512" t="str">
            <v xml:space="preserve"> RONI ACC </v>
          </cell>
          <cell r="D3512">
            <v>7893490</v>
          </cell>
        </row>
        <row r="3513">
          <cell r="A3513" t="str">
            <v xml:space="preserve"> AA030361 </v>
          </cell>
          <cell r="B3513" t="str">
            <v xml:space="preserve"> BELVA </v>
          </cell>
          <cell r="D3513">
            <v>341400</v>
          </cell>
        </row>
        <row r="3514">
          <cell r="A3514" t="str">
            <v xml:space="preserve"> AA050116 </v>
          </cell>
          <cell r="B3514" t="str">
            <v xml:space="preserve"> ASSYUJA </v>
          </cell>
          <cell r="D3514">
            <v>514452.27272727271</v>
          </cell>
        </row>
        <row r="3515">
          <cell r="A3515" t="str">
            <v xml:space="preserve"> AA072718 </v>
          </cell>
          <cell r="B3515" t="str">
            <v xml:space="preserve"> JCR SHOP </v>
          </cell>
          <cell r="D3515">
            <v>11298774</v>
          </cell>
        </row>
        <row r="3516">
          <cell r="A3516" t="str">
            <v xml:space="preserve"> AA084801 </v>
          </cell>
          <cell r="B3516" t="str">
            <v xml:space="preserve"> QUEEN KOSMETIK </v>
          </cell>
          <cell r="D3516">
            <v>1893229.3181818184</v>
          </cell>
        </row>
        <row r="3517">
          <cell r="A3517" t="str">
            <v xml:space="preserve"> AA090105 </v>
          </cell>
          <cell r="B3517" t="str">
            <v xml:space="preserve"> ALESHA KOSMETIK 2 </v>
          </cell>
          <cell r="D3517">
            <v>4971840.4545454551</v>
          </cell>
        </row>
        <row r="3518">
          <cell r="A3518" t="str">
            <v xml:space="preserve"> AA090619 </v>
          </cell>
          <cell r="B3518" t="str">
            <v xml:space="preserve"> CILUPBAH </v>
          </cell>
          <cell r="D3518">
            <v>30164545.363636374</v>
          </cell>
        </row>
        <row r="3519">
          <cell r="A3519" t="str">
            <v xml:space="preserve"> AA090922 </v>
          </cell>
          <cell r="B3519" t="str">
            <v xml:space="preserve"> VELLY- DARWIN KOSMETIK </v>
          </cell>
          <cell r="D3519">
            <v>119362331.1818182</v>
          </cell>
        </row>
        <row r="3520">
          <cell r="A3520" t="str">
            <v xml:space="preserve"> AA200627 </v>
          </cell>
          <cell r="B3520" t="str">
            <v xml:space="preserve"> CILUPBAH SHOP </v>
          </cell>
          <cell r="D3520">
            <v>6072483.8181818193</v>
          </cell>
        </row>
        <row r="3521">
          <cell r="A3521" t="str">
            <v xml:space="preserve"> AA207400 </v>
          </cell>
          <cell r="B3521" t="str">
            <v xml:space="preserve"> YOORA BEAUTY HOUSE </v>
          </cell>
          <cell r="D3521">
            <v>5404611.0000000028</v>
          </cell>
        </row>
        <row r="3522">
          <cell r="A3522" t="str">
            <v xml:space="preserve"> AA235416 </v>
          </cell>
          <cell r="B3522" t="str">
            <v xml:space="preserve"> SANDIKA KOSMETIK </v>
          </cell>
          <cell r="D3522">
            <v>137383576.63636366</v>
          </cell>
        </row>
        <row r="3523">
          <cell r="A3523" t="str">
            <v xml:space="preserve"> AA030645 </v>
          </cell>
          <cell r="B3523" t="str">
            <v xml:space="preserve"> CASANDRA KOSMETIK </v>
          </cell>
          <cell r="D3523">
            <v>539288882.72727251</v>
          </cell>
        </row>
        <row r="3524">
          <cell r="A3524" t="str">
            <v xml:space="preserve"> AA038300 </v>
          </cell>
          <cell r="B3524" t="str">
            <v xml:space="preserve"> SEVEN STAR </v>
          </cell>
          <cell r="D3524">
            <v>13072699.90909091</v>
          </cell>
        </row>
        <row r="3525">
          <cell r="A3525" t="str">
            <v xml:space="preserve"> AA040303 </v>
          </cell>
          <cell r="B3525" t="str">
            <v xml:space="preserve"> CV,LINDA KOSMETIK </v>
          </cell>
          <cell r="D3525">
            <v>188169519.27272722</v>
          </cell>
        </row>
        <row r="3526">
          <cell r="A3526" t="str">
            <v xml:space="preserve"> AA080238 </v>
          </cell>
          <cell r="B3526" t="str">
            <v xml:space="preserve"> AYIN </v>
          </cell>
          <cell r="D3526">
            <v>175230</v>
          </cell>
        </row>
        <row r="3527">
          <cell r="A3527" t="str">
            <v xml:space="preserve"> AA084597 </v>
          </cell>
          <cell r="B3527" t="str">
            <v xml:space="preserve"> PAKDE KWAT </v>
          </cell>
          <cell r="D3527">
            <v>113400</v>
          </cell>
        </row>
        <row r="3528">
          <cell r="A3528" t="str">
            <v xml:space="preserve"> AA085721 </v>
          </cell>
          <cell r="B3528" t="str">
            <v xml:space="preserve"> TAUPIK </v>
          </cell>
          <cell r="D3528">
            <v>957352.27272727271</v>
          </cell>
        </row>
        <row r="3529">
          <cell r="A3529" t="str">
            <v xml:space="preserve"> AA583621 </v>
          </cell>
          <cell r="B3529" t="str">
            <v xml:space="preserve"> MASTENG </v>
          </cell>
          <cell r="D3529">
            <v>20289748.863636363</v>
          </cell>
        </row>
        <row r="3530">
          <cell r="A3530" t="str">
            <v xml:space="preserve"> AA583911 </v>
          </cell>
          <cell r="B3530" t="str">
            <v xml:space="preserve"> NOFITA LATARIGA </v>
          </cell>
          <cell r="D3530">
            <v>54447725.36363636</v>
          </cell>
        </row>
        <row r="3531">
          <cell r="A3531" t="str">
            <v xml:space="preserve"> AA585443 </v>
          </cell>
          <cell r="B3531" t="str">
            <v xml:space="preserve"> SYAHRUN </v>
          </cell>
          <cell r="D3531">
            <v>27966456.37772727</v>
          </cell>
        </row>
        <row r="3532">
          <cell r="A3532" t="str">
            <v xml:space="preserve"> AA204546 </v>
          </cell>
          <cell r="B3532" t="str">
            <v xml:space="preserve"> PRISNA ACC </v>
          </cell>
          <cell r="D3532">
            <v>7094934.5454545459</v>
          </cell>
        </row>
        <row r="3533">
          <cell r="A3533" t="str">
            <v xml:space="preserve"> AA317205 </v>
          </cell>
          <cell r="B3533" t="str">
            <v xml:space="preserve"> 999 SHOP </v>
          </cell>
          <cell r="D3533">
            <v>10106901.818181818</v>
          </cell>
        </row>
        <row r="3534">
          <cell r="A3534" t="str">
            <v xml:space="preserve"> AA321505 </v>
          </cell>
          <cell r="B3534" t="str">
            <v xml:space="preserve"> FAJAR JAYA </v>
          </cell>
          <cell r="D3534">
            <v>14398881.818181818</v>
          </cell>
        </row>
        <row r="3535">
          <cell r="A3535" t="str">
            <v xml:space="preserve"> AA327800 </v>
          </cell>
          <cell r="B3535" t="str">
            <v xml:space="preserve"> ZAVANA STORE </v>
          </cell>
          <cell r="D3535">
            <v>6659131.3636363633</v>
          </cell>
        </row>
        <row r="3536">
          <cell r="A3536" t="str">
            <v xml:space="preserve"> AA573916 </v>
          </cell>
          <cell r="B3536" t="str">
            <v xml:space="preserve"> NINDI KOSMETIK </v>
          </cell>
          <cell r="D3536">
            <v>7226593.6363636348</v>
          </cell>
        </row>
        <row r="3537">
          <cell r="A3537" t="str">
            <v xml:space="preserve"> AA013606 </v>
          </cell>
          <cell r="B3537" t="str">
            <v xml:space="preserve"> METRO - NURJANAH </v>
          </cell>
          <cell r="D3537">
            <v>2912440.9090909092</v>
          </cell>
        </row>
        <row r="3538">
          <cell r="A3538" t="str">
            <v xml:space="preserve"> AA015111 </v>
          </cell>
          <cell r="B3538" t="str">
            <v xml:space="preserve"> RUDI RENO ACC </v>
          </cell>
          <cell r="D3538">
            <v>1830051.8181818184</v>
          </cell>
        </row>
        <row r="3539">
          <cell r="A3539" t="str">
            <v xml:space="preserve"> AA026605 </v>
          </cell>
          <cell r="B3539" t="str">
            <v xml:space="preserve"> WABISABI </v>
          </cell>
          <cell r="D3539">
            <v>176617197.45454547</v>
          </cell>
        </row>
        <row r="3540">
          <cell r="A3540" t="str">
            <v xml:space="preserve"> AA042700 </v>
          </cell>
          <cell r="B3540" t="str">
            <v xml:space="preserve"> JM PUTRA SEJAHTERA PT -IS </v>
          </cell>
          <cell r="D3540">
            <v>4280715.0000000009</v>
          </cell>
        </row>
        <row r="3541">
          <cell r="A3541" t="str">
            <v xml:space="preserve"> AA050083 </v>
          </cell>
          <cell r="B3541" t="str">
            <v xml:space="preserve"> ASRI </v>
          </cell>
          <cell r="D3541">
            <v>1730237.7272727271</v>
          </cell>
        </row>
        <row r="3542">
          <cell r="A3542" t="str">
            <v xml:space="preserve"> AA052709 </v>
          </cell>
          <cell r="B3542" t="str">
            <v xml:space="preserve"> JM PUTRA SEJAHTERA PT-LMB </v>
          </cell>
          <cell r="D3542">
            <v>1406773.6363636365</v>
          </cell>
        </row>
        <row r="3543">
          <cell r="A3543" t="str">
            <v xml:space="preserve"> AA053602 </v>
          </cell>
          <cell r="B3543" t="str">
            <v xml:space="preserve"> MERY </v>
          </cell>
          <cell r="D3543">
            <v>133200.00000000003</v>
          </cell>
        </row>
        <row r="3544">
          <cell r="A3544" t="str">
            <v xml:space="preserve"> AA060303 </v>
          </cell>
          <cell r="B3544" t="str">
            <v xml:space="preserve"> BUDI DARMA APOTIK </v>
          </cell>
          <cell r="D3544">
            <v>114733.63636363637</v>
          </cell>
        </row>
        <row r="3545">
          <cell r="A3545" t="str">
            <v xml:space="preserve"> AA071313 </v>
          </cell>
          <cell r="B3545" t="str">
            <v xml:space="preserve"> FRESH SEKIP </v>
          </cell>
          <cell r="D3545">
            <v>34991488.63636364</v>
          </cell>
        </row>
        <row r="3546">
          <cell r="A3546" t="str">
            <v xml:space="preserve"> AA080320 </v>
          </cell>
          <cell r="B3546" t="str">
            <v xml:space="preserve"> ABI ( ALEX ) </v>
          </cell>
          <cell r="D3546">
            <v>1386793.3636363635</v>
          </cell>
        </row>
        <row r="3547">
          <cell r="A3547" t="str">
            <v xml:space="preserve"> AA083741 </v>
          </cell>
          <cell r="B3547" t="str">
            <v xml:space="preserve"> MM,CITRA </v>
          </cell>
          <cell r="D3547">
            <v>266400.00000000006</v>
          </cell>
        </row>
        <row r="3548">
          <cell r="A3548" t="str">
            <v xml:space="preserve"> AA085233 </v>
          </cell>
          <cell r="B3548" t="str">
            <v xml:space="preserve"> R3 KOSMETIK </v>
          </cell>
          <cell r="D3548">
            <v>1072209.0909090908</v>
          </cell>
        </row>
        <row r="3549">
          <cell r="A3549" t="str">
            <v xml:space="preserve"> AA120070 </v>
          </cell>
          <cell r="B3549" t="str">
            <v xml:space="preserve"> ALAP STORE </v>
          </cell>
          <cell r="D3549">
            <v>4552088.1818181816</v>
          </cell>
        </row>
        <row r="3550">
          <cell r="A3550" t="str">
            <v xml:space="preserve"> AA200147 </v>
          </cell>
          <cell r="B3550" t="str">
            <v xml:space="preserve"> AIDIL FIKRI </v>
          </cell>
          <cell r="D3550">
            <v>88800.000000000015</v>
          </cell>
        </row>
        <row r="3551">
          <cell r="A3551" t="str">
            <v xml:space="preserve"> AA201503 </v>
          </cell>
          <cell r="B3551" t="str">
            <v xml:space="preserve"> FADILAH </v>
          </cell>
          <cell r="D3551">
            <v>598239.54545454541</v>
          </cell>
        </row>
        <row r="3552">
          <cell r="A3552" t="str">
            <v xml:space="preserve"> AA202700 </v>
          </cell>
          <cell r="B3552" t="str">
            <v xml:space="preserve"> JM FASHION </v>
          </cell>
          <cell r="D3552">
            <v>-579676.36363636365</v>
          </cell>
        </row>
        <row r="3553">
          <cell r="A3553" t="str">
            <v xml:space="preserve"> AA390371 </v>
          </cell>
          <cell r="B3553" t="str">
            <v xml:space="preserve"> BLUEBERRY SHOP 3 </v>
          </cell>
          <cell r="D3553">
            <v>934965.81818181823</v>
          </cell>
        </row>
        <row r="3554">
          <cell r="A3554" t="str">
            <v xml:space="preserve"> AA010059 </v>
          </cell>
          <cell r="B3554" t="str">
            <v xml:space="preserve"> AWO KOSMETIK </v>
          </cell>
          <cell r="D3554">
            <v>28388700.818181816</v>
          </cell>
        </row>
        <row r="3555">
          <cell r="A3555" t="str">
            <v xml:space="preserve"> AA030006 </v>
          </cell>
          <cell r="B3555" t="str">
            <v xml:space="preserve"> AMRIL </v>
          </cell>
          <cell r="D3555">
            <v>107342.04545454547</v>
          </cell>
        </row>
        <row r="3556">
          <cell r="A3556" t="str">
            <v xml:space="preserve"> AA030011 </v>
          </cell>
          <cell r="B3556" t="str">
            <v xml:space="preserve"> ADITYA </v>
          </cell>
          <cell r="D3556">
            <v>2938816.8636363633</v>
          </cell>
        </row>
        <row r="3557">
          <cell r="A3557" t="str">
            <v xml:space="preserve"> AA030179 </v>
          </cell>
          <cell r="B3557" t="str">
            <v xml:space="preserve"> ADEMO STORE </v>
          </cell>
          <cell r="D3557">
            <v>18287015.545454551</v>
          </cell>
        </row>
        <row r="3558">
          <cell r="A3558" t="str">
            <v xml:space="preserve"> AA032722 </v>
          </cell>
          <cell r="B3558" t="str">
            <v xml:space="preserve"> JORIN KOSMETIK </v>
          </cell>
          <cell r="D3558">
            <v>1631948.6363636362</v>
          </cell>
        </row>
        <row r="3559">
          <cell r="A3559" t="str">
            <v xml:space="preserve"> AA033603 </v>
          </cell>
          <cell r="B3559" t="str">
            <v xml:space="preserve"> MARIBETH </v>
          </cell>
          <cell r="D3559">
            <v>622936.59090909082</v>
          </cell>
        </row>
        <row r="3560">
          <cell r="A3560" t="str">
            <v xml:space="preserve"> AA034201 </v>
          </cell>
          <cell r="B3560" t="str">
            <v xml:space="preserve"> OWN KOSMETIK </v>
          </cell>
          <cell r="D3560">
            <v>1336540.9090909087</v>
          </cell>
        </row>
        <row r="3561">
          <cell r="A3561" t="str">
            <v xml:space="preserve"> AA034206 </v>
          </cell>
          <cell r="B3561" t="str">
            <v xml:space="preserve"> OKE MART </v>
          </cell>
          <cell r="D3561">
            <v>701754.54545454553</v>
          </cell>
        </row>
        <row r="3562">
          <cell r="A3562" t="str">
            <v xml:space="preserve"> AA043511 </v>
          </cell>
          <cell r="B3562" t="str">
            <v xml:space="preserve"> MEGA KOSMETIK </v>
          </cell>
          <cell r="D3562">
            <v>35905373.181818202</v>
          </cell>
        </row>
        <row r="3563">
          <cell r="A3563" t="str">
            <v xml:space="preserve"> AA073622 </v>
          </cell>
          <cell r="B3563" t="str">
            <v xml:space="preserve"> MUTIARA INDAH ABUSAMA </v>
          </cell>
          <cell r="D3563">
            <v>321345.00000000006</v>
          </cell>
        </row>
        <row r="3564">
          <cell r="A3564" t="str">
            <v xml:space="preserve"> AA080163 </v>
          </cell>
          <cell r="B3564" t="str">
            <v xml:space="preserve"> AZET </v>
          </cell>
          <cell r="D3564">
            <v>4154602.9545454555</v>
          </cell>
        </row>
        <row r="3565">
          <cell r="A3565" t="str">
            <v xml:space="preserve"> AA080412 </v>
          </cell>
          <cell r="B3565" t="str">
            <v xml:space="preserve"> BEAUTIVA </v>
          </cell>
          <cell r="D3565">
            <v>36639634</v>
          </cell>
        </row>
        <row r="3566">
          <cell r="A3566" t="str">
            <v xml:space="preserve"> AA082735 </v>
          </cell>
          <cell r="B3566" t="str">
            <v xml:space="preserve"> J,K </v>
          </cell>
          <cell r="D3566">
            <v>16589586.818181818</v>
          </cell>
        </row>
        <row r="3567">
          <cell r="A3567" t="str">
            <v xml:space="preserve"> AA082748 </v>
          </cell>
          <cell r="B3567" t="str">
            <v xml:space="preserve"> JH KOSMETIK </v>
          </cell>
          <cell r="D3567">
            <v>1973461.3636363633</v>
          </cell>
        </row>
        <row r="3568">
          <cell r="A3568" t="str">
            <v xml:space="preserve"> AA085229 </v>
          </cell>
          <cell r="B3568" t="str">
            <v xml:space="preserve"> R DAN N </v>
          </cell>
          <cell r="D3568">
            <v>1073876.3636363635</v>
          </cell>
        </row>
        <row r="3569">
          <cell r="A3569" t="str">
            <v xml:space="preserve"> AA210043 </v>
          </cell>
          <cell r="B3569" t="str">
            <v xml:space="preserve"> APOTIK K-NIA PHARMA </v>
          </cell>
          <cell r="D3569">
            <v>474600</v>
          </cell>
        </row>
        <row r="3570">
          <cell r="A3570" t="str">
            <v xml:space="preserve"> AA220030 </v>
          </cell>
          <cell r="B3570" t="str">
            <v xml:space="preserve"> OTEK </v>
          </cell>
          <cell r="D3570">
            <v>11361550.81818182</v>
          </cell>
        </row>
        <row r="3571">
          <cell r="A3571" t="str">
            <v xml:space="preserve"> AA225718 </v>
          </cell>
          <cell r="B3571" t="str">
            <v xml:space="preserve"> TOKO MIRING KERTAPATI </v>
          </cell>
          <cell r="D3571">
            <v>1178751.8181818181</v>
          </cell>
        </row>
        <row r="3572">
          <cell r="A3572" t="str">
            <v xml:space="preserve"> AA360300 </v>
          </cell>
          <cell r="B3572" t="str">
            <v xml:space="preserve"> BUNDA COSMETIK </v>
          </cell>
          <cell r="D3572">
            <v>320004.54545454547</v>
          </cell>
        </row>
        <row r="3573">
          <cell r="A3573" t="str">
            <v xml:space="preserve"> AA360902 </v>
          </cell>
          <cell r="B3573" t="str">
            <v xml:space="preserve"> DEVI,TK </v>
          </cell>
          <cell r="D3573">
            <v>1647469.9999999998</v>
          </cell>
        </row>
        <row r="3574">
          <cell r="A3574" t="str">
            <v xml:space="preserve"> AA361501 </v>
          </cell>
          <cell r="B3574" t="str">
            <v xml:space="preserve"> FATIAH,TK </v>
          </cell>
          <cell r="D3574">
            <v>11049542.045454547</v>
          </cell>
        </row>
        <row r="3575">
          <cell r="A3575" t="str">
            <v xml:space="preserve"> AA370303 </v>
          </cell>
          <cell r="B3575" t="str">
            <v xml:space="preserve"> BINTANG AGUNG </v>
          </cell>
          <cell r="D3575">
            <v>1155459.7727272727</v>
          </cell>
        </row>
        <row r="3576">
          <cell r="A3576" t="str">
            <v xml:space="preserve"> AA375115 </v>
          </cell>
          <cell r="B3576" t="str">
            <v xml:space="preserve"> REST BEAUTY </v>
          </cell>
          <cell r="D3576">
            <v>7445458.3181818202</v>
          </cell>
        </row>
        <row r="3577">
          <cell r="A3577" t="str">
            <v xml:space="preserve"> AA380002 </v>
          </cell>
          <cell r="B3577" t="str">
            <v xml:space="preserve"> AFRIZAL KOSMETIK </v>
          </cell>
          <cell r="D3577">
            <v>2017628.8636363633</v>
          </cell>
        </row>
        <row r="3578">
          <cell r="A3578" t="str">
            <v xml:space="preserve"> AA385113 </v>
          </cell>
          <cell r="B3578" t="str">
            <v xml:space="preserve"> RAHMA KOSMETIK </v>
          </cell>
          <cell r="D3578">
            <v>4122111.8181818188</v>
          </cell>
        </row>
        <row r="3579">
          <cell r="A3579" t="str">
            <v xml:space="preserve"> AA385709 </v>
          </cell>
          <cell r="B3579" t="str">
            <v xml:space="preserve"> TOKO WAHANA </v>
          </cell>
          <cell r="D3579">
            <v>1205226.1363636365</v>
          </cell>
        </row>
        <row r="3580">
          <cell r="A3580" t="str">
            <v xml:space="preserve"> AA390372 </v>
          </cell>
          <cell r="B3580" t="str">
            <v xml:space="preserve"> BAHAB KOSMETIK </v>
          </cell>
          <cell r="D3580">
            <v>1705585.9999999998</v>
          </cell>
        </row>
        <row r="3581">
          <cell r="A3581" t="str">
            <v xml:space="preserve"> AA391220 </v>
          </cell>
          <cell r="B3581" t="str">
            <v xml:space="preserve"> EKA KOSMETIK </v>
          </cell>
          <cell r="D3581">
            <v>2394142.2727272725</v>
          </cell>
        </row>
        <row r="3582">
          <cell r="A3582" t="str">
            <v xml:space="preserve"> AA393302 </v>
          </cell>
          <cell r="B3582" t="str">
            <v xml:space="preserve"> LARIS (LAHAT) </v>
          </cell>
          <cell r="D3582">
            <v>119577.27272727274</v>
          </cell>
        </row>
        <row r="3583">
          <cell r="A3583" t="str">
            <v xml:space="preserve"> AA395333 </v>
          </cell>
          <cell r="B3583" t="str">
            <v xml:space="preserve"> RAINBOW SHOP </v>
          </cell>
          <cell r="D3583">
            <v>1125766.3636363635</v>
          </cell>
        </row>
        <row r="3584">
          <cell r="A3584" t="str">
            <v xml:space="preserve"> AA340941 </v>
          </cell>
          <cell r="B3584" t="str">
            <v xml:space="preserve"> CV,USAHA BARU BERJAYA </v>
          </cell>
          <cell r="D3584">
            <v>6641652.5000000009</v>
          </cell>
        </row>
        <row r="3585">
          <cell r="A3585" t="str">
            <v xml:space="preserve"> AA341118 </v>
          </cell>
          <cell r="B3585" t="str">
            <v xml:space="preserve"> DINA </v>
          </cell>
          <cell r="D3585">
            <v>164400</v>
          </cell>
        </row>
        <row r="3586">
          <cell r="A3586" t="str">
            <v xml:space="preserve"> AA341215 </v>
          </cell>
          <cell r="B3586" t="str">
            <v xml:space="preserve"> ELWAN </v>
          </cell>
          <cell r="D3586">
            <v>1113329.2727272727</v>
          </cell>
        </row>
        <row r="3587">
          <cell r="A3587" t="str">
            <v xml:space="preserve"> AA345746 </v>
          </cell>
          <cell r="B3587" t="str">
            <v xml:space="preserve"> TOKO MEGA </v>
          </cell>
          <cell r="D3587">
            <v>1700556.1363636365</v>
          </cell>
        </row>
        <row r="3588">
          <cell r="A3588" t="str">
            <v xml:space="preserve"> AA351200 </v>
          </cell>
          <cell r="B3588" t="str">
            <v xml:space="preserve"> EDI MARATHON </v>
          </cell>
          <cell r="D3588">
            <v>5161938.9545454541</v>
          </cell>
        </row>
        <row r="3589">
          <cell r="A3589" t="str">
            <v xml:space="preserve"> AA352400 </v>
          </cell>
          <cell r="B3589" t="str">
            <v xml:space="preserve"> IKO,TK </v>
          </cell>
          <cell r="D3589">
            <v>266400.00000000006</v>
          </cell>
        </row>
        <row r="3590">
          <cell r="A3590" t="str">
            <v xml:space="preserve"> AA355400 </v>
          </cell>
          <cell r="B3590" t="str">
            <v xml:space="preserve"> SINAR PAGI </v>
          </cell>
          <cell r="D3590">
            <v>867463.63636363635</v>
          </cell>
        </row>
        <row r="3591">
          <cell r="A3591" t="str">
            <v xml:space="preserve"> AA356000 </v>
          </cell>
          <cell r="B3591" t="str">
            <v xml:space="preserve"> UJANG ALI </v>
          </cell>
          <cell r="D3591">
            <v>2944932.2727272725</v>
          </cell>
        </row>
        <row r="3592">
          <cell r="A3592" t="str">
            <v xml:space="preserve"> AA580003 </v>
          </cell>
          <cell r="B3592" t="str">
            <v xml:space="preserve"> ALAMANDA MM </v>
          </cell>
          <cell r="D3592">
            <v>2214036.8181818184</v>
          </cell>
        </row>
        <row r="3593">
          <cell r="A3593" t="str">
            <v xml:space="preserve"> AA580014 </v>
          </cell>
          <cell r="B3593" t="str">
            <v xml:space="preserve"> ATUR </v>
          </cell>
          <cell r="D3593">
            <v>942218.18181818177</v>
          </cell>
        </row>
        <row r="3594">
          <cell r="A3594" t="str">
            <v xml:space="preserve"> AA580085 </v>
          </cell>
          <cell r="B3594" t="str">
            <v xml:space="preserve"> ALESHA KOSMETIK </v>
          </cell>
          <cell r="D3594">
            <v>4442809.5000000009</v>
          </cell>
        </row>
        <row r="3595">
          <cell r="A3595" t="str">
            <v xml:space="preserve"> AA580307 </v>
          </cell>
          <cell r="B3595" t="str">
            <v xml:space="preserve"> BUNDA KIDS </v>
          </cell>
          <cell r="D3595">
            <v>1338400</v>
          </cell>
        </row>
        <row r="3596">
          <cell r="A3596" t="str">
            <v xml:space="preserve"> AA580344 </v>
          </cell>
          <cell r="B3596" t="str">
            <v xml:space="preserve"> BOS RADEN </v>
          </cell>
          <cell r="D3596">
            <v>353686.36363636365</v>
          </cell>
        </row>
        <row r="3597">
          <cell r="A3597" t="str">
            <v xml:space="preserve"> AA580612 </v>
          </cell>
          <cell r="B3597" t="str">
            <v xml:space="preserve"> CC KOSMETIK </v>
          </cell>
          <cell r="D3597">
            <v>2361037.5804545456</v>
          </cell>
        </row>
        <row r="3598">
          <cell r="A3598" t="str">
            <v xml:space="preserve"> AA580917 </v>
          </cell>
          <cell r="B3598" t="str">
            <v xml:space="preserve"> DIVA DEVA </v>
          </cell>
          <cell r="D3598">
            <v>12079774.090909088</v>
          </cell>
        </row>
        <row r="3599">
          <cell r="A3599" t="str">
            <v xml:space="preserve"> AA580920 </v>
          </cell>
          <cell r="B3599" t="str">
            <v xml:space="preserve"> DEDI KOSMETIK </v>
          </cell>
          <cell r="D3599">
            <v>1133109.9999999998</v>
          </cell>
        </row>
        <row r="3600">
          <cell r="A3600" t="str">
            <v xml:space="preserve"> AA581807 </v>
          </cell>
          <cell r="B3600" t="str">
            <v xml:space="preserve"> GRIYA COSMETIC </v>
          </cell>
          <cell r="D3600">
            <v>32284420.90909091</v>
          </cell>
        </row>
        <row r="3601">
          <cell r="A3601" t="str">
            <v xml:space="preserve"> AA583010 </v>
          </cell>
          <cell r="B3601" t="str">
            <v xml:space="preserve"> KARISMA KOSMETIK </v>
          </cell>
          <cell r="D3601">
            <v>7090373.1818181807</v>
          </cell>
        </row>
        <row r="3602">
          <cell r="A3602" t="str">
            <v xml:space="preserve"> AA583742 </v>
          </cell>
          <cell r="B3602" t="str">
            <v xml:space="preserve"> MAI BABY SHOP </v>
          </cell>
          <cell r="D3602">
            <v>4654540.4545454551</v>
          </cell>
        </row>
        <row r="3603">
          <cell r="A3603" t="str">
            <v xml:space="preserve"> AA585143 </v>
          </cell>
          <cell r="B3603" t="str">
            <v xml:space="preserve"> RUMAH PELANGI </v>
          </cell>
          <cell r="D3603">
            <v>3111863.3636363633</v>
          </cell>
        </row>
        <row r="3604">
          <cell r="A3604" t="str">
            <v xml:space="preserve"> AA591201 </v>
          </cell>
          <cell r="B3604" t="str">
            <v xml:space="preserve"> EDO CELL </v>
          </cell>
          <cell r="D3604">
            <v>445831.36363636365</v>
          </cell>
        </row>
        <row r="3605">
          <cell r="A3605" t="str">
            <v xml:space="preserve"> AA595401 </v>
          </cell>
          <cell r="B3605" t="str">
            <v xml:space="preserve"> SALJU MERAPI II </v>
          </cell>
          <cell r="D3605">
            <v>2071338.6363636362</v>
          </cell>
        </row>
        <row r="3606">
          <cell r="A3606" t="str">
            <v xml:space="preserve"> AA320315 </v>
          </cell>
          <cell r="B3606" t="str">
            <v xml:space="preserve"> BUDI KOSMETIK </v>
          </cell>
          <cell r="D3606">
            <v>4526822.2727272734</v>
          </cell>
        </row>
        <row r="3607">
          <cell r="A3607" t="str">
            <v xml:space="preserve"> AA560912 </v>
          </cell>
          <cell r="B3607" t="str">
            <v xml:space="preserve"> DODO </v>
          </cell>
          <cell r="D3607">
            <v>2220000.0000000005</v>
          </cell>
        </row>
        <row r="3608">
          <cell r="A3608" t="str">
            <v xml:space="preserve"> AA561803 </v>
          </cell>
          <cell r="B3608" t="str">
            <v xml:space="preserve"> GASANOVA </v>
          </cell>
          <cell r="D3608">
            <v>11506855.909090908</v>
          </cell>
        </row>
        <row r="3609">
          <cell r="A3609" t="str">
            <v xml:space="preserve"> AA565714 </v>
          </cell>
          <cell r="B3609" t="str">
            <v xml:space="preserve"> AIRIN TK </v>
          </cell>
          <cell r="D3609">
            <v>1198800.0000000002</v>
          </cell>
        </row>
        <row r="3610">
          <cell r="A3610" t="str">
            <v xml:space="preserve"> AA575114 </v>
          </cell>
          <cell r="B3610" t="str">
            <v xml:space="preserve"> REDI,TK </v>
          </cell>
          <cell r="D3610">
            <v>3322880.4545454546</v>
          </cell>
        </row>
        <row r="3611">
          <cell r="A3611" t="str">
            <v xml:space="preserve"> AA410008 </v>
          </cell>
          <cell r="B3611" t="str">
            <v xml:space="preserve"> APOTEK FARSA </v>
          </cell>
          <cell r="D3611">
            <v>283742.04545454547</v>
          </cell>
        </row>
        <row r="3612">
          <cell r="A3612" t="str">
            <v xml:space="preserve"> AA410026 </v>
          </cell>
          <cell r="B3612" t="str">
            <v xml:space="preserve"> APOTIK MAKMUR JAYA </v>
          </cell>
          <cell r="D3612">
            <v>1509983.1818181816</v>
          </cell>
        </row>
        <row r="3613">
          <cell r="A3613" t="str">
            <v xml:space="preserve"> AA414506 </v>
          </cell>
          <cell r="B3613" t="str">
            <v xml:space="preserve"> PINKI MART </v>
          </cell>
          <cell r="D3613">
            <v>21725207.22727273</v>
          </cell>
        </row>
        <row r="3614">
          <cell r="A3614" t="str">
            <v xml:space="preserve"> AA415403 </v>
          </cell>
          <cell r="B3614" t="str">
            <v xml:space="preserve"> SHERLY </v>
          </cell>
          <cell r="D3614">
            <v>1788595.9090909092</v>
          </cell>
        </row>
        <row r="3615">
          <cell r="A3615" t="str">
            <v xml:space="preserve"> AA415406 </v>
          </cell>
          <cell r="B3615" t="str">
            <v xml:space="preserve"> SM LUBUK AMAN </v>
          </cell>
          <cell r="D3615">
            <v>869490</v>
          </cell>
        </row>
        <row r="3616">
          <cell r="A3616" t="str">
            <v xml:space="preserve"> AA415726 </v>
          </cell>
          <cell r="B3616" t="str">
            <v xml:space="preserve"> TOKO AULIA TERUSAN </v>
          </cell>
          <cell r="D3616">
            <v>1122018.0909090908</v>
          </cell>
        </row>
        <row r="3617">
          <cell r="A3617" t="str">
            <v xml:space="preserve"> AA300916 </v>
          </cell>
          <cell r="B3617" t="str">
            <v xml:space="preserve"> DAVID </v>
          </cell>
          <cell r="D3617">
            <v>2086200</v>
          </cell>
        </row>
        <row r="3618">
          <cell r="A3618" t="str">
            <v xml:space="preserve"> AA303631 </v>
          </cell>
          <cell r="B3618" t="str">
            <v xml:space="preserve"> MM, YEARS </v>
          </cell>
          <cell r="D3618">
            <v>1967577.2727272727</v>
          </cell>
        </row>
        <row r="3619">
          <cell r="A3619" t="str">
            <v xml:space="preserve"> AA304700 </v>
          </cell>
          <cell r="B3619" t="str">
            <v xml:space="preserve"> QUEEN KOSMETIK </v>
          </cell>
          <cell r="D3619">
            <v>6586749.9090909101</v>
          </cell>
        </row>
        <row r="3620">
          <cell r="A3620" t="str">
            <v xml:space="preserve"> AA305420 </v>
          </cell>
          <cell r="B3620" t="str">
            <v xml:space="preserve"> SURYANI - YEARS </v>
          </cell>
          <cell r="D3620">
            <v>7643845.7272727294</v>
          </cell>
        </row>
        <row r="3621">
          <cell r="A3621" t="str">
            <v xml:space="preserve"> AA305708 </v>
          </cell>
          <cell r="B3621" t="str">
            <v xml:space="preserve"> TOKO PENDI </v>
          </cell>
          <cell r="D3621">
            <v>497400</v>
          </cell>
        </row>
        <row r="3622">
          <cell r="A3622" t="str">
            <v xml:space="preserve"> AA305710 </v>
          </cell>
          <cell r="B3622" t="str">
            <v xml:space="preserve"> TELATEN KOSMETIK </v>
          </cell>
          <cell r="D3622">
            <v>7119367.2272727303</v>
          </cell>
        </row>
        <row r="3623">
          <cell r="A3623" t="str">
            <v xml:space="preserve"> AA307201 </v>
          </cell>
          <cell r="B3623" t="str">
            <v xml:space="preserve"> YEARS MART </v>
          </cell>
          <cell r="D3623">
            <v>1282832.0454545454</v>
          </cell>
        </row>
        <row r="3624">
          <cell r="A3624" t="str">
            <v xml:space="preserve"> AA525707 </v>
          </cell>
          <cell r="B3624" t="str">
            <v xml:space="preserve"> TIARA KOSMETIK </v>
          </cell>
          <cell r="D3624">
            <v>4973046.8181818193</v>
          </cell>
        </row>
        <row r="3625">
          <cell r="A3625" t="str">
            <v xml:space="preserve"> AA533612 </v>
          </cell>
          <cell r="B3625" t="str">
            <v xml:space="preserve"> SS MART </v>
          </cell>
          <cell r="D3625">
            <v>713652.72727272729</v>
          </cell>
        </row>
        <row r="3626">
          <cell r="A3626" t="str">
            <v xml:space="preserve"> AA533613 </v>
          </cell>
          <cell r="B3626" t="str">
            <v xml:space="preserve"> MM JM </v>
          </cell>
          <cell r="D3626">
            <v>483606.81818181823</v>
          </cell>
        </row>
        <row r="3627">
          <cell r="A3627" t="str">
            <v xml:space="preserve"> AA030931 </v>
          </cell>
          <cell r="B3627" t="str">
            <v xml:space="preserve"> DARMANTO </v>
          </cell>
          <cell r="D3627">
            <v>47399.999999999985</v>
          </cell>
        </row>
        <row r="3628">
          <cell r="A3628" t="str">
            <v xml:space="preserve"> AA035186 </v>
          </cell>
          <cell r="B3628" t="str">
            <v xml:space="preserve"> R N N COSMETIC II </v>
          </cell>
          <cell r="D3628">
            <v>1104166.3636363635</v>
          </cell>
        </row>
        <row r="3629">
          <cell r="A3629" t="str">
            <v xml:space="preserve"> AA036318 </v>
          </cell>
          <cell r="B3629" t="str">
            <v xml:space="preserve"> VERA </v>
          </cell>
          <cell r="D3629">
            <v>1489157.5454545454</v>
          </cell>
        </row>
        <row r="3630">
          <cell r="A3630" t="str">
            <v xml:space="preserve"> AA082152 </v>
          </cell>
          <cell r="B3630" t="str">
            <v xml:space="preserve"> JEJU KOSMETIK </v>
          </cell>
          <cell r="D3630">
            <v>1446747.2727272729</v>
          </cell>
        </row>
        <row r="3631">
          <cell r="A3631" t="str">
            <v xml:space="preserve"> AA123303 </v>
          </cell>
          <cell r="B3631" t="str">
            <v xml:space="preserve"> LALA </v>
          </cell>
          <cell r="D3631">
            <v>6045143.8181818193</v>
          </cell>
        </row>
        <row r="3632">
          <cell r="A3632" t="str">
            <v xml:space="preserve"> AA201524 </v>
          </cell>
          <cell r="B3632" t="str">
            <v xml:space="preserve"> FIKRI </v>
          </cell>
          <cell r="D3632">
            <v>1705966.3636363633</v>
          </cell>
        </row>
        <row r="3633">
          <cell r="A3633" t="str">
            <v xml:space="preserve"> AA070332 </v>
          </cell>
          <cell r="B3633" t="str">
            <v xml:space="preserve"> BELLANE SHOP </v>
          </cell>
          <cell r="D3633">
            <v>4056285.3636363633</v>
          </cell>
        </row>
        <row r="3634">
          <cell r="A3634" t="str">
            <v xml:space="preserve"> AA080416 </v>
          </cell>
          <cell r="B3634" t="str">
            <v xml:space="preserve"> BEAUTY COSMETIK </v>
          </cell>
          <cell r="D3634">
            <v>500520</v>
          </cell>
        </row>
        <row r="3635">
          <cell r="A3635" t="str">
            <v xml:space="preserve"> AA086053 </v>
          </cell>
          <cell r="B3635" t="str">
            <v xml:space="preserve"> TOKO STEFANNY </v>
          </cell>
          <cell r="D3635">
            <v>199800.00000000006</v>
          </cell>
        </row>
        <row r="3636">
          <cell r="A3636" t="str">
            <v xml:space="preserve"> AA087500 </v>
          </cell>
          <cell r="B3636" t="str">
            <v xml:space="preserve"> ZEST MINI MARKET </v>
          </cell>
          <cell r="D3636">
            <v>399600.00000000012</v>
          </cell>
        </row>
        <row r="3637">
          <cell r="A3637" t="str">
            <v xml:space="preserve"> AA123622 </v>
          </cell>
          <cell r="B3637" t="str">
            <v xml:space="preserve"> LINDA N SON </v>
          </cell>
          <cell r="D3637">
            <v>21774688.590909097</v>
          </cell>
        </row>
        <row r="3638">
          <cell r="A3638" t="str">
            <v xml:space="preserve"> AA204545 </v>
          </cell>
          <cell r="B3638" t="str">
            <v xml:space="preserve"> PINKIES SHOP </v>
          </cell>
          <cell r="D3638">
            <v>22557555.818181816</v>
          </cell>
        </row>
        <row r="3639">
          <cell r="A3639" t="str">
            <v xml:space="preserve"> AA375101 </v>
          </cell>
          <cell r="B3639" t="str">
            <v xml:space="preserve"> REALITA, TK </v>
          </cell>
          <cell r="D3639">
            <v>4175685.5454545463</v>
          </cell>
        </row>
        <row r="3640">
          <cell r="A3640" t="str">
            <v xml:space="preserve"> AA581808 </v>
          </cell>
          <cell r="B3640" t="str">
            <v xml:space="preserve"> GADO GADO COSMETIK </v>
          </cell>
          <cell r="D3640">
            <v>15792187.272727273</v>
          </cell>
        </row>
        <row r="3641">
          <cell r="A3641" t="str">
            <v xml:space="preserve"> AA310013 </v>
          </cell>
          <cell r="B3641" t="str">
            <v xml:space="preserve"> AGUNG </v>
          </cell>
          <cell r="D3641">
            <v>8308843.6363636367</v>
          </cell>
        </row>
        <row r="3642">
          <cell r="A3642" t="str">
            <v xml:space="preserve"> AA415112 </v>
          </cell>
          <cell r="B3642" t="str">
            <v xml:space="preserve"> MM, AYU </v>
          </cell>
          <cell r="D3642">
            <v>4293574.9090909101</v>
          </cell>
        </row>
        <row r="3643">
          <cell r="A3643" t="str">
            <v xml:space="preserve"> AA302710 </v>
          </cell>
          <cell r="B3643" t="str">
            <v xml:space="preserve"> KEMBAR JAYA </v>
          </cell>
          <cell r="D3643">
            <v>576783.40909090906</v>
          </cell>
        </row>
        <row r="3644">
          <cell r="A3644" t="str">
            <v xml:space="preserve"> AA015411 </v>
          </cell>
          <cell r="B3644" t="str">
            <v xml:space="preserve"> SAHABAT - MANDIRI </v>
          </cell>
          <cell r="D3644">
            <v>1689218.1818181821</v>
          </cell>
        </row>
        <row r="3645">
          <cell r="A3645" t="str">
            <v xml:space="preserve"> AA032705 </v>
          </cell>
          <cell r="B3645" t="str">
            <v xml:space="preserve"> JM PUTRA SEJAHTERA PT -KT </v>
          </cell>
          <cell r="D3645">
            <v>107550.00000000004</v>
          </cell>
        </row>
        <row r="3646">
          <cell r="A3646" t="str">
            <v xml:space="preserve"> AA032725 </v>
          </cell>
          <cell r="B3646" t="str">
            <v xml:space="preserve"> JM SAKO </v>
          </cell>
          <cell r="D3646">
            <v>282595.90909090912</v>
          </cell>
        </row>
        <row r="3647">
          <cell r="A3647" t="str">
            <v xml:space="preserve"> AA202139 </v>
          </cell>
          <cell r="B3647" t="str">
            <v xml:space="preserve"> HAFIZ </v>
          </cell>
          <cell r="D3647">
            <v>133200.00000000003</v>
          </cell>
        </row>
        <row r="3648">
          <cell r="A3648" t="str">
            <v xml:space="preserve"> AA0114000002 </v>
          </cell>
          <cell r="B3648" t="str">
            <v xml:space="preserve"> TOKO PAKDE JAMAL </v>
          </cell>
          <cell r="D3648">
            <v>563700</v>
          </cell>
        </row>
        <row r="3649">
          <cell r="A3649" t="str">
            <v xml:space="preserve"> AA025705 </v>
          </cell>
          <cell r="B3649" t="str">
            <v xml:space="preserve"> TARGET KOSMETIK III </v>
          </cell>
          <cell r="D3649">
            <v>3300711.1363636358</v>
          </cell>
        </row>
        <row r="3650">
          <cell r="A3650" t="str">
            <v xml:space="preserve"> AA034203 </v>
          </cell>
          <cell r="B3650" t="str">
            <v xml:space="preserve"> OKTA </v>
          </cell>
          <cell r="D3650">
            <v>1224739.0909090911</v>
          </cell>
        </row>
        <row r="3651">
          <cell r="A3651" t="str">
            <v xml:space="preserve"> AA034564 </v>
          </cell>
          <cell r="B3651" t="str">
            <v xml:space="preserve"> PINKIES SHOP </v>
          </cell>
          <cell r="D3651">
            <v>34560927.545454554</v>
          </cell>
        </row>
        <row r="3652">
          <cell r="A3652" t="str">
            <v xml:space="preserve"> AA035443 </v>
          </cell>
          <cell r="B3652" t="str">
            <v xml:space="preserve"> SINAR JAYA AGUNG </v>
          </cell>
          <cell r="D3652">
            <v>141600</v>
          </cell>
        </row>
        <row r="3653">
          <cell r="A3653" t="str">
            <v xml:space="preserve"> AA054575 </v>
          </cell>
          <cell r="B3653" t="str">
            <v xml:space="preserve"> PT,KAGE DWIJAYA </v>
          </cell>
          <cell r="D3653">
            <v>2090453.1818181821</v>
          </cell>
        </row>
        <row r="3654">
          <cell r="A3654" t="str">
            <v xml:space="preserve"> AA086042 </v>
          </cell>
          <cell r="B3654" t="str">
            <v xml:space="preserve"> TOKO BUMBU MBA EEN </v>
          </cell>
          <cell r="D3654">
            <v>75177.272727272735</v>
          </cell>
        </row>
        <row r="3655">
          <cell r="A3655" t="str">
            <v xml:space="preserve"> AA086604 </v>
          </cell>
          <cell r="B3655" t="str">
            <v xml:space="preserve"> WARTEL RAISSYAH </v>
          </cell>
          <cell r="D3655">
            <v>417990</v>
          </cell>
        </row>
        <row r="3656">
          <cell r="A3656" t="str">
            <v xml:space="preserve"> AA090341 </v>
          </cell>
          <cell r="B3656" t="str">
            <v xml:space="preserve"> BEAUTY WITH KIMY COSMETIC </v>
          </cell>
          <cell r="D3656">
            <v>1994215.9090909092</v>
          </cell>
        </row>
        <row r="3657">
          <cell r="A3657" t="str">
            <v xml:space="preserve"> AA235413 </v>
          </cell>
          <cell r="B3657" t="str">
            <v xml:space="preserve"> SALSABILA </v>
          </cell>
          <cell r="D3657">
            <v>-44400.000000000007</v>
          </cell>
        </row>
        <row r="3658">
          <cell r="A3658" t="str">
            <v xml:space="preserve"> AA365700 </v>
          </cell>
          <cell r="B3658" t="str">
            <v xml:space="preserve"> ALFATOMO </v>
          </cell>
          <cell r="D3658">
            <v>4210374.2727272743</v>
          </cell>
        </row>
        <row r="3659">
          <cell r="A3659" t="str">
            <v xml:space="preserve"> AA345396 </v>
          </cell>
          <cell r="B3659" t="str">
            <v xml:space="preserve"> RANI COLLECTION </v>
          </cell>
          <cell r="D3659">
            <v>1609876.4545454546</v>
          </cell>
        </row>
        <row r="3660">
          <cell r="A3660" t="str">
            <v xml:space="preserve"> AA352103 </v>
          </cell>
          <cell r="B3660" t="str">
            <v xml:space="preserve"> HIDAYAH </v>
          </cell>
          <cell r="D3660">
            <v>584263.63636363647</v>
          </cell>
        </row>
        <row r="3661">
          <cell r="A3661" t="str">
            <v xml:space="preserve"> AA580356 </v>
          </cell>
          <cell r="B3661" t="str">
            <v xml:space="preserve"> BERKAH APOTIK </v>
          </cell>
          <cell r="D3661">
            <v>2182800</v>
          </cell>
        </row>
        <row r="3662">
          <cell r="A3662" t="str">
            <v xml:space="preserve"> AA580357 </v>
          </cell>
          <cell r="B3662" t="str">
            <v xml:space="preserve"> BRINET KOSMETIK </v>
          </cell>
          <cell r="D3662">
            <v>31766.681818181831</v>
          </cell>
        </row>
        <row r="3663">
          <cell r="A3663" t="str">
            <v xml:space="preserve"> AA380911 </v>
          </cell>
          <cell r="B3663" t="str">
            <v xml:space="preserve"> DUNIA KOSMETIK </v>
          </cell>
          <cell r="D3663">
            <v>2333367.9545454546</v>
          </cell>
        </row>
        <row r="3664">
          <cell r="A3664" t="str">
            <v xml:space="preserve"> AA543609 </v>
          </cell>
          <cell r="B3664" t="str">
            <v xml:space="preserve"> MM 69 </v>
          </cell>
          <cell r="D3664">
            <v>3334356.5454545459</v>
          </cell>
        </row>
        <row r="3665">
          <cell r="A3665" t="str">
            <v xml:space="preserve"> NA418936 </v>
          </cell>
          <cell r="B3665" t="str">
            <v xml:space="preserve"> PELANGI KOSMETIK </v>
          </cell>
          <cell r="D3665">
            <v>2948215.9090909087</v>
          </cell>
        </row>
        <row r="3666">
          <cell r="A3666" t="str">
            <v xml:space="preserve"> AA300021 </v>
          </cell>
          <cell r="B3666" t="str">
            <v xml:space="preserve"> ANTIK MM </v>
          </cell>
          <cell r="D3666">
            <v>749784.54545454541</v>
          </cell>
        </row>
        <row r="3667">
          <cell r="A3667" t="str">
            <v xml:space="preserve"> AA300300 </v>
          </cell>
          <cell r="B3667" t="str">
            <v xml:space="preserve"> BAROKAH KOSMETIK </v>
          </cell>
          <cell r="D3667">
            <v>572952.27272727271</v>
          </cell>
        </row>
        <row r="3668">
          <cell r="A3668" t="str">
            <v xml:space="preserve"> AA305700 </v>
          </cell>
          <cell r="B3668" t="str">
            <v xml:space="preserve"> TIARA KOSMETIK </v>
          </cell>
          <cell r="D3668">
            <v>1347876.5</v>
          </cell>
        </row>
        <row r="3669">
          <cell r="A3669" t="str">
            <v xml:space="preserve"> AA055742 </v>
          </cell>
          <cell r="B3669" t="str">
            <v xml:space="preserve"> TOKO MAHREZ </v>
          </cell>
          <cell r="D3669">
            <v>484612.5</v>
          </cell>
        </row>
        <row r="3670">
          <cell r="A3670" t="str">
            <v xml:space="preserve"> AA082720 </v>
          </cell>
          <cell r="B3670" t="str">
            <v xml:space="preserve"> JM PUTRA SEJAHTERA PT-SK </v>
          </cell>
          <cell r="D3670">
            <v>535373.18181818188</v>
          </cell>
        </row>
        <row r="3671">
          <cell r="A3671" t="str">
            <v xml:space="preserve"> AA202102 </v>
          </cell>
          <cell r="B3671" t="str">
            <v xml:space="preserve"> HIDAYAT </v>
          </cell>
          <cell r="D3671">
            <v>238942.04545454547</v>
          </cell>
        </row>
        <row r="3672">
          <cell r="A3672" t="str">
            <v xml:space="preserve"> AA550301 </v>
          </cell>
          <cell r="B3672" t="str">
            <v xml:space="preserve"> EKO </v>
          </cell>
          <cell r="D3672">
            <v>4807874.9999999991</v>
          </cell>
        </row>
        <row r="3673">
          <cell r="A3673" t="str">
            <v xml:space="preserve"> AA367206 </v>
          </cell>
          <cell r="B3673" t="str">
            <v xml:space="preserve"> YURI TK </v>
          </cell>
          <cell r="D3673">
            <v>45787.5</v>
          </cell>
        </row>
        <row r="3674">
          <cell r="A3674" t="str">
            <v xml:space="preserve"> AA323907 </v>
          </cell>
          <cell r="B3674" t="str">
            <v xml:space="preserve"> NAYA BABY SHOP </v>
          </cell>
          <cell r="D3674">
            <v>2248224.3181818179</v>
          </cell>
        </row>
        <row r="3675">
          <cell r="A3675" t="str">
            <v xml:space="preserve"> AA098004 </v>
          </cell>
          <cell r="B3675" t="str">
            <v xml:space="preserve"> ZUZU KOSMETIK </v>
          </cell>
          <cell r="D3675">
            <v>1769361.8181818181</v>
          </cell>
        </row>
        <row r="3676">
          <cell r="A3676" t="str">
            <v xml:space="preserve"> AA352407 </v>
          </cell>
          <cell r="B3676" t="str">
            <v xml:space="preserve"> IZDIHAAR COSMETIC </v>
          </cell>
          <cell r="D3676">
            <v>735000</v>
          </cell>
        </row>
        <row r="3677">
          <cell r="A3677" t="str">
            <v xml:space="preserve"> AA080974 </v>
          </cell>
          <cell r="B3677" t="str">
            <v xml:space="preserve"> DIPSI COSMETIK </v>
          </cell>
          <cell r="D3677">
            <v>1156356.8181818179</v>
          </cell>
        </row>
        <row r="3678">
          <cell r="A3678" t="str">
            <v xml:space="preserve"> AA093650 </v>
          </cell>
          <cell r="B3678" t="str">
            <v xml:space="preserve"> MAJESTIC FASHION </v>
          </cell>
          <cell r="D3678">
            <v>754243.63636363647</v>
          </cell>
        </row>
        <row r="3679">
          <cell r="A3679" t="str">
            <v xml:space="preserve"> AA363307 </v>
          </cell>
          <cell r="B3679" t="str">
            <v xml:space="preserve"> LOKA MM </v>
          </cell>
          <cell r="D3679">
            <v>413400</v>
          </cell>
        </row>
        <row r="3680">
          <cell r="A3680" t="str">
            <v xml:space="preserve"> AA585437 </v>
          </cell>
          <cell r="B3680" t="str">
            <v xml:space="preserve"> SAFIRAH </v>
          </cell>
          <cell r="D3680">
            <v>1334837.4545454546</v>
          </cell>
        </row>
        <row r="3681">
          <cell r="A3681" t="str">
            <v xml:space="preserve"> AA595403 </v>
          </cell>
          <cell r="B3681" t="str">
            <v xml:space="preserve"> SARI MM </v>
          </cell>
          <cell r="D3681">
            <v>143125</v>
          </cell>
        </row>
        <row r="3682">
          <cell r="A3682" t="str">
            <v xml:space="preserve"> AA321800 </v>
          </cell>
          <cell r="B3682" t="str">
            <v xml:space="preserve"> CV,GEMINI KOSMETIK </v>
          </cell>
          <cell r="D3682">
            <v>6070861.3636363642</v>
          </cell>
        </row>
        <row r="3683">
          <cell r="A3683" t="str">
            <v xml:space="preserve"> AA555406 </v>
          </cell>
          <cell r="B3683" t="str">
            <v xml:space="preserve"> SARI TONI KOSMETIK </v>
          </cell>
          <cell r="D3683">
            <v>1426800</v>
          </cell>
        </row>
        <row r="3684">
          <cell r="A3684" t="str">
            <v xml:space="preserve"> AA412601 </v>
          </cell>
          <cell r="B3684" t="str">
            <v xml:space="preserve"> KUY - KUY KOSMETIK </v>
          </cell>
          <cell r="D3684">
            <v>-25000</v>
          </cell>
        </row>
        <row r="3685">
          <cell r="A3685" t="str">
            <v xml:space="preserve"> AA070090 </v>
          </cell>
          <cell r="B3685" t="str">
            <v xml:space="preserve"> ADEMO STORE II </v>
          </cell>
          <cell r="D3685">
            <v>3194882.7272727271</v>
          </cell>
        </row>
        <row r="3686">
          <cell r="A3686" t="str">
            <v xml:space="preserve"> AA052107 </v>
          </cell>
          <cell r="B3686" t="str">
            <v xml:space="preserve"> HASAN BASRI (ICAN) </v>
          </cell>
          <cell r="D3686">
            <v>2196639.9999999995</v>
          </cell>
        </row>
        <row r="3687">
          <cell r="A3687" t="str">
            <v xml:space="preserve"> AA085562 </v>
          </cell>
          <cell r="B3687" t="str">
            <v xml:space="preserve"> SABUN MURAH JAYA 2 </v>
          </cell>
          <cell r="D3687">
            <v>2255242.4999999995</v>
          </cell>
        </row>
        <row r="3688">
          <cell r="A3688" t="str">
            <v xml:space="preserve"> AA085777 </v>
          </cell>
          <cell r="B3688" t="str">
            <v xml:space="preserve"> TOKO KOSMETIK LINDA </v>
          </cell>
          <cell r="D3688">
            <v>1024892.5909090908</v>
          </cell>
        </row>
        <row r="3689">
          <cell r="A3689" t="str">
            <v xml:space="preserve"> AA083757 </v>
          </cell>
          <cell r="B3689" t="str">
            <v xml:space="preserve"> MM 69 </v>
          </cell>
          <cell r="D3689">
            <v>4511893.4545454569</v>
          </cell>
        </row>
        <row r="3690">
          <cell r="A3690" t="str">
            <v xml:space="preserve"> AA085144 </v>
          </cell>
          <cell r="B3690" t="str">
            <v xml:space="preserve"> MM REZKY </v>
          </cell>
          <cell r="D3690">
            <v>1105636.136363636</v>
          </cell>
        </row>
        <row r="3691">
          <cell r="A3691" t="str">
            <v xml:space="preserve"> AA097222 </v>
          </cell>
          <cell r="B3691" t="str">
            <v xml:space="preserve"> YUDI SERBA </v>
          </cell>
          <cell r="D3691">
            <v>1941865.2272727268</v>
          </cell>
        </row>
        <row r="3692">
          <cell r="A3692" t="str">
            <v xml:space="preserve"> AA365710 </v>
          </cell>
          <cell r="B3692" t="str">
            <v xml:space="preserve"> TOKO ARIB JAYA </v>
          </cell>
          <cell r="D3692">
            <v>265945.90909090906</v>
          </cell>
        </row>
        <row r="3693">
          <cell r="A3693" t="str">
            <v xml:space="preserve"> AA390932 </v>
          </cell>
          <cell r="B3693" t="str">
            <v xml:space="preserve"> DEBY (WR) </v>
          </cell>
          <cell r="D3693">
            <v>111252.27272727275</v>
          </cell>
        </row>
        <row r="3694">
          <cell r="A3694" t="str">
            <v xml:space="preserve"> AA340936 </v>
          </cell>
          <cell r="B3694" t="str">
            <v xml:space="preserve"> CANTIKA </v>
          </cell>
          <cell r="D3694">
            <v>163084.09090909094</v>
          </cell>
        </row>
        <row r="3695">
          <cell r="A3695" t="str">
            <v xml:space="preserve"> AA555402 </v>
          </cell>
          <cell r="B3695" t="str">
            <v xml:space="preserve"> SUPARDI </v>
          </cell>
          <cell r="D3695">
            <v>739562.72727272718</v>
          </cell>
        </row>
        <row r="3696">
          <cell r="A3696" t="str">
            <v xml:space="preserve"> AA410031 </v>
          </cell>
          <cell r="B3696" t="str">
            <v xml:space="preserve"> AGUNG </v>
          </cell>
          <cell r="D3696">
            <v>111252.27272727275</v>
          </cell>
        </row>
        <row r="3697">
          <cell r="A3697" t="str">
            <v xml:space="preserve"> AA415727 </v>
          </cell>
          <cell r="B3697" t="str">
            <v xml:space="preserve"> TOKO AGUS </v>
          </cell>
          <cell r="D3697">
            <v>112684.09090909091</v>
          </cell>
        </row>
        <row r="3698">
          <cell r="A3698" t="str">
            <v xml:space="preserve"> AA300029 </v>
          </cell>
          <cell r="B3698" t="str">
            <v xml:space="preserve"> AGUNG </v>
          </cell>
          <cell r="D3698">
            <v>361084.09090909094</v>
          </cell>
        </row>
        <row r="3699">
          <cell r="A3699" t="str">
            <v xml:space="preserve"> AA300923 </v>
          </cell>
          <cell r="B3699" t="str">
            <v xml:space="preserve"> D,D MART </v>
          </cell>
          <cell r="D3699">
            <v>186542.04545454547</v>
          </cell>
        </row>
        <row r="3700">
          <cell r="A3700" t="str">
            <v xml:space="preserve"> AA303601 </v>
          </cell>
          <cell r="B3700" t="str">
            <v xml:space="preserve"> MURAH </v>
          </cell>
          <cell r="D3700">
            <v>3428772.9545454555</v>
          </cell>
        </row>
        <row r="3701">
          <cell r="A3701" t="str">
            <v xml:space="preserve"> AA583610 </v>
          </cell>
          <cell r="B3701" t="str">
            <v xml:space="preserve"> MAHARANI </v>
          </cell>
          <cell r="D3701">
            <v>107437.90909090909</v>
          </cell>
        </row>
        <row r="3702">
          <cell r="A3702" t="str">
            <v xml:space="preserve"> AA202722 </v>
          </cell>
          <cell r="B3702" t="str">
            <v xml:space="preserve"> JM PUTRA SEJAHTERA PT-PJ </v>
          </cell>
          <cell r="D3702">
            <v>260648.18181818182</v>
          </cell>
        </row>
        <row r="3703">
          <cell r="A3703" t="str">
            <v xml:space="preserve"> AA413306 </v>
          </cell>
          <cell r="B3703" t="str">
            <v xml:space="preserve"> LUANDRY KIKI </v>
          </cell>
          <cell r="D3703">
            <v>4706611.3636363642</v>
          </cell>
        </row>
        <row r="3704">
          <cell r="A3704" t="str">
            <v xml:space="preserve"> AA415413 </v>
          </cell>
          <cell r="B3704" t="str">
            <v xml:space="preserve"> SUBUR LESTARI MART </v>
          </cell>
          <cell r="D3704">
            <v>699649.77272727271</v>
          </cell>
        </row>
        <row r="3705">
          <cell r="A3705" t="str">
            <v xml:space="preserve"> AA021205 </v>
          </cell>
          <cell r="B3705" t="str">
            <v xml:space="preserve"> EVORA KOSMETIK </v>
          </cell>
          <cell r="D3705">
            <v>772862.72727272753</v>
          </cell>
        </row>
        <row r="3706">
          <cell r="A3706" t="str">
            <v xml:space="preserve"> AA585456 </v>
          </cell>
          <cell r="B3706" t="str">
            <v xml:space="preserve"> SJ MART </v>
          </cell>
          <cell r="D3706">
            <v>1344033.4090909089</v>
          </cell>
        </row>
        <row r="3707">
          <cell r="A3707" t="str">
            <v xml:space="preserve"> AA413607 </v>
          </cell>
          <cell r="B3707" t="str">
            <v xml:space="preserve"> MM, FERNANDO I </v>
          </cell>
          <cell r="D3707">
            <v>1167820.4545454544</v>
          </cell>
        </row>
        <row r="3708">
          <cell r="A3708" t="str">
            <v xml:space="preserve"> AA303617 </v>
          </cell>
          <cell r="B3708" t="str">
            <v xml:space="preserve"> MM 4F </v>
          </cell>
          <cell r="D3708">
            <v>250081.36363636359</v>
          </cell>
        </row>
        <row r="3709">
          <cell r="A3709" t="str">
            <v xml:space="preserve"> AA380907 </v>
          </cell>
          <cell r="B3709" t="str">
            <v xml:space="preserve"> DAPUR CANTIK </v>
          </cell>
          <cell r="D3709">
            <v>1416389.5454545454</v>
          </cell>
        </row>
        <row r="3710">
          <cell r="A3710" t="str">
            <v xml:space="preserve"> AA345197 </v>
          </cell>
          <cell r="B3710" t="str">
            <v xml:space="preserve"> RENI </v>
          </cell>
          <cell r="D3710">
            <v>2113134.5454545454</v>
          </cell>
        </row>
        <row r="3711">
          <cell r="A3711" t="str">
            <v xml:space="preserve"> AA300028 </v>
          </cell>
          <cell r="B3711" t="str">
            <v xml:space="preserve"> ABONG MART </v>
          </cell>
          <cell r="D3711">
            <v>1355877.7272727271</v>
          </cell>
        </row>
        <row r="3712">
          <cell r="A3712" t="str">
            <v xml:space="preserve"> AA012105 </v>
          </cell>
          <cell r="B3712" t="str">
            <v xml:space="preserve"> HAU SIAK </v>
          </cell>
          <cell r="D3712">
            <v>718200</v>
          </cell>
        </row>
        <row r="3713">
          <cell r="A3713" t="str">
            <v xml:space="preserve"> AA086048 </v>
          </cell>
          <cell r="B3713" t="str">
            <v xml:space="preserve"> TOKO SYERHAN MART </v>
          </cell>
          <cell r="D3713">
            <v>75600</v>
          </cell>
        </row>
        <row r="3714">
          <cell r="A3714" t="str">
            <v xml:space="preserve"> AA343925 </v>
          </cell>
          <cell r="B3714" t="str">
            <v xml:space="preserve"> NURUL </v>
          </cell>
          <cell r="D3714">
            <v>455661.81818181823</v>
          </cell>
        </row>
        <row r="3715">
          <cell r="A3715" t="str">
            <v xml:space="preserve"> AA303625 </v>
          </cell>
          <cell r="B3715" t="str">
            <v xml:space="preserve"> MM PESONA </v>
          </cell>
          <cell r="D3715">
            <v>3740561.8181818202</v>
          </cell>
        </row>
        <row r="3716">
          <cell r="A3716" t="str">
            <v xml:space="preserve"> AA520307 </v>
          </cell>
          <cell r="B3716" t="str">
            <v xml:space="preserve"> BAROKAH </v>
          </cell>
          <cell r="D3716">
            <v>226800</v>
          </cell>
        </row>
        <row r="3717">
          <cell r="A3717" t="str">
            <v xml:space="preserve"> AA580902 </v>
          </cell>
          <cell r="B3717" t="str">
            <v xml:space="preserve"> DEDI </v>
          </cell>
          <cell r="D3717">
            <v>226800</v>
          </cell>
        </row>
        <row r="3718">
          <cell r="A3718" t="str">
            <v xml:space="preserve"> AA090001 </v>
          </cell>
          <cell r="B3718" t="str">
            <v xml:space="preserve"> A, MAJID </v>
          </cell>
          <cell r="D3718">
            <v>99900.000000000029</v>
          </cell>
        </row>
        <row r="3719">
          <cell r="A3719" t="str">
            <v xml:space="preserve"> AA090096 </v>
          </cell>
          <cell r="B3719" t="str">
            <v xml:space="preserve"> ABIN </v>
          </cell>
          <cell r="D3719">
            <v>299700.00000000006</v>
          </cell>
        </row>
        <row r="3720">
          <cell r="A3720" t="str">
            <v xml:space="preserve"> AA312705 </v>
          </cell>
          <cell r="B3720" t="str">
            <v xml:space="preserve"> JIBIKA </v>
          </cell>
          <cell r="D3720">
            <v>99900.000000000029</v>
          </cell>
        </row>
        <row r="3721">
          <cell r="A3721" t="str">
            <v xml:space="preserve"> AA362402 </v>
          </cell>
          <cell r="B3721" t="str">
            <v xml:space="preserve"> INDO MURAH </v>
          </cell>
          <cell r="D3721">
            <v>4262799.5454545449</v>
          </cell>
        </row>
        <row r="3722">
          <cell r="A3722" t="str">
            <v xml:space="preserve"> AA205100 </v>
          </cell>
          <cell r="B3722" t="str">
            <v xml:space="preserve"> RIDHO </v>
          </cell>
          <cell r="D3722">
            <v>238397.72727272726</v>
          </cell>
        </row>
        <row r="3723">
          <cell r="A3723" t="str">
            <v xml:space="preserve"> AA035760 </v>
          </cell>
          <cell r="B3723" t="str">
            <v xml:space="preserve"> TOKO MIRING BERJAYA SAKO </v>
          </cell>
          <cell r="D3723">
            <v>402627.27272727271</v>
          </cell>
        </row>
        <row r="3724">
          <cell r="A3724" t="str">
            <v xml:space="preserve"> AA080234 </v>
          </cell>
          <cell r="B3724" t="str">
            <v xml:space="preserve"> APOTIK GABEMA FARMA </v>
          </cell>
          <cell r="D3724">
            <v>947027.27272727247</v>
          </cell>
        </row>
        <row r="3725">
          <cell r="A3725" t="str">
            <v xml:space="preserve"> AA223312 </v>
          </cell>
          <cell r="B3725" t="str">
            <v xml:space="preserve"> LIA PUPUR </v>
          </cell>
          <cell r="D3725">
            <v>794380.45454545447</v>
          </cell>
        </row>
        <row r="3726">
          <cell r="A3726" t="str">
            <v xml:space="preserve"> AA374501 </v>
          </cell>
          <cell r="B3726" t="str">
            <v xml:space="preserve"> PUTRA KEMBAR,MM </v>
          </cell>
          <cell r="D3726">
            <v>857659.09090909071</v>
          </cell>
        </row>
        <row r="3727">
          <cell r="A3727" t="str">
            <v xml:space="preserve"> AA340114 </v>
          </cell>
          <cell r="B3727" t="str">
            <v xml:space="preserve"> AWAL </v>
          </cell>
          <cell r="D3727">
            <v>186613.63636363635</v>
          </cell>
        </row>
        <row r="3728">
          <cell r="A3728" t="str">
            <v xml:space="preserve"> AA593301 </v>
          </cell>
          <cell r="B3728" t="str">
            <v xml:space="preserve"> MANZEL </v>
          </cell>
          <cell r="D3728">
            <v>839340</v>
          </cell>
        </row>
        <row r="3729">
          <cell r="A3729" t="str">
            <v xml:space="preserve"> AA595404 </v>
          </cell>
          <cell r="B3729" t="str">
            <v xml:space="preserve"> SIGIT </v>
          </cell>
          <cell r="D3729">
            <v>289227.27272727271</v>
          </cell>
        </row>
        <row r="3730">
          <cell r="A3730" t="str">
            <v xml:space="preserve"> AA420001 </v>
          </cell>
          <cell r="B3730" t="str">
            <v xml:space="preserve"> ANEKA RASA P N D </v>
          </cell>
          <cell r="D3730">
            <v>2263636.3636363633</v>
          </cell>
        </row>
        <row r="3731">
          <cell r="A3731" t="str">
            <v xml:space="preserve"> AA530000 </v>
          </cell>
          <cell r="B3731" t="str">
            <v xml:space="preserve"> A N N </v>
          </cell>
          <cell r="D3731">
            <v>571419.54545454541</v>
          </cell>
        </row>
        <row r="3732">
          <cell r="A3732" t="str">
            <v xml:space="preserve"> AA1308000001 </v>
          </cell>
          <cell r="B3732" t="str">
            <v xml:space="preserve"> AL -  FAZZA JAYA </v>
          </cell>
          <cell r="D3732">
            <v>1283590.9090909092</v>
          </cell>
        </row>
        <row r="3733">
          <cell r="A3733" t="str">
            <v xml:space="preserve"> AA353001 </v>
          </cell>
          <cell r="B3733" t="str">
            <v xml:space="preserve"> MITRA </v>
          </cell>
          <cell r="D3733">
            <v>2914465.9090909087</v>
          </cell>
        </row>
        <row r="3734">
          <cell r="A3734" t="str">
            <v xml:space="preserve"> AA410019 </v>
          </cell>
          <cell r="B3734" t="str">
            <v xml:space="preserve"> APOTIK SARAS </v>
          </cell>
          <cell r="D3734">
            <v>234646.36363636365</v>
          </cell>
        </row>
        <row r="3735">
          <cell r="A3735" t="str">
            <v xml:space="preserve"> AA300024 </v>
          </cell>
          <cell r="B3735" t="str">
            <v xml:space="preserve"> AAN </v>
          </cell>
          <cell r="D3735">
            <v>380863.63636363635</v>
          </cell>
        </row>
        <row r="3736">
          <cell r="A3736" t="str">
            <v xml:space="preserve"> AA300924 </v>
          </cell>
          <cell r="B3736" t="str">
            <v xml:space="preserve"> DYLAN </v>
          </cell>
          <cell r="D3736">
            <v>513306.81818181812</v>
          </cell>
        </row>
        <row r="3737">
          <cell r="A3737" t="str">
            <v xml:space="preserve"> AA580069 </v>
          </cell>
          <cell r="B3737" t="str">
            <v xml:space="preserve"> AGUM MEDIKA FARMA </v>
          </cell>
          <cell r="D3737">
            <v>507863.63636363635</v>
          </cell>
        </row>
        <row r="3738">
          <cell r="A3738" t="str">
            <v xml:space="preserve"> AA035730 </v>
          </cell>
          <cell r="B3738" t="str">
            <v xml:space="preserve"> TOKO OBAT SEHAT JAYA </v>
          </cell>
          <cell r="D3738">
            <v>343292.72727272729</v>
          </cell>
        </row>
        <row r="3739">
          <cell r="A3739" t="str">
            <v xml:space="preserve"> AA360903 </v>
          </cell>
          <cell r="B3739" t="str">
            <v xml:space="preserve"> DIANA FARMA,TK </v>
          </cell>
          <cell r="D3739">
            <v>114430.9090909091</v>
          </cell>
        </row>
        <row r="3740">
          <cell r="A3740" t="str">
            <v xml:space="preserve"> AA370021 </v>
          </cell>
          <cell r="B3740" t="str">
            <v xml:space="preserve"> APOTIK TRIJAYA </v>
          </cell>
          <cell r="D3740">
            <v>114430.9090909091</v>
          </cell>
        </row>
        <row r="3741">
          <cell r="A3741" t="str">
            <v xml:space="preserve"> AA383604 </v>
          </cell>
          <cell r="B3741" t="str">
            <v xml:space="preserve"> MUSI T,O </v>
          </cell>
          <cell r="D3741">
            <v>114430.9090909091</v>
          </cell>
        </row>
        <row r="3742">
          <cell r="A3742" t="str">
            <v xml:space="preserve"> AA390306 </v>
          </cell>
          <cell r="B3742" t="str">
            <v xml:space="preserve"> APOTEK SEHAT </v>
          </cell>
          <cell r="D3742">
            <v>114430.9090909091</v>
          </cell>
        </row>
        <row r="3743">
          <cell r="A3743" t="str">
            <v xml:space="preserve"> AA395459 </v>
          </cell>
          <cell r="B3743" t="str">
            <v xml:space="preserve"> APOTIK SYUHADA </v>
          </cell>
          <cell r="D3743">
            <v>114430.9090909091</v>
          </cell>
        </row>
        <row r="3744">
          <cell r="A3744" t="str">
            <v xml:space="preserve"> AA350022 </v>
          </cell>
          <cell r="B3744" t="str">
            <v xml:space="preserve"> APOTIK FARHAN </v>
          </cell>
          <cell r="D3744">
            <v>121847.72727272728</v>
          </cell>
        </row>
        <row r="3745">
          <cell r="A3745" t="str">
            <v xml:space="preserve"> AA410002 </v>
          </cell>
          <cell r="B3745" t="str">
            <v xml:space="preserve"> APOTIK ASALAM </v>
          </cell>
          <cell r="D3745">
            <v>228861.81818181821</v>
          </cell>
        </row>
        <row r="3746">
          <cell r="A3746" t="str">
            <v xml:space="preserve"> AA410011 </v>
          </cell>
          <cell r="B3746" t="str">
            <v xml:space="preserve"> APOTIK CORDOVA </v>
          </cell>
          <cell r="D3746">
            <v>114430.9090909091</v>
          </cell>
        </row>
        <row r="3747">
          <cell r="A3747" t="str">
            <v xml:space="preserve"> AA410021 </v>
          </cell>
          <cell r="B3747" t="str">
            <v xml:space="preserve"> APOTIK K 24 </v>
          </cell>
          <cell r="D3747">
            <v>114430.9090909091</v>
          </cell>
        </row>
        <row r="3748">
          <cell r="A3748" t="str">
            <v xml:space="preserve"> AA420009 </v>
          </cell>
          <cell r="B3748" t="str">
            <v xml:space="preserve"> APOTEK ADE </v>
          </cell>
          <cell r="D3748">
            <v>381436.36363636365</v>
          </cell>
        </row>
        <row r="3749">
          <cell r="A3749" t="str">
            <v xml:space="preserve"> AA010068 </v>
          </cell>
          <cell r="B3749" t="str">
            <v xml:space="preserve"> ADEL ACC </v>
          </cell>
          <cell r="D3749">
            <v>18699917.727272723</v>
          </cell>
        </row>
        <row r="3750">
          <cell r="A3750" t="str">
            <v xml:space="preserve"> AA011802 </v>
          </cell>
          <cell r="B3750" t="str">
            <v xml:space="preserve"> GLORIA 2 </v>
          </cell>
          <cell r="D3750">
            <v>688704.54545454541</v>
          </cell>
        </row>
        <row r="3751">
          <cell r="A3751" t="str">
            <v xml:space="preserve"> AA014503 </v>
          </cell>
          <cell r="B3751" t="str">
            <v xml:space="preserve"> PRIMA JAYA </v>
          </cell>
          <cell r="D3751">
            <v>953590.90909090906</v>
          </cell>
        </row>
        <row r="3752">
          <cell r="A3752" t="str">
            <v xml:space="preserve"> AA016000 </v>
          </cell>
          <cell r="B3752" t="str">
            <v xml:space="preserve"> USAHA BARU </v>
          </cell>
          <cell r="D3752">
            <v>18020749.090909094</v>
          </cell>
        </row>
        <row r="3753">
          <cell r="A3753" t="str">
            <v xml:space="preserve"> AA052103 </v>
          </cell>
          <cell r="B3753" t="str">
            <v xml:space="preserve"> H B L </v>
          </cell>
          <cell r="D3753">
            <v>1377409.0909090908</v>
          </cell>
        </row>
        <row r="3754">
          <cell r="A3754" t="str">
            <v xml:space="preserve"> AA207518 </v>
          </cell>
          <cell r="B3754" t="str">
            <v xml:space="preserve"> ZAHRA </v>
          </cell>
          <cell r="D3754">
            <v>344352.27272727271</v>
          </cell>
        </row>
        <row r="3755">
          <cell r="A3755" t="str">
            <v xml:space="preserve"> AA076001 </v>
          </cell>
          <cell r="B3755" t="str">
            <v xml:space="preserve"> ULAN KOSMETIK </v>
          </cell>
          <cell r="D3755">
            <v>158931.81818181818</v>
          </cell>
        </row>
        <row r="3756">
          <cell r="A3756" t="str">
            <v xml:space="preserve"> AA120072 </v>
          </cell>
          <cell r="B3756" t="str">
            <v xml:space="preserve"> APOTIK AL-NISA </v>
          </cell>
          <cell r="D3756">
            <v>688704.5454545453</v>
          </cell>
        </row>
        <row r="3757">
          <cell r="A3757" t="str">
            <v xml:space="preserve"> AA391812 </v>
          </cell>
          <cell r="B3757" t="str">
            <v xml:space="preserve"> GARUDA SPORT </v>
          </cell>
          <cell r="D3757">
            <v>629704.54545454541</v>
          </cell>
        </row>
        <row r="3758">
          <cell r="A3758" t="str">
            <v xml:space="preserve"> AA340604 </v>
          </cell>
          <cell r="B3758" t="str">
            <v xml:space="preserve"> CINDE </v>
          </cell>
          <cell r="D3758">
            <v>344352.27272727265</v>
          </cell>
        </row>
        <row r="3759">
          <cell r="A3759" t="str">
            <v xml:space="preserve"> AA580924 </v>
          </cell>
          <cell r="B3759" t="str">
            <v xml:space="preserve"> DEPO SEMBAKO </v>
          </cell>
          <cell r="D3759">
            <v>741681.818181818</v>
          </cell>
        </row>
        <row r="3760">
          <cell r="A3760" t="str">
            <v xml:space="preserve"> AA410602 </v>
          </cell>
          <cell r="B3760" t="str">
            <v xml:space="preserve"> CALISTA (HERMIN) </v>
          </cell>
          <cell r="D3760">
            <v>1134774.5454545454</v>
          </cell>
        </row>
        <row r="3761">
          <cell r="A3761" t="str">
            <v xml:space="preserve"> AA413612 </v>
          </cell>
          <cell r="B3761" t="str">
            <v xml:space="preserve"> MART SWALAYAN KAMPUNG F </v>
          </cell>
          <cell r="D3761">
            <v>344352.27272727276</v>
          </cell>
        </row>
        <row r="3762">
          <cell r="A3762" t="str">
            <v xml:space="preserve"> AA415108 </v>
          </cell>
          <cell r="B3762" t="str">
            <v xml:space="preserve"> RUMAH CANTIK </v>
          </cell>
          <cell r="D3762">
            <v>19714736.363636371</v>
          </cell>
        </row>
        <row r="3763">
          <cell r="A3763" t="str">
            <v xml:space="preserve"> AA415111 </v>
          </cell>
          <cell r="B3763" t="str">
            <v xml:space="preserve"> RITA MART </v>
          </cell>
          <cell r="D3763">
            <v>688704.54545454541</v>
          </cell>
        </row>
        <row r="3764">
          <cell r="A3764" t="str">
            <v xml:space="preserve"> AA422100 </v>
          </cell>
          <cell r="B3764" t="str">
            <v xml:space="preserve"> HOSANA P N D </v>
          </cell>
          <cell r="D3764">
            <v>1524797.7272727273</v>
          </cell>
        </row>
        <row r="3765">
          <cell r="A3765" t="str">
            <v xml:space="preserve"> AA300303 </v>
          </cell>
          <cell r="B3765" t="str">
            <v xml:space="preserve"> BADI </v>
          </cell>
          <cell r="D3765">
            <v>344352.27272727271</v>
          </cell>
        </row>
        <row r="3766">
          <cell r="A3766" t="str">
            <v xml:space="preserve"> AA305707 </v>
          </cell>
          <cell r="B3766" t="str">
            <v xml:space="preserve"> TOKO VIRA </v>
          </cell>
          <cell r="D3766">
            <v>344352.27272727271</v>
          </cell>
        </row>
        <row r="3767">
          <cell r="A3767" t="str">
            <v xml:space="preserve"> AA513303 </v>
          </cell>
          <cell r="B3767" t="str">
            <v xml:space="preserve"> LANCAR ABADI </v>
          </cell>
          <cell r="D3767">
            <v>1535735.1818181819</v>
          </cell>
        </row>
        <row r="3768">
          <cell r="A3768" t="str">
            <v xml:space="preserve"> AA531501 </v>
          </cell>
          <cell r="B3768" t="str">
            <v xml:space="preserve"> FADARIS </v>
          </cell>
          <cell r="D3768">
            <v>317863.63636363635</v>
          </cell>
        </row>
        <row r="3769">
          <cell r="A3769" t="str">
            <v xml:space="preserve"> AA512103 </v>
          </cell>
          <cell r="B3769" t="str">
            <v xml:space="preserve"> HARUM, TK </v>
          </cell>
          <cell r="D3769">
            <v>952379.45454545447</v>
          </cell>
        </row>
        <row r="3770">
          <cell r="A3770" t="str">
            <v xml:space="preserve"> AA391502 </v>
          </cell>
          <cell r="B3770" t="str">
            <v xml:space="preserve"> FIRMAN </v>
          </cell>
          <cell r="D3770">
            <v>573214.09090909082</v>
          </cell>
        </row>
        <row r="3771">
          <cell r="A3771" t="str">
            <v xml:space="preserve"> AA395436 </v>
          </cell>
          <cell r="B3771" t="str">
            <v xml:space="preserve"> SRIBUANA </v>
          </cell>
          <cell r="D3771">
            <v>546725.45454545447</v>
          </cell>
        </row>
        <row r="3772">
          <cell r="A3772" t="str">
            <v xml:space="preserve"> AA080309 </v>
          </cell>
          <cell r="B3772" t="str">
            <v xml:space="preserve"> APOTIK KELUARGA </v>
          </cell>
          <cell r="D3772">
            <v>344352.27272727271</v>
          </cell>
        </row>
        <row r="3773">
          <cell r="A3773" t="str">
            <v xml:space="preserve"> AA326005 </v>
          </cell>
          <cell r="B3773" t="str">
            <v xml:space="preserve"> UMAR </v>
          </cell>
          <cell r="D3773">
            <v>-185420.45454545453</v>
          </cell>
        </row>
        <row r="3774">
          <cell r="A3774" t="str">
            <v xml:space="preserve"> AA395327 </v>
          </cell>
          <cell r="B3774" t="str">
            <v xml:space="preserve"> RAHAYU </v>
          </cell>
          <cell r="D3774">
            <v>408000</v>
          </cell>
        </row>
        <row r="3775">
          <cell r="A3775" t="str">
            <v xml:space="preserve"> AA584519 </v>
          </cell>
          <cell r="B3775" t="str">
            <v xml:space="preserve"> PIALA MM </v>
          </cell>
          <cell r="D3775">
            <v>124239.27272727274</v>
          </cell>
        </row>
        <row r="3776">
          <cell r="A3776" t="str">
            <v xml:space="preserve"> AA212705 </v>
          </cell>
          <cell r="B3776" t="str">
            <v xml:space="preserve"> JIRIN JAYA </v>
          </cell>
          <cell r="D3776">
            <v>-498215.1750000001</v>
          </cell>
        </row>
        <row r="3777">
          <cell r="A3777" t="str">
            <v xml:space="preserve"> AA035534 </v>
          </cell>
          <cell r="B3777" t="str">
            <v xml:space="preserve"> SERASI JAYA KENTEN </v>
          </cell>
          <cell r="D3777">
            <v>567223.63636363635</v>
          </cell>
        </row>
        <row r="3778">
          <cell r="A3778" t="str">
            <v xml:space="preserve"> AA205477 </v>
          </cell>
          <cell r="B3778" t="str">
            <v xml:space="preserve"> SISKA </v>
          </cell>
          <cell r="D3778">
            <v>114430.9090909091</v>
          </cell>
        </row>
        <row r="3779">
          <cell r="A3779" t="str">
            <v xml:space="preserve"> AA217207 </v>
          </cell>
          <cell r="B3779" t="str">
            <v xml:space="preserve"> YULI KOSMETIK </v>
          </cell>
          <cell r="D3779">
            <v>190718.18181818182</v>
          </cell>
        </row>
        <row r="3780">
          <cell r="A3780" t="str">
            <v xml:space="preserve"> AA053300 </v>
          </cell>
          <cell r="B3780" t="str">
            <v xml:space="preserve"> LATANSA - RAHMAN </v>
          </cell>
          <cell r="D3780">
            <v>286077.27272727276</v>
          </cell>
        </row>
        <row r="3781">
          <cell r="A3781" t="str">
            <v xml:space="preserve"> AA345401 </v>
          </cell>
          <cell r="B3781" t="str">
            <v xml:space="preserve"> SINAR BARU </v>
          </cell>
          <cell r="D3781">
            <v>-19071.818181818184</v>
          </cell>
        </row>
        <row r="3782">
          <cell r="A3782" t="str">
            <v>ASOKA JY</v>
          </cell>
          <cell r="B3782" t="str">
            <v>ASOKA JAYA MART</v>
          </cell>
          <cell r="D3782">
            <v>114430.9090909091</v>
          </cell>
        </row>
        <row r="3783">
          <cell r="A3783" t="str">
            <v>AYUR</v>
          </cell>
          <cell r="B3783" t="str">
            <v>AYURA COSMETIC,TANRAY2</v>
          </cell>
          <cell r="D3783">
            <v>2877158.1818181826</v>
          </cell>
        </row>
        <row r="3784">
          <cell r="A3784" t="str">
            <v>CAL1</v>
          </cell>
          <cell r="B3784" t="str">
            <v>CALYA TK,BALAI</v>
          </cell>
          <cell r="D3784">
            <v>1280419.3636363635</v>
          </cell>
        </row>
        <row r="3785">
          <cell r="A3785" t="str">
            <v>CAST</v>
          </cell>
          <cell r="B3785" t="str">
            <v>CASTLE COSMETIC,SINTANG</v>
          </cell>
          <cell r="D3785">
            <v>1028590.9090909091</v>
          </cell>
        </row>
        <row r="3786">
          <cell r="A3786" t="str">
            <v>PETR</v>
          </cell>
          <cell r="B3786" t="str">
            <v>PETRA JAYA, TO</v>
          </cell>
          <cell r="D3786">
            <v>1017834.5454545454</v>
          </cell>
        </row>
        <row r="3787">
          <cell r="A3787" t="str">
            <v>RBN</v>
          </cell>
          <cell r="B3787" t="str">
            <v>ROBINSON MM,MEMPAWAH</v>
          </cell>
          <cell r="D3787">
            <v>4817265.4090909092</v>
          </cell>
        </row>
        <row r="3788">
          <cell r="A3788" t="str">
            <v>YOO</v>
          </cell>
          <cell r="B3788" t="str">
            <v>YOOBLOOM2, MELAWI</v>
          </cell>
          <cell r="D3788">
            <v>2803348.1818181826</v>
          </cell>
        </row>
        <row r="3789">
          <cell r="A3789" t="str">
            <v>KIANG</v>
          </cell>
          <cell r="B3789" t="str">
            <v>CIE KIANG,TKO</v>
          </cell>
          <cell r="D3789">
            <v>866400</v>
          </cell>
        </row>
        <row r="3790">
          <cell r="A3790" t="str">
            <v>CMEKS</v>
          </cell>
          <cell r="B3790" t="str">
            <v>CITRA MART EXPRESS RETAILINDO,PT</v>
          </cell>
          <cell r="D3790">
            <v>264886.36363636365</v>
          </cell>
        </row>
        <row r="3791">
          <cell r="A3791" t="str">
            <v>LEN.STG</v>
          </cell>
          <cell r="B3791" t="str">
            <v>LENA TOKO,SINTANG</v>
          </cell>
          <cell r="D3791">
            <v>1353029.1818181816</v>
          </cell>
        </row>
        <row r="3792">
          <cell r="A3792" t="str">
            <v>CYRA</v>
          </cell>
          <cell r="B3792" t="str">
            <v>CYRA MART,SUKADANA</v>
          </cell>
          <cell r="D3792">
            <v>1104197.7272727271</v>
          </cell>
        </row>
        <row r="3793">
          <cell r="A3793" t="str">
            <v>ELMI</v>
          </cell>
          <cell r="B3793" t="str">
            <v>ELMI/RIO(WARUNG MOGUU)</v>
          </cell>
          <cell r="D3793">
            <v>21423692.727272738</v>
          </cell>
        </row>
        <row r="3794">
          <cell r="A3794" t="str">
            <v>MELANO.</v>
          </cell>
          <cell r="B3794" t="str">
            <v>MAJU JAYA MELANO,TOKO</v>
          </cell>
          <cell r="D3794">
            <v>716400</v>
          </cell>
        </row>
        <row r="3795">
          <cell r="A3795" t="str">
            <v>BTGKOS</v>
          </cell>
          <cell r="B3795" t="str">
            <v>BINTANG KOSMETIK,DELTA PAWAN</v>
          </cell>
          <cell r="D3795">
            <v>3002612.7272727271</v>
          </cell>
        </row>
        <row r="3796">
          <cell r="A3796" t="str">
            <v>MISE</v>
          </cell>
          <cell r="B3796" t="str">
            <v>MISE TOKO,SIANTAN</v>
          </cell>
          <cell r="D3796">
            <v>1507532.7272727273</v>
          </cell>
        </row>
        <row r="3797">
          <cell r="A3797" t="str">
            <v>C0948</v>
          </cell>
          <cell r="B3797" t="str">
            <v>MD SHOP COS</v>
          </cell>
          <cell r="D3797">
            <v>1195502.7272727273</v>
          </cell>
        </row>
        <row r="3798">
          <cell r="A3798" t="str">
            <v>C6093</v>
          </cell>
          <cell r="B3798" t="str">
            <v>FAILA COS</v>
          </cell>
          <cell r="D3798">
            <v>730288.63636363635</v>
          </cell>
        </row>
        <row r="3799">
          <cell r="A3799" t="str">
            <v>C2105</v>
          </cell>
          <cell r="B3799" t="str">
            <v>YUDIS MART</v>
          </cell>
          <cell r="D3799">
            <v>91120.909090909088</v>
          </cell>
        </row>
        <row r="3800">
          <cell r="A3800" t="str">
            <v>C2299</v>
          </cell>
          <cell r="B3800" t="str">
            <v>ACEH MEUTUAH SWALAYAN LAMDINGIN</v>
          </cell>
          <cell r="D3800">
            <v>1856961.8181818186</v>
          </cell>
        </row>
        <row r="3801">
          <cell r="A3801" t="str">
            <v>C0535</v>
          </cell>
          <cell r="B3801" t="str">
            <v>SAQIRA BARU</v>
          </cell>
          <cell r="D3801">
            <v>291526.36363636365</v>
          </cell>
        </row>
        <row r="3802">
          <cell r="A3802" t="str">
            <v>C0052</v>
          </cell>
          <cell r="B3802" t="str">
            <v>ABI NANDA</v>
          </cell>
          <cell r="D3802">
            <v>4085189.9999999995</v>
          </cell>
        </row>
        <row r="3803">
          <cell r="A3803" t="str">
            <v>C6077</v>
          </cell>
          <cell r="B3803" t="str">
            <v>BARAKAH</v>
          </cell>
          <cell r="D3803">
            <v>876407.04545454553</v>
          </cell>
        </row>
        <row r="3804">
          <cell r="A3804" t="str">
            <v>C0494</v>
          </cell>
          <cell r="B3804" t="str">
            <v>MENARA KEMBAR</v>
          </cell>
          <cell r="D3804">
            <v>418250.45454545453</v>
          </cell>
        </row>
        <row r="3805">
          <cell r="A3805" t="str">
            <v>C2013</v>
          </cell>
          <cell r="B3805" t="str">
            <v>ALESHA COS</v>
          </cell>
          <cell r="D3805">
            <v>301245</v>
          </cell>
        </row>
        <row r="3806">
          <cell r="A3806" t="str">
            <v>C6006</v>
          </cell>
          <cell r="B3806" t="str">
            <v>LAMSAYEUN SWALAYAN</v>
          </cell>
          <cell r="D3806">
            <v>526248.40909090906</v>
          </cell>
        </row>
        <row r="3807">
          <cell r="A3807" t="str">
            <v>C0393</v>
          </cell>
          <cell r="B3807" t="str">
            <v>ANANDA JAYA MART</v>
          </cell>
          <cell r="D3807">
            <v>70333.636363636411</v>
          </cell>
        </row>
        <row r="3808">
          <cell r="A3808" t="str">
            <v>C2144</v>
          </cell>
          <cell r="B3808" t="str">
            <v>FAIRY COSMETIC</v>
          </cell>
          <cell r="D3808">
            <v>4436235.909090911</v>
          </cell>
        </row>
        <row r="3809">
          <cell r="A3809" t="str">
            <v>C2956</v>
          </cell>
          <cell r="B3809" t="str">
            <v>CITRA COS BATUPAT</v>
          </cell>
          <cell r="D3809">
            <v>7776917.2727272734</v>
          </cell>
        </row>
        <row r="3810">
          <cell r="A3810" t="str">
            <v>C6169</v>
          </cell>
          <cell r="B3810" t="str">
            <v>DUTA COS BIREUEN</v>
          </cell>
          <cell r="D3810">
            <v>25224000.000000004</v>
          </cell>
        </row>
        <row r="3811">
          <cell r="A3811" t="str">
            <v>C0088</v>
          </cell>
          <cell r="B3811" t="str">
            <v>RIZKI SWALAYAN</v>
          </cell>
          <cell r="D3811">
            <v>379392.95454545465</v>
          </cell>
        </row>
        <row r="3812">
          <cell r="A3812" t="str">
            <v>BAC118</v>
          </cell>
          <cell r="B3812" t="str">
            <v>SYIAH KUALA SWALAYAN</v>
          </cell>
          <cell r="D3812">
            <v>670164</v>
          </cell>
        </row>
        <row r="3813">
          <cell r="A3813" t="str">
            <v>BAC339</v>
          </cell>
          <cell r="B3813" t="str">
            <v>VIVI BEAUTY</v>
          </cell>
          <cell r="D3813">
            <v>635727.27272727259</v>
          </cell>
        </row>
        <row r="3814">
          <cell r="A3814" t="str">
            <v>LSW005</v>
          </cell>
          <cell r="B3814" t="str">
            <v>ROMA LHOKSEUMAWE</v>
          </cell>
          <cell r="D3814">
            <v>4351300.9090909082</v>
          </cell>
        </row>
        <row r="3815">
          <cell r="A3815" t="str">
            <v>LSW007</v>
          </cell>
          <cell r="B3815" t="str">
            <v>HIJRAH STORE</v>
          </cell>
          <cell r="D3815">
            <v>37258021.81818182</v>
          </cell>
        </row>
        <row r="3816">
          <cell r="A3816" t="str">
            <v>BAC136</v>
          </cell>
          <cell r="B3816" t="str">
            <v>ANUGRAH SWALAYAN KETAPANG</v>
          </cell>
          <cell r="D3816">
            <v>1334875.9090909092</v>
          </cell>
        </row>
        <row r="3817">
          <cell r="A3817" t="str">
            <v>C0282</v>
          </cell>
          <cell r="B3817" t="str">
            <v>AL-MAHLI ( PAJAK )</v>
          </cell>
          <cell r="D3817">
            <v>2967961.8181818188</v>
          </cell>
        </row>
        <row r="3818">
          <cell r="A3818" t="str">
            <v>BAC036</v>
          </cell>
          <cell r="B3818" t="str">
            <v>TOKO AMAT</v>
          </cell>
          <cell r="D3818">
            <v>947720.45454545447</v>
          </cell>
        </row>
        <row r="3819">
          <cell r="A3819" t="str">
            <v>BAC060</v>
          </cell>
          <cell r="B3819" t="str">
            <v>AL HAMRA COS</v>
          </cell>
          <cell r="D3819">
            <v>8054531.5909090918</v>
          </cell>
        </row>
        <row r="3820">
          <cell r="A3820" t="str">
            <v>BAC287</v>
          </cell>
          <cell r="B3820" t="str">
            <v>SAUDARA KIOS 2</v>
          </cell>
          <cell r="D3820">
            <v>92250</v>
          </cell>
        </row>
        <row r="3821">
          <cell r="A3821" t="str">
            <v>BAC159</v>
          </cell>
          <cell r="B3821" t="str">
            <v>NEXT COS</v>
          </cell>
          <cell r="D3821">
            <v>3969191.5909090908</v>
          </cell>
        </row>
        <row r="3822">
          <cell r="A3822" t="str">
            <v>BAC208</v>
          </cell>
          <cell r="B3822" t="str">
            <v>MAFAZA COS</v>
          </cell>
          <cell r="D3822">
            <v>11811025.22727273</v>
          </cell>
        </row>
        <row r="3823">
          <cell r="A3823" t="str">
            <v>BAC387</v>
          </cell>
          <cell r="B3823" t="str">
            <v>SAQINA LANGSA</v>
          </cell>
          <cell r="D3823">
            <v>7335343.6363636367</v>
          </cell>
        </row>
        <row r="3824">
          <cell r="A3824" t="str">
            <v>BAC111</v>
          </cell>
          <cell r="B3824" t="str">
            <v>MITRA TUNGKOP</v>
          </cell>
          <cell r="D3824">
            <v>672860.45454545447</v>
          </cell>
        </row>
        <row r="3825">
          <cell r="A3825" t="str">
            <v>BAC110</v>
          </cell>
          <cell r="B3825" t="str">
            <v>EMHA 2</v>
          </cell>
          <cell r="D3825">
            <v>1835691.8181818179</v>
          </cell>
        </row>
        <row r="3826">
          <cell r="A3826" t="str">
            <v>BAC116</v>
          </cell>
          <cell r="B3826" t="str">
            <v>INDAH SARI 2</v>
          </cell>
          <cell r="D3826">
            <v>349650.00000000012</v>
          </cell>
        </row>
        <row r="3827">
          <cell r="A3827" t="str">
            <v>BAC261</v>
          </cell>
          <cell r="B3827" t="str">
            <v>MUDAH RESEUKI MINI MARKET</v>
          </cell>
          <cell r="D3827">
            <v>2214818.1818181821</v>
          </cell>
        </row>
        <row r="3828">
          <cell r="A3828" t="str">
            <v>BAC273</v>
          </cell>
          <cell r="B3828" t="str">
            <v>TAMIYA TOYS</v>
          </cell>
          <cell r="D3828">
            <v>1203819.5454545454</v>
          </cell>
        </row>
        <row r="3829">
          <cell r="A3829" t="str">
            <v>BAC206</v>
          </cell>
          <cell r="B3829" t="str">
            <v>ADI MULIA</v>
          </cell>
          <cell r="D3829">
            <v>17416195.909090906</v>
          </cell>
        </row>
        <row r="3830">
          <cell r="A3830" t="str">
            <v>BAC075</v>
          </cell>
          <cell r="B3830" t="str">
            <v>ASEAN</v>
          </cell>
          <cell r="D3830">
            <v>16543394.545454545</v>
          </cell>
        </row>
        <row r="3831">
          <cell r="A3831" t="str">
            <v>BAC333</v>
          </cell>
          <cell r="B3831" t="str">
            <v>SUSAN COSMETIC</v>
          </cell>
          <cell r="D3831">
            <v>1941651.8181818184</v>
          </cell>
        </row>
        <row r="3832">
          <cell r="A3832" t="str">
            <v>BAC253</v>
          </cell>
          <cell r="B3832" t="str">
            <v>PERDANA SWALAYAN</v>
          </cell>
          <cell r="D3832">
            <v>10114976.363636361</v>
          </cell>
        </row>
        <row r="3833">
          <cell r="A3833" t="str">
            <v>BAC107</v>
          </cell>
          <cell r="B3833" t="str">
            <v>DOA BUNDA</v>
          </cell>
          <cell r="D3833">
            <v>17251015.909090906</v>
          </cell>
        </row>
        <row r="3834">
          <cell r="A3834" t="str">
            <v>BAC401</v>
          </cell>
          <cell r="B3834" t="str">
            <v>SENTRAL MINI MARKET</v>
          </cell>
          <cell r="D3834">
            <v>543966.81818181812</v>
          </cell>
        </row>
        <row r="3835">
          <cell r="A3835" t="str">
            <v>BAC128</v>
          </cell>
          <cell r="B3835" t="str">
            <v>TARI COS</v>
          </cell>
          <cell r="D3835">
            <v>931523.18181818188</v>
          </cell>
        </row>
        <row r="3836">
          <cell r="A3836" t="str">
            <v>BAC399</v>
          </cell>
          <cell r="B3836" t="str">
            <v>MAKMUR SWALAYAN</v>
          </cell>
          <cell r="D3836">
            <v>840417.27272727271</v>
          </cell>
        </row>
        <row r="3837">
          <cell r="A3837" t="str">
            <v>BAC200</v>
          </cell>
          <cell r="B3837" t="str">
            <v>LAKSANA SWALAYAN</v>
          </cell>
          <cell r="D3837">
            <v>510927.95454545453</v>
          </cell>
        </row>
        <row r="3838">
          <cell r="A3838" t="str">
            <v>BAC083</v>
          </cell>
          <cell r="B3838" t="str">
            <v>POMA SWALAYAN</v>
          </cell>
          <cell r="D3838">
            <v>337909.09090909088</v>
          </cell>
        </row>
        <row r="3839">
          <cell r="A3839" t="str">
            <v>BAC243</v>
          </cell>
          <cell r="B3839" t="str">
            <v>AYAH MARKET</v>
          </cell>
          <cell r="D3839">
            <v>1722252.9545454546</v>
          </cell>
        </row>
        <row r="3840">
          <cell r="A3840" t="str">
            <v>BAC161</v>
          </cell>
          <cell r="B3840" t="str">
            <v>APOTIK ZIKRA MEDIKA</v>
          </cell>
          <cell r="D3840">
            <v>317863.63636363635</v>
          </cell>
        </row>
        <row r="3841">
          <cell r="A3841" t="str">
            <v>BAC158</v>
          </cell>
          <cell r="B3841" t="str">
            <v>MAHLI BARU BATOH</v>
          </cell>
          <cell r="D3841">
            <v>199800.00000000006</v>
          </cell>
        </row>
        <row r="3842">
          <cell r="A3842" t="str">
            <v>BAC087</v>
          </cell>
          <cell r="B3842" t="str">
            <v>PUTRA JAYA</v>
          </cell>
          <cell r="D3842">
            <v>883963.63636363635</v>
          </cell>
        </row>
        <row r="3843">
          <cell r="A3843" t="str">
            <v>BAC281</v>
          </cell>
          <cell r="B3843" t="str">
            <v>ADI JAYA MARKET</v>
          </cell>
          <cell r="D3843">
            <v>1211652.2727272729</v>
          </cell>
        </row>
        <row r="3844">
          <cell r="A3844" t="str">
            <v>BAC230</v>
          </cell>
          <cell r="B3844" t="str">
            <v>AMMA GALLERY</v>
          </cell>
          <cell r="D3844">
            <v>4515492.9090909092</v>
          </cell>
        </row>
        <row r="3845">
          <cell r="A3845" t="str">
            <v>BAC390</v>
          </cell>
          <cell r="B3845" t="str">
            <v>HOME PARFUME</v>
          </cell>
          <cell r="D3845">
            <v>5257206.1363636367</v>
          </cell>
        </row>
        <row r="3846">
          <cell r="A3846" t="str">
            <v>BAC403</v>
          </cell>
          <cell r="B3846" t="str">
            <v>MAKMUR PASEH SWALAYAN</v>
          </cell>
          <cell r="D3846">
            <v>2605472.7272727275</v>
          </cell>
        </row>
        <row r="3847">
          <cell r="A3847" t="str">
            <v>BAC237</v>
          </cell>
          <cell r="B3847" t="str">
            <v>ELTICS COS</v>
          </cell>
          <cell r="D3847">
            <v>1955400</v>
          </cell>
        </row>
        <row r="3848">
          <cell r="A3848" t="str">
            <v>C0152</v>
          </cell>
          <cell r="B3848" t="str">
            <v>SUMAN MART (PAJAK)</v>
          </cell>
          <cell r="D3848">
            <v>6208780.9090909101</v>
          </cell>
        </row>
        <row r="3849">
          <cell r="A3849" t="str">
            <v>BAC277</v>
          </cell>
          <cell r="B3849" t="str">
            <v>AKBAR JAYA MART 1</v>
          </cell>
          <cell r="D3849">
            <v>373489.77272727271</v>
          </cell>
        </row>
        <row r="3850">
          <cell r="A3850" t="str">
            <v>BAC178</v>
          </cell>
          <cell r="B3850" t="str">
            <v>SUMBER REZEKI LHOKSEUMAWE</v>
          </cell>
          <cell r="D3850">
            <v>2801514.5454545459</v>
          </cell>
        </row>
        <row r="3851">
          <cell r="A3851" t="str">
            <v>BAC043</v>
          </cell>
          <cell r="B3851" t="str">
            <v>ZAHWA SWALAYAN MBO</v>
          </cell>
          <cell r="D3851">
            <v>207897.95454545459</v>
          </cell>
        </row>
        <row r="3852">
          <cell r="A3852" t="str">
            <v>BAC160</v>
          </cell>
          <cell r="B3852" t="str">
            <v>TK SP REUDEP</v>
          </cell>
          <cell r="D3852">
            <v>346046.59090909094</v>
          </cell>
        </row>
        <row r="3853">
          <cell r="A3853" t="str">
            <v>BAC105</v>
          </cell>
          <cell r="B3853" t="str">
            <v>KIRANA SWALAYAN</v>
          </cell>
          <cell r="D3853">
            <v>6280557.2727272743</v>
          </cell>
        </row>
        <row r="3854">
          <cell r="A3854" t="str">
            <v>BAC069</v>
          </cell>
          <cell r="B3854" t="str">
            <v>HIJRIAN SWALAYAN MBO</v>
          </cell>
          <cell r="D3854">
            <v>1525044.9545454541</v>
          </cell>
        </row>
        <row r="3855">
          <cell r="A3855" t="str">
            <v>BAC126</v>
          </cell>
          <cell r="B3855" t="str">
            <v>IKSAN JAYA MBO</v>
          </cell>
          <cell r="D3855">
            <v>1053540.9090909089</v>
          </cell>
        </row>
        <row r="3856">
          <cell r="A3856" t="str">
            <v>BAC014</v>
          </cell>
          <cell r="B3856" t="str">
            <v>ARIF SWALAYAN</v>
          </cell>
          <cell r="D3856">
            <v>99900.000000000029</v>
          </cell>
        </row>
        <row r="3857">
          <cell r="A3857" t="str">
            <v>BAC180</v>
          </cell>
          <cell r="B3857" t="str">
            <v>PUTRI COSMETICS NAGAN</v>
          </cell>
          <cell r="D3857">
            <v>25893439.090909097</v>
          </cell>
        </row>
        <row r="3858">
          <cell r="A3858" t="str">
            <v>BAC215</v>
          </cell>
          <cell r="B3858" t="str">
            <v>MEGA SWALAYAN</v>
          </cell>
          <cell r="D3858">
            <v>2916884.7727272734</v>
          </cell>
        </row>
        <row r="3859">
          <cell r="A3859" t="str">
            <v>BAC367</v>
          </cell>
          <cell r="B3859" t="str">
            <v>HOUSE BEAUTY</v>
          </cell>
          <cell r="D3859">
            <v>907200</v>
          </cell>
        </row>
        <row r="3860">
          <cell r="A3860" t="str">
            <v>C0364</v>
          </cell>
          <cell r="B3860" t="str">
            <v>TK. MUARA SENJA</v>
          </cell>
          <cell r="D3860">
            <v>236884.09090909094</v>
          </cell>
        </row>
        <row r="3861">
          <cell r="A3861" t="str">
            <v>C0053</v>
          </cell>
          <cell r="B3861" t="str">
            <v>BEURATA</v>
          </cell>
          <cell r="D3861">
            <v>99900.000000000029</v>
          </cell>
        </row>
        <row r="3862">
          <cell r="A3862" t="str">
            <v>C994</v>
          </cell>
          <cell r="B3862" t="str">
            <v>ISNA JAYA</v>
          </cell>
          <cell r="D3862">
            <v>418142.04545454565</v>
          </cell>
        </row>
        <row r="3863">
          <cell r="A3863" t="str">
            <v>C2145</v>
          </cell>
          <cell r="B3863" t="str">
            <v>RYAN COSMETIC</v>
          </cell>
          <cell r="D3863">
            <v>3318786.1363636362</v>
          </cell>
        </row>
        <row r="3864">
          <cell r="A3864" t="str">
            <v>C2146</v>
          </cell>
          <cell r="B3864" t="str">
            <v>TOKO LINA</v>
          </cell>
          <cell r="D3864">
            <v>612529.31818181812</v>
          </cell>
        </row>
        <row r="3865">
          <cell r="A3865" t="str">
            <v>C2022</v>
          </cell>
          <cell r="B3865" t="str">
            <v>ZIA BEAUTY</v>
          </cell>
          <cell r="D3865">
            <v>2109801.5909090908</v>
          </cell>
        </row>
        <row r="3866">
          <cell r="A3866" t="str">
            <v>C641</v>
          </cell>
          <cell r="B3866" t="str">
            <v>AL HANAFI MART</v>
          </cell>
          <cell r="D3866">
            <v>607152.27272727271</v>
          </cell>
        </row>
        <row r="3867">
          <cell r="A3867" t="str">
            <v>C2147</v>
          </cell>
          <cell r="B3867" t="str">
            <v>MANIS COSMETIK</v>
          </cell>
          <cell r="D3867">
            <v>1590253.6363636365</v>
          </cell>
        </row>
        <row r="3868">
          <cell r="A3868" t="str">
            <v>C0522</v>
          </cell>
          <cell r="B3868" t="str">
            <v>PIM MART</v>
          </cell>
          <cell r="D3868">
            <v>2022398.1818181823</v>
          </cell>
        </row>
        <row r="3869">
          <cell r="A3869" t="str">
            <v>C2081</v>
          </cell>
          <cell r="B3869" t="str">
            <v>ASYIRA COSMETIK</v>
          </cell>
          <cell r="D3869">
            <v>463909.09090909088</v>
          </cell>
        </row>
        <row r="3870">
          <cell r="A3870" t="str">
            <v>C6012</v>
          </cell>
          <cell r="B3870" t="str">
            <v>BERKAT SYUKUR</v>
          </cell>
          <cell r="D3870">
            <v>12396640.909090912</v>
          </cell>
        </row>
        <row r="3871">
          <cell r="A3871" t="str">
            <v>C0838</v>
          </cell>
          <cell r="B3871" t="str">
            <v>NABIL SWALAYAN</v>
          </cell>
          <cell r="D3871">
            <v>234150</v>
          </cell>
        </row>
        <row r="3872">
          <cell r="A3872" t="str">
            <v>C0907</v>
          </cell>
          <cell r="B3872" t="str">
            <v>RAIHAN COS</v>
          </cell>
          <cell r="D3872">
            <v>4393903.6363636376</v>
          </cell>
        </row>
        <row r="3873">
          <cell r="A3873" t="str">
            <v>C2079</v>
          </cell>
          <cell r="B3873" t="str">
            <v>ISTANA KADO</v>
          </cell>
          <cell r="D3873">
            <v>66600.000000000015</v>
          </cell>
        </row>
        <row r="3874">
          <cell r="A3874" t="str">
            <v>C6103</v>
          </cell>
          <cell r="B3874" t="str">
            <v>RAFFA JAYA</v>
          </cell>
          <cell r="D3874">
            <v>2144434.0909090913</v>
          </cell>
        </row>
        <row r="3875">
          <cell r="A3875" t="str">
            <v>C2150</v>
          </cell>
          <cell r="B3875" t="str">
            <v>AYU MAULIZA</v>
          </cell>
          <cell r="D3875">
            <v>1730645.4545454544</v>
          </cell>
        </row>
        <row r="3876">
          <cell r="A3876" t="str">
            <v>C6002</v>
          </cell>
          <cell r="B3876" t="str">
            <v xml:space="preserve">REZEKI BERSAMA </v>
          </cell>
          <cell r="D3876">
            <v>2765863.6363636381</v>
          </cell>
        </row>
        <row r="3877">
          <cell r="A3877" t="str">
            <v>C2072</v>
          </cell>
          <cell r="B3877" t="str">
            <v>MAKMUR SWALAYAN 1</v>
          </cell>
          <cell r="D3877">
            <v>1452788.1818181819</v>
          </cell>
        </row>
        <row r="3878">
          <cell r="A3878" t="str">
            <v>C0307</v>
          </cell>
          <cell r="B3878" t="str">
            <v>FAJAR BARONA</v>
          </cell>
          <cell r="D3878">
            <v>6024629.3181818174</v>
          </cell>
        </row>
        <row r="3879">
          <cell r="A3879" t="str">
            <v>C0789</v>
          </cell>
          <cell r="B3879" t="str">
            <v>YANIS BARU</v>
          </cell>
          <cell r="D3879">
            <v>3332335.9090909092</v>
          </cell>
        </row>
        <row r="3880">
          <cell r="A3880" t="str">
            <v>C0235</v>
          </cell>
          <cell r="B3880" t="str">
            <v>JOHOR BARU</v>
          </cell>
          <cell r="D3880">
            <v>1249942.5</v>
          </cell>
        </row>
        <row r="3881">
          <cell r="A3881" t="str">
            <v>C0951</v>
          </cell>
          <cell r="B3881" t="str">
            <v>SABANA</v>
          </cell>
          <cell r="D3881">
            <v>1624712.0454545454</v>
          </cell>
        </row>
        <row r="3882">
          <cell r="A3882" t="str">
            <v>C1356</v>
          </cell>
          <cell r="B3882" t="str">
            <v>MAYA BARU 1 SIGLI</v>
          </cell>
          <cell r="D3882">
            <v>374397.95454545459</v>
          </cell>
        </row>
        <row r="3883">
          <cell r="A3883" t="str">
            <v>C1308</v>
          </cell>
          <cell r="B3883" t="str">
            <v>PANTE BIDARI</v>
          </cell>
          <cell r="D3883">
            <v>143038.63636363635</v>
          </cell>
        </row>
        <row r="3884">
          <cell r="A3884" t="str">
            <v>C6130</v>
          </cell>
          <cell r="B3884" t="str">
            <v>MATANG SWALAYAN</v>
          </cell>
          <cell r="D3884">
            <v>2275375.9090909092</v>
          </cell>
        </row>
        <row r="3885">
          <cell r="A3885" t="str">
            <v>C0483</v>
          </cell>
          <cell r="B3885" t="str">
            <v>NADIA SWALAYAN BATOH</v>
          </cell>
          <cell r="D3885">
            <v>975827.72727272729</v>
          </cell>
        </row>
        <row r="3886">
          <cell r="A3886" t="str">
            <v>C6133</v>
          </cell>
          <cell r="B3886" t="str">
            <v>RIDHA SWALAYAN</v>
          </cell>
          <cell r="D3886">
            <v>340196.81818181818</v>
          </cell>
        </row>
        <row r="3887">
          <cell r="A3887" t="str">
            <v>C2050</v>
          </cell>
          <cell r="B3887" t="str">
            <v>SEKAR WANGI</v>
          </cell>
          <cell r="D3887">
            <v>1211665.9090909089</v>
          </cell>
        </row>
        <row r="3888">
          <cell r="A3888" t="str">
            <v>C0804</v>
          </cell>
          <cell r="B3888" t="str">
            <v>PM SWALAYAN</v>
          </cell>
          <cell r="D3888">
            <v>2311816.3636363633</v>
          </cell>
        </row>
        <row r="3889">
          <cell r="A3889" t="str">
            <v>C2151</v>
          </cell>
          <cell r="B3889" t="str">
            <v>TOKO PARIS</v>
          </cell>
          <cell r="D3889">
            <v>1049478.6363636365</v>
          </cell>
        </row>
        <row r="3890">
          <cell r="A3890" t="str">
            <v>C2018</v>
          </cell>
          <cell r="B3890" t="str">
            <v>BERKAT BARU (IDI CUT)</v>
          </cell>
          <cell r="D3890">
            <v>1672643.863636364</v>
          </cell>
        </row>
        <row r="3891">
          <cell r="A3891" t="str">
            <v>C0517</v>
          </cell>
          <cell r="B3891" t="str">
            <v>U MART</v>
          </cell>
          <cell r="D3891">
            <v>853312.50000000012</v>
          </cell>
        </row>
        <row r="3892">
          <cell r="A3892" t="str">
            <v>C6170</v>
          </cell>
          <cell r="B3892" t="str">
            <v>AROL SWALAYAN</v>
          </cell>
          <cell r="D3892">
            <v>144300.00000000003</v>
          </cell>
        </row>
        <row r="3893">
          <cell r="A3893" t="str">
            <v>C0529</v>
          </cell>
          <cell r="B3893" t="str">
            <v>SELAYANG BARU</v>
          </cell>
          <cell r="D3893">
            <v>236700</v>
          </cell>
        </row>
        <row r="3894">
          <cell r="A3894" t="str">
            <v>C6160</v>
          </cell>
          <cell r="B3894" t="str">
            <v>RAHMAMARZ</v>
          </cell>
          <cell r="D3894">
            <v>1558741.8181818179</v>
          </cell>
        </row>
        <row r="3895">
          <cell r="A3895" t="str">
            <v>C2031</v>
          </cell>
          <cell r="B3895" t="str">
            <v>JASA DELIMA 2</v>
          </cell>
          <cell r="D3895">
            <v>1644379.0909090908</v>
          </cell>
        </row>
        <row r="3896">
          <cell r="A3896" t="str">
            <v>C643</v>
          </cell>
          <cell r="B3896" t="str">
            <v>TK MASWANI</v>
          </cell>
          <cell r="D3896">
            <v>7952144.5909090899</v>
          </cell>
        </row>
        <row r="3897">
          <cell r="A3897" t="str">
            <v>C2025</v>
          </cell>
          <cell r="B3897" t="str">
            <v>BINTANG PERDANA</v>
          </cell>
          <cell r="D3897">
            <v>54945</v>
          </cell>
        </row>
        <row r="3898">
          <cell r="A3898" t="str">
            <v>C053</v>
          </cell>
          <cell r="B3898" t="str">
            <v>NOEZA LEACHA</v>
          </cell>
          <cell r="D3898">
            <v>1258971.1363636365</v>
          </cell>
        </row>
        <row r="3899">
          <cell r="A3899" t="str">
            <v>C1306</v>
          </cell>
          <cell r="B3899" t="str">
            <v>DIFZA MANDIRI MM</v>
          </cell>
          <cell r="D3899">
            <v>2919531.3636363666</v>
          </cell>
        </row>
        <row r="3900">
          <cell r="A3900" t="str">
            <v>C0080</v>
          </cell>
          <cell r="B3900" t="str">
            <v>MR. MART</v>
          </cell>
          <cell r="D3900">
            <v>676595.45454545447</v>
          </cell>
        </row>
        <row r="3901">
          <cell r="A3901" t="str">
            <v>C2152</v>
          </cell>
          <cell r="B3901" t="str">
            <v>TOKO SARIA</v>
          </cell>
          <cell r="D3901">
            <v>2356091.5909090908</v>
          </cell>
        </row>
        <row r="3902">
          <cell r="A3902" t="str">
            <v>C2153</v>
          </cell>
          <cell r="B3902" t="str">
            <v>AYYUN BEUTY CARE</v>
          </cell>
          <cell r="D3902">
            <v>2609270.4545454546</v>
          </cell>
        </row>
        <row r="3903">
          <cell r="A3903" t="str">
            <v>C0137</v>
          </cell>
          <cell r="B3903" t="str">
            <v>MAYA BARU 2 BERNUN</v>
          </cell>
          <cell r="D3903">
            <v>623693.86363636365</v>
          </cell>
        </row>
        <row r="3904">
          <cell r="A3904" t="str">
            <v>C2159</v>
          </cell>
          <cell r="B3904" t="str">
            <v>PIPIT COSMETIC</v>
          </cell>
          <cell r="D3904">
            <v>1040325</v>
          </cell>
        </row>
        <row r="3905">
          <cell r="A3905" t="str">
            <v>C0207</v>
          </cell>
          <cell r="B3905" t="str">
            <v>PERMATA</v>
          </cell>
          <cell r="D3905">
            <v>3382387.9090909092</v>
          </cell>
        </row>
        <row r="3906">
          <cell r="A3906" t="str">
            <v>C6108</v>
          </cell>
          <cell r="B3906" t="str">
            <v>HRD SWALAYAN</v>
          </cell>
          <cell r="D3906">
            <v>4494297.4090909101</v>
          </cell>
        </row>
        <row r="3907">
          <cell r="A3907" t="str">
            <v>C0021</v>
          </cell>
          <cell r="B3907" t="str">
            <v>TOKO MARISA</v>
          </cell>
          <cell r="D3907">
            <v>325800.00000000006</v>
          </cell>
        </row>
        <row r="3908">
          <cell r="A3908" t="str">
            <v>C6113</v>
          </cell>
          <cell r="B3908" t="str">
            <v>AULIZA SARI</v>
          </cell>
          <cell r="D3908">
            <v>794659.09090909082</v>
          </cell>
        </row>
        <row r="3909">
          <cell r="A3909" t="str">
            <v>C0964</v>
          </cell>
          <cell r="B3909" t="str">
            <v>FAILA SWALAYAN</v>
          </cell>
          <cell r="D3909">
            <v>1110429.5454545454</v>
          </cell>
        </row>
        <row r="3910">
          <cell r="A3910" t="str">
            <v>C0813</v>
          </cell>
          <cell r="B3910" t="str">
            <v>IRA COSMETIK SHOP</v>
          </cell>
          <cell r="D3910">
            <v>6150377.7272727257</v>
          </cell>
        </row>
        <row r="3911">
          <cell r="A3911" t="str">
            <v>C0316</v>
          </cell>
          <cell r="B3911" t="str">
            <v>SEDIA TAPAK TUAN</v>
          </cell>
          <cell r="D3911">
            <v>692954.54545454541</v>
          </cell>
        </row>
        <row r="3912">
          <cell r="A3912" t="str">
            <v>C2027</v>
          </cell>
          <cell r="B3912" t="str">
            <v>AZZA COSMETIK</v>
          </cell>
          <cell r="D3912">
            <v>1775929.0909090911</v>
          </cell>
        </row>
        <row r="3913">
          <cell r="A3913" t="str">
            <v>C2030</v>
          </cell>
          <cell r="B3913" t="str">
            <v>WARISAN MART</v>
          </cell>
          <cell r="D3913">
            <v>151200</v>
          </cell>
        </row>
        <row r="3914">
          <cell r="A3914" t="str">
            <v>C2044</v>
          </cell>
          <cell r="B3914" t="str">
            <v>AL FAZA COSMETIK</v>
          </cell>
          <cell r="D3914">
            <v>2456959.0909090904</v>
          </cell>
        </row>
        <row r="3915">
          <cell r="A3915" t="str">
            <v>C0514</v>
          </cell>
          <cell r="B3915" t="str">
            <v>BAHAGIA</v>
          </cell>
          <cell r="D3915">
            <v>1831037.0454545454</v>
          </cell>
        </row>
        <row r="3916">
          <cell r="A3916" t="str">
            <v>C0191</v>
          </cell>
          <cell r="B3916" t="str">
            <v>SULTAN ( TENOM )</v>
          </cell>
          <cell r="D3916">
            <v>3301723.6363636367</v>
          </cell>
        </row>
        <row r="3917">
          <cell r="A3917" t="str">
            <v>C2023</v>
          </cell>
          <cell r="B3917" t="str">
            <v>BERINGIN JAYA</v>
          </cell>
          <cell r="D3917">
            <v>1737524.3181818184</v>
          </cell>
        </row>
        <row r="3918">
          <cell r="A3918" t="str">
            <v>C2162</v>
          </cell>
          <cell r="B3918" t="str">
            <v>AZZA COSMETIC 2</v>
          </cell>
          <cell r="D3918">
            <v>1876392.9545454546</v>
          </cell>
        </row>
        <row r="3919">
          <cell r="A3919" t="str">
            <v>C981</v>
          </cell>
          <cell r="B3919" t="str">
            <v>MUDAH JAYA</v>
          </cell>
          <cell r="D3919">
            <v>-714991.36363636353</v>
          </cell>
        </row>
        <row r="3920">
          <cell r="A3920" t="str">
            <v>C045</v>
          </cell>
          <cell r="B3920" t="str">
            <v>MANDIRI MART</v>
          </cell>
          <cell r="D3920">
            <v>-36872.181818181823</v>
          </cell>
        </row>
        <row r="3921">
          <cell r="A3921" t="str">
            <v>C818</v>
          </cell>
          <cell r="B3921" t="str">
            <v>PUNGE SWALAYAN</v>
          </cell>
          <cell r="D3921">
            <v>-13118.18181818182</v>
          </cell>
        </row>
        <row r="3922">
          <cell r="A3922">
            <v>10000030</v>
          </cell>
          <cell r="B3922" t="str">
            <v>MITRA 7500 BATU AJI</v>
          </cell>
          <cell r="D3922">
            <v>222504.5454545455</v>
          </cell>
        </row>
        <row r="3923">
          <cell r="A3923">
            <v>10000170</v>
          </cell>
          <cell r="B3923" t="str">
            <v>MEKAR MART</v>
          </cell>
          <cell r="D3923">
            <v>55626.136363636375</v>
          </cell>
        </row>
        <row r="3924">
          <cell r="A3924">
            <v>10000210</v>
          </cell>
          <cell r="B3924" t="str">
            <v>MITRA 7500</v>
          </cell>
          <cell r="D3924">
            <v>222504.5454545455</v>
          </cell>
        </row>
        <row r="3925">
          <cell r="A3925">
            <v>10000298</v>
          </cell>
          <cell r="B3925" t="str">
            <v>22 COSMETICS</v>
          </cell>
          <cell r="D3925">
            <v>2106620.9090909096</v>
          </cell>
        </row>
        <row r="3926">
          <cell r="A3926">
            <v>10000299</v>
          </cell>
          <cell r="B3926" t="str">
            <v>ELLY KOSMETIK</v>
          </cell>
          <cell r="D3926">
            <v>3741738.1818181835</v>
          </cell>
        </row>
        <row r="3927">
          <cell r="A3927">
            <v>10000301</v>
          </cell>
          <cell r="B3927" t="str">
            <v>QUIN COSMETIC</v>
          </cell>
          <cell r="D3927">
            <v>1096299.5454545454</v>
          </cell>
        </row>
        <row r="3928">
          <cell r="A3928">
            <v>10000311</v>
          </cell>
          <cell r="B3928" t="str">
            <v>ZERO TOTAL (UTAMA 89)</v>
          </cell>
          <cell r="D3928">
            <v>2351203.6363636362</v>
          </cell>
        </row>
        <row r="3929">
          <cell r="A3929">
            <v>10000331</v>
          </cell>
          <cell r="B3929" t="str">
            <v>AMY, TK</v>
          </cell>
          <cell r="D3929">
            <v>-3657.9545454545478</v>
          </cell>
        </row>
        <row r="3930">
          <cell r="A3930">
            <v>10000398</v>
          </cell>
          <cell r="B3930" t="str">
            <v>TINA COSMETIC</v>
          </cell>
          <cell r="D3930">
            <v>738503.18181818165</v>
          </cell>
        </row>
        <row r="3931">
          <cell r="A3931">
            <v>10000402</v>
          </cell>
          <cell r="B3931" t="str">
            <v>APOTEK MITRA</v>
          </cell>
          <cell r="D3931">
            <v>238800</v>
          </cell>
        </row>
        <row r="3932">
          <cell r="A3932">
            <v>10000440</v>
          </cell>
          <cell r="B3932" t="str">
            <v>FAISAL</v>
          </cell>
          <cell r="D3932">
            <v>1598400.0000000002</v>
          </cell>
        </row>
        <row r="3933">
          <cell r="A3933">
            <v>10000449</v>
          </cell>
          <cell r="B3933" t="str">
            <v>IHSAN SNACK</v>
          </cell>
          <cell r="D3933">
            <v>185420.45454545456</v>
          </cell>
        </row>
        <row r="3934">
          <cell r="A3934">
            <v>10000491</v>
          </cell>
          <cell r="B3934" t="str">
            <v>SERBA MURAH</v>
          </cell>
          <cell r="D3934">
            <v>1828975.2272727271</v>
          </cell>
        </row>
        <row r="3935">
          <cell r="A3935">
            <v>10000634</v>
          </cell>
          <cell r="B3935" t="str">
            <v>BPS</v>
          </cell>
          <cell r="D3935">
            <v>5522020.4545454532</v>
          </cell>
        </row>
        <row r="3936">
          <cell r="A3936">
            <v>10000831</v>
          </cell>
          <cell r="B3936" t="str">
            <v>GLORY MART</v>
          </cell>
          <cell r="D3936">
            <v>8325</v>
          </cell>
        </row>
        <row r="3937">
          <cell r="A3937">
            <v>10000839</v>
          </cell>
          <cell r="B3937" t="str">
            <v>GLORY MART BOTANIA 2</v>
          </cell>
          <cell r="D3937">
            <v>66600.000000000015</v>
          </cell>
        </row>
        <row r="3938">
          <cell r="A3938">
            <v>10000859</v>
          </cell>
          <cell r="B3938" t="str">
            <v>HERLINA</v>
          </cell>
          <cell r="D3938">
            <v>3744433.6363636358</v>
          </cell>
        </row>
        <row r="3939">
          <cell r="A3939">
            <v>10001247</v>
          </cell>
          <cell r="B3939" t="str">
            <v>MARINA INDAH</v>
          </cell>
          <cell r="D3939">
            <v>573062.72727272718</v>
          </cell>
        </row>
        <row r="3940">
          <cell r="A3940">
            <v>10001281</v>
          </cell>
          <cell r="B3940" t="str">
            <v>ARISA HOUSEWARE</v>
          </cell>
          <cell r="D3940">
            <v>2868005.4545454555</v>
          </cell>
        </row>
        <row r="3941">
          <cell r="A3941">
            <v>10001292</v>
          </cell>
          <cell r="B3941" t="str">
            <v>MM PINTARIA</v>
          </cell>
          <cell r="D3941">
            <v>99900.000000000029</v>
          </cell>
        </row>
        <row r="3942">
          <cell r="A3942">
            <v>10001317</v>
          </cell>
          <cell r="B3942" t="str">
            <v>MINA COSMETIC</v>
          </cell>
          <cell r="D3942">
            <v>2019380.1818181812</v>
          </cell>
        </row>
        <row r="3943">
          <cell r="A3943">
            <v>10001322</v>
          </cell>
          <cell r="B3943" t="str">
            <v>ROYAL SUPERMARKET - FANINDO</v>
          </cell>
          <cell r="D3943">
            <v>837552.27272727271</v>
          </cell>
        </row>
        <row r="3944">
          <cell r="A3944">
            <v>10001331</v>
          </cell>
          <cell r="B3944" t="str">
            <v>OBAT ARTA MULIA, TK</v>
          </cell>
          <cell r="D3944">
            <v>343779.54545454547</v>
          </cell>
        </row>
        <row r="3945">
          <cell r="A3945">
            <v>10001333</v>
          </cell>
          <cell r="B3945" t="str">
            <v>AILISA COLLECTION</v>
          </cell>
          <cell r="D3945">
            <v>1090759.0909090908</v>
          </cell>
        </row>
        <row r="3946">
          <cell r="A3946">
            <v>10001335</v>
          </cell>
          <cell r="B3946" t="str">
            <v>AMOI COSMETIC JODOH</v>
          </cell>
          <cell r="D3946">
            <v>455894.09090909094</v>
          </cell>
        </row>
        <row r="3947">
          <cell r="A3947">
            <v>10001337</v>
          </cell>
          <cell r="B3947" t="str">
            <v>ATIN KOSMETIK</v>
          </cell>
          <cell r="D3947">
            <v>1036848.6363636364</v>
          </cell>
        </row>
        <row r="3948">
          <cell r="A3948">
            <v>10001344</v>
          </cell>
          <cell r="B3948" t="str">
            <v>LINA COSMETIC</v>
          </cell>
          <cell r="D3948">
            <v>1973985.4545454546</v>
          </cell>
        </row>
        <row r="3949">
          <cell r="A3949">
            <v>10001345</v>
          </cell>
          <cell r="B3949" t="str">
            <v>LISTANAH</v>
          </cell>
          <cell r="D3949">
            <v>4158896.8181818193</v>
          </cell>
        </row>
        <row r="3950">
          <cell r="A3950">
            <v>10001350</v>
          </cell>
          <cell r="B3950" t="str">
            <v>SELLY COSMETIC</v>
          </cell>
          <cell r="D3950">
            <v>2391532.2727272734</v>
          </cell>
        </row>
        <row r="3951">
          <cell r="A3951">
            <v>10001518</v>
          </cell>
          <cell r="B3951" t="str">
            <v>MM JJ JAYA</v>
          </cell>
          <cell r="D3951">
            <v>99900.000000000029</v>
          </cell>
        </row>
        <row r="3952">
          <cell r="A3952">
            <v>10001523</v>
          </cell>
          <cell r="B3952" t="str">
            <v>SHINE COSMETIC, TK</v>
          </cell>
          <cell r="D3952">
            <v>360550</v>
          </cell>
        </row>
        <row r="3953">
          <cell r="A3953">
            <v>10001525</v>
          </cell>
          <cell r="B3953" t="str">
            <v>FAMILY SALON</v>
          </cell>
          <cell r="D3953">
            <v>799200</v>
          </cell>
        </row>
        <row r="3954">
          <cell r="A3954">
            <v>10001530</v>
          </cell>
          <cell r="B3954" t="str">
            <v>BPS BLOK 2</v>
          </cell>
          <cell r="D3954">
            <v>921804.5454545453</v>
          </cell>
        </row>
        <row r="3955">
          <cell r="A3955">
            <v>10001541</v>
          </cell>
          <cell r="B3955" t="str">
            <v>RISKA (ELITA LAMA)</v>
          </cell>
          <cell r="D3955">
            <v>288722.04545454541</v>
          </cell>
        </row>
        <row r="3956">
          <cell r="A3956">
            <v>10001661</v>
          </cell>
          <cell r="B3956" t="str">
            <v>RUDI, TK</v>
          </cell>
          <cell r="D3956">
            <v>37084.090909090912</v>
          </cell>
        </row>
        <row r="3957">
          <cell r="A3957">
            <v>10001677</v>
          </cell>
          <cell r="B3957" t="str">
            <v>STEVANI (ELLA), TK</v>
          </cell>
          <cell r="D3957">
            <v>399600.00000000012</v>
          </cell>
        </row>
        <row r="3958">
          <cell r="A3958">
            <v>10001682</v>
          </cell>
          <cell r="B3958" t="str">
            <v>SERBA 8000 PUNGGUR</v>
          </cell>
          <cell r="D3958">
            <v>1102256.5909090908</v>
          </cell>
        </row>
        <row r="3959">
          <cell r="A3959">
            <v>10001750</v>
          </cell>
          <cell r="B3959" t="str">
            <v>FADZIL II</v>
          </cell>
          <cell r="D3959">
            <v>785155.90909090906</v>
          </cell>
        </row>
        <row r="3960">
          <cell r="A3960">
            <v>10001792</v>
          </cell>
          <cell r="B3960" t="str">
            <v>ANUGRAH, TK</v>
          </cell>
          <cell r="D3960">
            <v>556261.36363636376</v>
          </cell>
        </row>
        <row r="3961">
          <cell r="A3961">
            <v>10001796</v>
          </cell>
          <cell r="B3961" t="str">
            <v>WINA KOSMETIK</v>
          </cell>
          <cell r="D3961">
            <v>9982190.4545454569</v>
          </cell>
        </row>
        <row r="3962">
          <cell r="A3962">
            <v>10001903</v>
          </cell>
          <cell r="B3962" t="str">
            <v>BEST MART</v>
          </cell>
          <cell r="D3962">
            <v>2644625.4545454546</v>
          </cell>
        </row>
        <row r="3963">
          <cell r="A3963">
            <v>10001906</v>
          </cell>
          <cell r="B3963" t="str">
            <v>MM CAI-CAI</v>
          </cell>
          <cell r="D3963">
            <v>327886.36363636365</v>
          </cell>
        </row>
        <row r="3964">
          <cell r="A3964">
            <v>10002084</v>
          </cell>
          <cell r="B3964" t="str">
            <v>NARRA</v>
          </cell>
          <cell r="D3964">
            <v>264886.36363636365</v>
          </cell>
        </row>
        <row r="3965">
          <cell r="A3965">
            <v>10002136</v>
          </cell>
          <cell r="B3965" t="str">
            <v>BUNGSU MINI MARKET (BSS)</v>
          </cell>
          <cell r="D3965">
            <v>1412468.1818181819</v>
          </cell>
        </row>
        <row r="3966">
          <cell r="A3966">
            <v>10002498</v>
          </cell>
          <cell r="B3966" t="str">
            <v>MITRA 7500 BENGKONG ALJABAR</v>
          </cell>
          <cell r="D3966">
            <v>445009.090909091</v>
          </cell>
        </row>
        <row r="3967">
          <cell r="A3967">
            <v>10002507</v>
          </cell>
          <cell r="B3967" t="str">
            <v>SELLY KOSMETIK TIBAN</v>
          </cell>
          <cell r="D3967">
            <v>561155.45454545459</v>
          </cell>
        </row>
        <row r="3968">
          <cell r="A3968">
            <v>10002524</v>
          </cell>
          <cell r="B3968" t="str">
            <v>JAGO MART</v>
          </cell>
          <cell r="D3968">
            <v>2795534.3181818197</v>
          </cell>
        </row>
        <row r="3969">
          <cell r="A3969">
            <v>10002556</v>
          </cell>
          <cell r="B3969" t="str">
            <v>RAINY BEAUTY</v>
          </cell>
          <cell r="D3969">
            <v>4880000</v>
          </cell>
        </row>
        <row r="3970">
          <cell r="A3970">
            <v>10002570</v>
          </cell>
          <cell r="B3970" t="str">
            <v>AAN GROSIR MART 3</v>
          </cell>
          <cell r="D3970">
            <v>55053.409090909074</v>
          </cell>
        </row>
        <row r="3971">
          <cell r="A3971">
            <v>10002571</v>
          </cell>
          <cell r="B3971" t="str">
            <v>MY BATAM SHOP</v>
          </cell>
          <cell r="D3971">
            <v>646345.90909090918</v>
          </cell>
        </row>
        <row r="3972">
          <cell r="A3972">
            <v>10002939</v>
          </cell>
          <cell r="B3972" t="str">
            <v>ASNITA BATAM</v>
          </cell>
          <cell r="D3972">
            <v>660184.54545454541</v>
          </cell>
        </row>
        <row r="3973">
          <cell r="A3973">
            <v>10002993</v>
          </cell>
          <cell r="B3973" t="str">
            <v>PT MONI BATAM INOVASI - DAPUR 12</v>
          </cell>
          <cell r="D3973">
            <v>81178956.000000015</v>
          </cell>
        </row>
        <row r="3974">
          <cell r="A3974">
            <v>10003081</v>
          </cell>
          <cell r="B3974" t="str">
            <v>PT SENTOSA NIAGA LESTARI</v>
          </cell>
          <cell r="D3974">
            <v>1417671.8181818181</v>
          </cell>
        </row>
        <row r="3975">
          <cell r="A3975">
            <v>10003316</v>
          </cell>
          <cell r="B3975" t="str">
            <v>UNTUNG TK</v>
          </cell>
          <cell r="D3975">
            <v>37084.090909090912</v>
          </cell>
        </row>
        <row r="3976">
          <cell r="A3976">
            <v>10000335</v>
          </cell>
          <cell r="B3976" t="str">
            <v>BALOI JAYA, TK</v>
          </cell>
          <cell r="D3976">
            <v>-22200.000000000004</v>
          </cell>
        </row>
        <row r="3977">
          <cell r="A3977" t="str">
            <v>MDN009</v>
          </cell>
          <cell r="B3977" t="str">
            <v>REZEKI ACONG</v>
          </cell>
          <cell r="D3977">
            <v>464968.63636363635</v>
          </cell>
        </row>
        <row r="3978">
          <cell r="A3978" t="str">
            <v>PST134</v>
          </cell>
          <cell r="B3978" t="str">
            <v>TOKO CA&amp;RA PONSEL</v>
          </cell>
          <cell r="D3978">
            <v>459463.63636363635</v>
          </cell>
        </row>
        <row r="3979">
          <cell r="A3979" t="str">
            <v>PST049</v>
          </cell>
          <cell r="B3979" t="str">
            <v>IMELDA MARKET</v>
          </cell>
          <cell r="D3979">
            <v>1935649.0909090913</v>
          </cell>
        </row>
        <row r="3980">
          <cell r="A3980" t="str">
            <v>PST060</v>
          </cell>
          <cell r="B3980" t="str">
            <v>APOTIK BERKAT FARMA</v>
          </cell>
          <cell r="D3980">
            <v>711513.40909090906</v>
          </cell>
        </row>
        <row r="3981">
          <cell r="A3981" t="str">
            <v>PST126</v>
          </cell>
          <cell r="B3981" t="str">
            <v>TOKO AYUNG PAKAM</v>
          </cell>
          <cell r="D3981">
            <v>126000</v>
          </cell>
        </row>
        <row r="3982">
          <cell r="B3982" t="str">
            <v>CANG COSMETIC</v>
          </cell>
          <cell r="D3982">
            <v>1667577.2727272727</v>
          </cell>
        </row>
        <row r="3983">
          <cell r="A3983" t="str">
            <v>PST088</v>
          </cell>
          <cell r="B3983" t="str">
            <v>APOTIK MARTUNAS</v>
          </cell>
          <cell r="D3983">
            <v>992397.27272727259</v>
          </cell>
        </row>
        <row r="3984">
          <cell r="A3984" t="str">
            <v>PST149</v>
          </cell>
          <cell r="B3984" t="str">
            <v>TOKO SERAFIM</v>
          </cell>
          <cell r="D3984">
            <v>1774720.4545454544</v>
          </cell>
        </row>
        <row r="3985">
          <cell r="A3985" t="str">
            <v>MDN425</v>
          </cell>
          <cell r="B3985" t="str">
            <v>BEAUTY GIRLS COSMETIC</v>
          </cell>
          <cell r="D3985">
            <v>21018428.181818184</v>
          </cell>
        </row>
        <row r="3986">
          <cell r="A3986" t="str">
            <v>MDN550</v>
          </cell>
          <cell r="B3986" t="str">
            <v>TOKO ISANI</v>
          </cell>
          <cell r="D3986">
            <v>26954130.000000004</v>
          </cell>
        </row>
        <row r="3987">
          <cell r="A3987" t="str">
            <v>MDN513</v>
          </cell>
          <cell r="B3987" t="str">
            <v>MAHESA COSMETICS</v>
          </cell>
          <cell r="D3987">
            <v>496926.81818181812</v>
          </cell>
        </row>
        <row r="3988">
          <cell r="A3988" t="str">
            <v>MDN699</v>
          </cell>
          <cell r="B3988" t="str">
            <v>ANA SUI COS</v>
          </cell>
          <cell r="D3988">
            <v>5797107.2727272743</v>
          </cell>
        </row>
        <row r="3989">
          <cell r="A3989" t="str">
            <v>MDN148</v>
          </cell>
          <cell r="B3989" t="str">
            <v>BEAUTY CENTRE (II)</v>
          </cell>
          <cell r="D3989">
            <v>1271454.5454545452</v>
          </cell>
        </row>
        <row r="3990">
          <cell r="A3990" t="str">
            <v>PST046</v>
          </cell>
          <cell r="B3990" t="str">
            <v>TOKO FAIRMAN</v>
          </cell>
          <cell r="D3990">
            <v>998679.09090909094</v>
          </cell>
        </row>
        <row r="3991">
          <cell r="A3991" t="str">
            <v>MDN557</v>
          </cell>
          <cell r="B3991" t="str">
            <v>SONY MART</v>
          </cell>
          <cell r="D3991">
            <v>547009.77272727271</v>
          </cell>
        </row>
        <row r="3992">
          <cell r="A3992" t="str">
            <v>MDN532</v>
          </cell>
          <cell r="B3992" t="str">
            <v>STARS SWALAYAN</v>
          </cell>
          <cell r="D3992">
            <v>113400</v>
          </cell>
        </row>
        <row r="3993">
          <cell r="A3993" t="str">
            <v>PRD008</v>
          </cell>
          <cell r="B3993" t="str">
            <v>APOTIK RESTAR</v>
          </cell>
          <cell r="D3993">
            <v>1534851.8181818179</v>
          </cell>
        </row>
        <row r="3994">
          <cell r="A3994" t="str">
            <v>PST115</v>
          </cell>
          <cell r="B3994" t="str">
            <v>DUNIA SALON DAN KOSMETIK</v>
          </cell>
          <cell r="D3994">
            <v>9412527.2727272753</v>
          </cell>
        </row>
        <row r="3995">
          <cell r="A3995" t="str">
            <v>MDN613</v>
          </cell>
          <cell r="B3995" t="str">
            <v>YANI S</v>
          </cell>
          <cell r="D3995">
            <v>708962.27272727282</v>
          </cell>
        </row>
        <row r="3996">
          <cell r="A3996" t="str">
            <v>PSP031</v>
          </cell>
          <cell r="B3996" t="str">
            <v>VIVO COSMETIC</v>
          </cell>
          <cell r="D3996">
            <v>1766260.4545454544</v>
          </cell>
        </row>
        <row r="3997">
          <cell r="A3997" t="str">
            <v>TPU001</v>
          </cell>
          <cell r="B3997" t="str">
            <v>CENTRAL TANJUNG</v>
          </cell>
          <cell r="D3997">
            <v>6114148.6363636376</v>
          </cell>
        </row>
        <row r="3998">
          <cell r="A3998" t="str">
            <v>SDK011</v>
          </cell>
          <cell r="B3998" t="str">
            <v>APOTIK NALAMBOK</v>
          </cell>
          <cell r="D3998">
            <v>1304921.8181818184</v>
          </cell>
        </row>
        <row r="3999">
          <cell r="A3999" t="str">
            <v>MDN671</v>
          </cell>
          <cell r="B3999" t="str">
            <v>INTAN COSMETICS II</v>
          </cell>
          <cell r="D3999">
            <v>2492740.9090909092</v>
          </cell>
        </row>
        <row r="4000">
          <cell r="A4000" t="str">
            <v>SBG019</v>
          </cell>
          <cell r="B4000" t="str">
            <v>BINA PANDAN SWALAYAN</v>
          </cell>
          <cell r="D4000">
            <v>3751641.5454545449</v>
          </cell>
        </row>
        <row r="4001">
          <cell r="A4001" t="str">
            <v>TBT020</v>
          </cell>
          <cell r="B4001" t="str">
            <v>PEARLY BEAUTY SHOP</v>
          </cell>
          <cell r="D4001">
            <v>3417388.6363636358</v>
          </cell>
        </row>
        <row r="4002">
          <cell r="A4002" t="str">
            <v>TBT022</v>
          </cell>
          <cell r="B4002" t="str">
            <v>YEPPO BEAUTY STORE</v>
          </cell>
          <cell r="D4002">
            <v>3333129</v>
          </cell>
        </row>
        <row r="4003">
          <cell r="A4003" t="str">
            <v>PRD004</v>
          </cell>
          <cell r="B4003" t="str">
            <v>TOKO MERCY/DANIEL</v>
          </cell>
          <cell r="D4003">
            <v>8023688.1818181807</v>
          </cell>
        </row>
        <row r="4004">
          <cell r="A4004" t="str">
            <v>MDN179</v>
          </cell>
          <cell r="B4004" t="str">
            <v>SAUDARA BARU SIMP.LIMUN</v>
          </cell>
          <cell r="D4004">
            <v>834921.818181818</v>
          </cell>
        </row>
        <row r="4005">
          <cell r="A4005" t="str">
            <v>MDN623</v>
          </cell>
          <cell r="B4005" t="str">
            <v>INMOL</v>
          </cell>
          <cell r="D4005">
            <v>758634.54545454541</v>
          </cell>
        </row>
        <row r="4006">
          <cell r="A4006" t="str">
            <v>MDN847</v>
          </cell>
          <cell r="B4006" t="str">
            <v>APOTIK EVA FARMA</v>
          </cell>
          <cell r="D4006">
            <v>218266.36363636362</v>
          </cell>
        </row>
        <row r="4007">
          <cell r="A4007" t="str">
            <v>MDN018</v>
          </cell>
          <cell r="B4007" t="str">
            <v>SINU KABAN</v>
          </cell>
          <cell r="D4007">
            <v>190000</v>
          </cell>
        </row>
        <row r="4008">
          <cell r="A4008" t="str">
            <v>MDN652</v>
          </cell>
          <cell r="B4008" t="str">
            <v>FATHYA COSMETICS</v>
          </cell>
          <cell r="D4008">
            <v>141979.09090909091</v>
          </cell>
        </row>
        <row r="4009">
          <cell r="A4009" t="str">
            <v>MDN837</v>
          </cell>
          <cell r="B4009" t="str">
            <v>DUNIA KOSMETIK</v>
          </cell>
          <cell r="D4009">
            <v>23189039.454545457</v>
          </cell>
        </row>
        <row r="4010">
          <cell r="A4010" t="str">
            <v>PST117</v>
          </cell>
          <cell r="B4010" t="str">
            <v>ISTANA KADO</v>
          </cell>
          <cell r="D4010">
            <v>168240.68181818185</v>
          </cell>
        </row>
        <row r="4011">
          <cell r="B4011" t="str">
            <v>TOKO SAUT</v>
          </cell>
          <cell r="D4011">
            <v>337909.09090909088</v>
          </cell>
        </row>
        <row r="4012">
          <cell r="B4012" t="str">
            <v>MONA</v>
          </cell>
          <cell r="D4012">
            <v>68340.681818181823</v>
          </cell>
        </row>
        <row r="4013">
          <cell r="A4013" t="str">
            <v>PST082</v>
          </cell>
          <cell r="B4013" t="str">
            <v>TOKO OBAT ROGATE</v>
          </cell>
          <cell r="D4013">
            <v>5125911.8181818193</v>
          </cell>
        </row>
        <row r="4014">
          <cell r="A4014" t="str">
            <v>MDN231</v>
          </cell>
          <cell r="B4014" t="str">
            <v>SHALIHA COSMETIC</v>
          </cell>
          <cell r="D4014">
            <v>7196498.1818181835</v>
          </cell>
        </row>
        <row r="4015">
          <cell r="A4015" t="str">
            <v>MDN758</v>
          </cell>
          <cell r="B4015" t="str">
            <v>APOTIK PEMBANGUNAN</v>
          </cell>
          <cell r="D4015">
            <v>589734.5454545453</v>
          </cell>
        </row>
        <row r="4016">
          <cell r="A4016" t="str">
            <v>MDN734</v>
          </cell>
          <cell r="B4016" t="str">
            <v>VIA FARMA</v>
          </cell>
          <cell r="D4016">
            <v>916859.99999999988</v>
          </cell>
        </row>
        <row r="4017">
          <cell r="A4017" t="str">
            <v>BJI024</v>
          </cell>
          <cell r="B4017" t="str">
            <v>WL GLADIS COS / SEBELAH LADIES COS</v>
          </cell>
          <cell r="D4017">
            <v>7078690.9090909101</v>
          </cell>
        </row>
        <row r="4018">
          <cell r="A4018" t="str">
            <v>PST036</v>
          </cell>
          <cell r="B4018" t="str">
            <v>TOKO AYEK</v>
          </cell>
          <cell r="D4018">
            <v>12079903.636363639</v>
          </cell>
        </row>
        <row r="4019">
          <cell r="A4019" t="str">
            <v>MDN067</v>
          </cell>
          <cell r="B4019" t="str">
            <v>TOKO BLESS</v>
          </cell>
          <cell r="D4019">
            <v>1133267.0454545456</v>
          </cell>
        </row>
        <row r="4020">
          <cell r="A4020" t="str">
            <v>MDN619</v>
          </cell>
          <cell r="B4020" t="str">
            <v>GYA COSMETICS</v>
          </cell>
          <cell r="D4020">
            <v>2356525.4545454546</v>
          </cell>
        </row>
        <row r="4021">
          <cell r="A4021" t="str">
            <v>MDN593</v>
          </cell>
          <cell r="B4021" t="str">
            <v>JENIKA</v>
          </cell>
          <cell r="D4021">
            <v>2878633.6363636381</v>
          </cell>
        </row>
        <row r="4022">
          <cell r="A4022" t="str">
            <v>MDN168</v>
          </cell>
          <cell r="B4022" t="str">
            <v>LINDA COSMETIC</v>
          </cell>
          <cell r="D4022">
            <v>421850.45454545459</v>
          </cell>
        </row>
        <row r="4023">
          <cell r="A4023" t="str">
            <v>PST066</v>
          </cell>
          <cell r="B4023" t="str">
            <v>TOKO OBAT BOY MANDIRI</v>
          </cell>
          <cell r="D4023">
            <v>746979.54545454541</v>
          </cell>
        </row>
        <row r="4024">
          <cell r="A4024" t="str">
            <v>GLG001</v>
          </cell>
          <cell r="B4024" t="str">
            <v>MONA</v>
          </cell>
          <cell r="D4024">
            <v>324765</v>
          </cell>
        </row>
        <row r="4025">
          <cell r="A4025" t="str">
            <v>PST104</v>
          </cell>
          <cell r="B4025" t="str">
            <v>RINA JAYA</v>
          </cell>
          <cell r="D4025">
            <v>1176463.6363636362</v>
          </cell>
        </row>
        <row r="4026">
          <cell r="A4026" t="str">
            <v>GLG007</v>
          </cell>
          <cell r="B4026" t="str">
            <v>MARRIE GLOWUP</v>
          </cell>
          <cell r="D4026">
            <v>8938548.5454545468</v>
          </cell>
        </row>
        <row r="4027">
          <cell r="A4027" t="str">
            <v>MDN135</v>
          </cell>
          <cell r="B4027" t="str">
            <v>EVA COSMETICS</v>
          </cell>
          <cell r="D4027">
            <v>1036458.1818181816</v>
          </cell>
        </row>
        <row r="4028">
          <cell r="A4028" t="str">
            <v>MDN206</v>
          </cell>
          <cell r="B4028" t="str">
            <v>SIANTURI II</v>
          </cell>
          <cell r="D4028">
            <v>5884134.5454545459</v>
          </cell>
        </row>
        <row r="4029">
          <cell r="A4029" t="str">
            <v>MDN574</v>
          </cell>
          <cell r="B4029" t="str">
            <v>TOKO GLOWY</v>
          </cell>
          <cell r="D4029">
            <v>2045677.5000000005</v>
          </cell>
        </row>
        <row r="4030">
          <cell r="A4030" t="str">
            <v>GLG008</v>
          </cell>
          <cell r="B4030" t="str">
            <v>LAPAK KOSMETIK</v>
          </cell>
          <cell r="D4030">
            <v>2165181.8181818184</v>
          </cell>
        </row>
        <row r="4031">
          <cell r="A4031" t="str">
            <v>MDN863</v>
          </cell>
          <cell r="B4031" t="str">
            <v>EIGHTY COSMETIC</v>
          </cell>
          <cell r="D4031">
            <v>3198162.2727272711</v>
          </cell>
        </row>
        <row r="4032">
          <cell r="A4032" t="str">
            <v>SDK005</v>
          </cell>
          <cell r="B4032" t="str">
            <v>GEMILANG</v>
          </cell>
          <cell r="D4032">
            <v>4159800.0000000005</v>
          </cell>
        </row>
        <row r="4033">
          <cell r="A4033" t="str">
            <v>MDN020</v>
          </cell>
          <cell r="B4033" t="str">
            <v>TOKO BINTANG</v>
          </cell>
          <cell r="D4033">
            <v>489954.54545454553</v>
          </cell>
        </row>
        <row r="4034">
          <cell r="A4034" t="str">
            <v>PST028</v>
          </cell>
          <cell r="B4034" t="str">
            <v>TOKO RAFLI</v>
          </cell>
          <cell r="D4034">
            <v>953018.18181818177</v>
          </cell>
        </row>
        <row r="4035">
          <cell r="A4035" t="str">
            <v>PST131</v>
          </cell>
          <cell r="B4035" t="str">
            <v>TOKO ALUNG</v>
          </cell>
          <cell r="D4035">
            <v>1101755.4545454546</v>
          </cell>
        </row>
        <row r="4036">
          <cell r="A4036" t="str">
            <v>PST098</v>
          </cell>
          <cell r="B4036" t="str">
            <v>TAMBUNAN COSMETIC</v>
          </cell>
          <cell r="D4036">
            <v>647726.45454545459</v>
          </cell>
        </row>
        <row r="4037">
          <cell r="A4037" t="str">
            <v>BLG002</v>
          </cell>
          <cell r="B4037" t="str">
            <v>TOKO R.SIANIPAR</v>
          </cell>
          <cell r="D4037">
            <v>960608.86363636353</v>
          </cell>
        </row>
        <row r="4038">
          <cell r="A4038" t="str">
            <v>RPT022</v>
          </cell>
          <cell r="B4038" t="str">
            <v>DEV COSMETICS</v>
          </cell>
          <cell r="D4038">
            <v>4281158.1818181816</v>
          </cell>
        </row>
        <row r="4039">
          <cell r="A4039" t="str">
            <v>PYB007</v>
          </cell>
          <cell r="B4039" t="str">
            <v>THOYYIBAN COSMETIC/BORU HARAHAP</v>
          </cell>
          <cell r="D4039">
            <v>413222.72727272724</v>
          </cell>
        </row>
        <row r="4040">
          <cell r="A4040" t="str">
            <v>PYB006</v>
          </cell>
          <cell r="B4040" t="str">
            <v>FETTI COSMETIC</v>
          </cell>
          <cell r="D4040">
            <v>940899.09090909094</v>
          </cell>
        </row>
        <row r="4041">
          <cell r="A4041" t="str">
            <v>PYB005</v>
          </cell>
          <cell r="B4041" t="str">
            <v>ALFATIH COSMETIC</v>
          </cell>
          <cell r="D4041">
            <v>1777671.5909090918</v>
          </cell>
        </row>
        <row r="4042">
          <cell r="A4042" t="str">
            <v>PSP001</v>
          </cell>
          <cell r="B4042" t="str">
            <v>ACUN</v>
          </cell>
          <cell r="D4042">
            <v>14034681.818181816</v>
          </cell>
        </row>
        <row r="4043">
          <cell r="A4043" t="str">
            <v>PYB001</v>
          </cell>
          <cell r="B4043" t="str">
            <v>TOKO DOLI JAYA</v>
          </cell>
          <cell r="D4043">
            <v>4527465.4545454551</v>
          </cell>
        </row>
        <row r="4044">
          <cell r="A4044" t="str">
            <v>SBG006</v>
          </cell>
          <cell r="B4044" t="str">
            <v>TOKO ABEL</v>
          </cell>
          <cell r="D4044">
            <v>1653886.3636363633</v>
          </cell>
        </row>
        <row r="4045">
          <cell r="A4045" t="str">
            <v>SBG008</v>
          </cell>
          <cell r="B4045" t="str">
            <v>SYIFA</v>
          </cell>
          <cell r="D4045">
            <v>6241655.6818181863</v>
          </cell>
        </row>
        <row r="4046">
          <cell r="A4046" t="str">
            <v>MDN862</v>
          </cell>
          <cell r="B4046" t="str">
            <v>CANTIGI COSMETIC</v>
          </cell>
          <cell r="D4046">
            <v>3600000</v>
          </cell>
        </row>
        <row r="4047">
          <cell r="A4047" t="str">
            <v>PSP032</v>
          </cell>
          <cell r="B4047" t="str">
            <v>ARKANA COSMETIC</v>
          </cell>
          <cell r="D4047">
            <v>391180.68181818182</v>
          </cell>
        </row>
        <row r="4048">
          <cell r="A4048" t="str">
            <v>RPT019</v>
          </cell>
          <cell r="B4048" t="str">
            <v>DIANA PUSPITA</v>
          </cell>
          <cell r="D4048">
            <v>5973439.7727272725</v>
          </cell>
        </row>
        <row r="4049">
          <cell r="A4049" t="str">
            <v>MDN061</v>
          </cell>
          <cell r="B4049" t="str">
            <v>TOKO QUEEN</v>
          </cell>
          <cell r="D4049">
            <v>141600</v>
          </cell>
        </row>
        <row r="4050">
          <cell r="A4050" t="str">
            <v>MDN629</v>
          </cell>
          <cell r="B4050" t="str">
            <v>DIAN COSMETICS</v>
          </cell>
          <cell r="D4050">
            <v>197843.18181818179</v>
          </cell>
        </row>
        <row r="4051">
          <cell r="A4051" t="str">
            <v>PST057</v>
          </cell>
          <cell r="B4051" t="str">
            <v>APOTIK AMIN JAYA</v>
          </cell>
          <cell r="D4051">
            <v>833170.90909090918</v>
          </cell>
        </row>
        <row r="4052">
          <cell r="A4052" t="str">
            <v>MDN816</v>
          </cell>
          <cell r="B4052" t="str">
            <v>APOTIK SURYA FARMA JAYA</v>
          </cell>
          <cell r="D4052">
            <v>402000</v>
          </cell>
        </row>
        <row r="4053">
          <cell r="A4053" t="str">
            <v>BRG027</v>
          </cell>
          <cell r="B4053" t="str">
            <v>KEZIA COSMETIC</v>
          </cell>
          <cell r="D4053">
            <v>955584.54545454553</v>
          </cell>
        </row>
        <row r="4054">
          <cell r="A4054" t="str">
            <v>KBJ005</v>
          </cell>
          <cell r="B4054" t="str">
            <v>RASKITA JAYA</v>
          </cell>
          <cell r="D4054">
            <v>1498247.0454545454</v>
          </cell>
        </row>
        <row r="4055">
          <cell r="A4055" t="str">
            <v>MDN029</v>
          </cell>
          <cell r="B4055" t="str">
            <v>TATA COSMETICS</v>
          </cell>
          <cell r="D4055">
            <v>936129.5454545453</v>
          </cell>
        </row>
        <row r="4056">
          <cell r="A4056" t="str">
            <v>TBT002</v>
          </cell>
          <cell r="B4056" t="str">
            <v>PRIMA SPORT</v>
          </cell>
          <cell r="D4056">
            <v>5526033.2727272734</v>
          </cell>
        </row>
        <row r="4057">
          <cell r="A4057" t="str">
            <v>MDN077</v>
          </cell>
          <cell r="B4057" t="str">
            <v>DUTA COS</v>
          </cell>
          <cell r="D4057">
            <v>227600.00000000003</v>
          </cell>
        </row>
        <row r="4058">
          <cell r="A4058" t="str">
            <v>MDN864</v>
          </cell>
          <cell r="B4058" t="str">
            <v>MONA</v>
          </cell>
          <cell r="D4058">
            <v>18542.045454545456</v>
          </cell>
        </row>
        <row r="4059">
          <cell r="B4059" t="str">
            <v>RAJA TRENDY</v>
          </cell>
          <cell r="D4059">
            <v>2581279.7727272729</v>
          </cell>
        </row>
        <row r="4060">
          <cell r="A4060" t="str">
            <v>MDN865</v>
          </cell>
          <cell r="B4060" t="str">
            <v>CALL GIRLS</v>
          </cell>
          <cell r="D4060">
            <v>2598511.3636363642</v>
          </cell>
        </row>
        <row r="4061">
          <cell r="A4061" t="str">
            <v>STB014</v>
          </cell>
          <cell r="B4061" t="str">
            <v>CANTIKU</v>
          </cell>
          <cell r="D4061">
            <v>724609.09090909082</v>
          </cell>
        </row>
        <row r="4062">
          <cell r="A4062" t="str">
            <v>MDN834</v>
          </cell>
          <cell r="B4062" t="str">
            <v>TOKO OLIN BEAUTY</v>
          </cell>
          <cell r="D4062">
            <v>2580261.8181818184</v>
          </cell>
        </row>
        <row r="4063">
          <cell r="A4063" t="str">
            <v>PST120</v>
          </cell>
          <cell r="B4063" t="str">
            <v>APOTIK BERKAT FARMA 2</v>
          </cell>
          <cell r="D4063">
            <v>-424279.31818181818</v>
          </cell>
        </row>
        <row r="4064">
          <cell r="A4064" t="str">
            <v>MDN065</v>
          </cell>
          <cell r="B4064" t="str">
            <v>HIJAU ALAM JAYA</v>
          </cell>
          <cell r="D4064">
            <v>-25000</v>
          </cell>
        </row>
        <row r="4065">
          <cell r="A4065" t="str">
            <v>LSG013</v>
          </cell>
          <cell r="B4065" t="str">
            <v>TOKO JASA DELIMA</v>
          </cell>
          <cell r="D4065">
            <v>-458631.81818181812</v>
          </cell>
        </row>
        <row r="4066">
          <cell r="A4066" t="str">
            <v>PSP005</v>
          </cell>
          <cell r="B4066" t="str">
            <v>RIZAL LUBIS</v>
          </cell>
          <cell r="D4066">
            <v>-44400.000000000007</v>
          </cell>
        </row>
        <row r="4067">
          <cell r="A4067" t="str">
            <v>KIS007</v>
          </cell>
          <cell r="B4067" t="str">
            <v>APOTIK KASIH</v>
          </cell>
          <cell r="D4067">
            <v>3198987.2727272725</v>
          </cell>
        </row>
        <row r="4068">
          <cell r="A4068" t="str">
            <v>TJB040</v>
          </cell>
          <cell r="B4068" t="str">
            <v>TOKO OBAT ULI BASA</v>
          </cell>
          <cell r="D4068">
            <v>588133.63636363635</v>
          </cell>
        </row>
        <row r="4069">
          <cell r="A4069" t="str">
            <v>TJB025</v>
          </cell>
          <cell r="B4069" t="str">
            <v>TOKO DELTA</v>
          </cell>
          <cell r="D4069">
            <v>2318154.5454545454</v>
          </cell>
        </row>
        <row r="4070">
          <cell r="A4070" t="str">
            <v>KIS023</v>
          </cell>
          <cell r="B4070" t="str">
            <v>DAMAI JAYA</v>
          </cell>
          <cell r="D4070">
            <v>1891771.9318181821</v>
          </cell>
        </row>
        <row r="4071">
          <cell r="A4071" t="str">
            <v>TJB030</v>
          </cell>
          <cell r="B4071" t="str">
            <v>TOKO OBAT EKA</v>
          </cell>
          <cell r="D4071">
            <v>429115.90909090906</v>
          </cell>
        </row>
        <row r="4072">
          <cell r="A4072" t="str">
            <v>TJB045</v>
          </cell>
          <cell r="B4072" t="str">
            <v>SARIBU RAJA JAYA</v>
          </cell>
          <cell r="D4072">
            <v>1089414.5454545454</v>
          </cell>
        </row>
        <row r="4073">
          <cell r="A4073" t="str">
            <v>KIS005</v>
          </cell>
          <cell r="B4073" t="str">
            <v>TOKO OBAT BUNDA BENDANG</v>
          </cell>
          <cell r="D4073">
            <v>494931.81818181818</v>
          </cell>
        </row>
        <row r="4074">
          <cell r="A4074" t="str">
            <v>KIS195</v>
          </cell>
          <cell r="B4074" t="str">
            <v>REZEKI BERSAMA</v>
          </cell>
          <cell r="D4074">
            <v>635727.27272727259</v>
          </cell>
        </row>
        <row r="4075">
          <cell r="A4075" t="str">
            <v>KIS108</v>
          </cell>
          <cell r="B4075" t="str">
            <v>TOKO AY</v>
          </cell>
          <cell r="D4075">
            <v>556261.36363636376</v>
          </cell>
        </row>
        <row r="4076">
          <cell r="A4076" t="str">
            <v>TJB015</v>
          </cell>
          <cell r="B4076" t="str">
            <v>DAILI COSMETIC</v>
          </cell>
          <cell r="D4076">
            <v>5862346.3636363642</v>
          </cell>
        </row>
        <row r="4077">
          <cell r="A4077" t="str">
            <v>KIS115</v>
          </cell>
          <cell r="B4077" t="str">
            <v>WIJAYA</v>
          </cell>
          <cell r="D4077">
            <v>317863.63636363635</v>
          </cell>
        </row>
        <row r="4078">
          <cell r="A4078" t="str">
            <v>KIS184</v>
          </cell>
          <cell r="B4078" t="str">
            <v>FRISKA FARMA</v>
          </cell>
          <cell r="D4078">
            <v>228861.81818181821</v>
          </cell>
        </row>
        <row r="4079">
          <cell r="A4079" t="str">
            <v>KIS092</v>
          </cell>
          <cell r="B4079" t="str">
            <v>HATI HUSADA</v>
          </cell>
          <cell r="D4079">
            <v>451063.63636363635</v>
          </cell>
        </row>
        <row r="4080">
          <cell r="A4080" t="str">
            <v>ARB008</v>
          </cell>
          <cell r="B4080" t="str">
            <v>AGRA MART AIR BATU</v>
          </cell>
          <cell r="D4080">
            <v>207913.09090909094</v>
          </cell>
        </row>
        <row r="4081">
          <cell r="A4081" t="str">
            <v>KIS048</v>
          </cell>
          <cell r="B4081" t="str">
            <v>TOKO YUS AVON</v>
          </cell>
          <cell r="D4081">
            <v>3045373.6363636362</v>
          </cell>
        </row>
        <row r="4082">
          <cell r="A4082" t="str">
            <v>ARB004</v>
          </cell>
          <cell r="B4082" t="str">
            <v>JASA SEHAT</v>
          </cell>
          <cell r="D4082">
            <v>1870891.3636363633</v>
          </cell>
        </row>
        <row r="4083">
          <cell r="A4083" t="str">
            <v>KIS080</v>
          </cell>
          <cell r="B4083" t="str">
            <v>SARIMA</v>
          </cell>
          <cell r="D4083">
            <v>317863.63636363635</v>
          </cell>
        </row>
        <row r="4084">
          <cell r="A4084" t="str">
            <v>KIS104</v>
          </cell>
          <cell r="B4084" t="str">
            <v>SARI</v>
          </cell>
          <cell r="D4084">
            <v>625343.86363636365</v>
          </cell>
        </row>
        <row r="4085">
          <cell r="A4085" t="str">
            <v>KIS109</v>
          </cell>
          <cell r="B4085" t="str">
            <v>EL SADDAY</v>
          </cell>
          <cell r="D4085">
            <v>1188861.8181818179</v>
          </cell>
        </row>
        <row r="4086">
          <cell r="A4086" t="str">
            <v>KIS011</v>
          </cell>
          <cell r="B4086" t="str">
            <v>APOTIK FAMILY TINJAWAN</v>
          </cell>
          <cell r="D4086">
            <v>3829103.1818181816</v>
          </cell>
        </row>
        <row r="4087">
          <cell r="A4087" t="str">
            <v>AKP012</v>
          </cell>
          <cell r="B4087" t="str">
            <v>TOKO HARAPAN</v>
          </cell>
          <cell r="D4087">
            <v>3108385.9090909096</v>
          </cell>
        </row>
        <row r="4088">
          <cell r="A4088" t="str">
            <v>TJB049</v>
          </cell>
          <cell r="B4088" t="str">
            <v>AP CAHAYA FARMA</v>
          </cell>
          <cell r="D4088">
            <v>563678.18181818165</v>
          </cell>
        </row>
        <row r="4089">
          <cell r="A4089" t="str">
            <v>TJB013</v>
          </cell>
          <cell r="B4089" t="str">
            <v>BIDAN SRI RAHAYU</v>
          </cell>
          <cell r="D4089">
            <v>635727.27272727259</v>
          </cell>
        </row>
        <row r="4090">
          <cell r="A4090" t="str">
            <v>TJB052</v>
          </cell>
          <cell r="B4090" t="str">
            <v>AP PELITA JAYA</v>
          </cell>
          <cell r="D4090">
            <v>900040.90909090894</v>
          </cell>
        </row>
        <row r="4091">
          <cell r="A4091" t="str">
            <v>TJB038</v>
          </cell>
          <cell r="B4091" t="str">
            <v>MAKMUR JAYA</v>
          </cell>
          <cell r="D4091">
            <v>3874131.8181818188</v>
          </cell>
        </row>
        <row r="4092">
          <cell r="A4092" t="str">
            <v>KIS188</v>
          </cell>
          <cell r="B4092" t="str">
            <v>INAGU SHOP</v>
          </cell>
          <cell r="D4092">
            <v>5991693.9545454541</v>
          </cell>
        </row>
        <row r="4093">
          <cell r="A4093" t="str">
            <v>KIS197</v>
          </cell>
          <cell r="B4093" t="str">
            <v>TOKO OBAT BERKAH JAYA</v>
          </cell>
          <cell r="D4093">
            <v>123484.09090909091</v>
          </cell>
        </row>
        <row r="4094">
          <cell r="A4094" t="str">
            <v>LPH004</v>
          </cell>
          <cell r="B4094" t="str">
            <v>TOKO LILIS</v>
          </cell>
          <cell r="D4094">
            <v>2551400</v>
          </cell>
        </row>
        <row r="4095">
          <cell r="A4095" t="str">
            <v>KIS070</v>
          </cell>
          <cell r="B4095" t="str">
            <v>TOKO OBAT FAMILY FARMA</v>
          </cell>
          <cell r="D4095">
            <v>4648180.909090912</v>
          </cell>
        </row>
        <row r="4096">
          <cell r="A4096" t="str">
            <v>KIS075</v>
          </cell>
          <cell r="B4096" t="str">
            <v>APOTIK FAMILY</v>
          </cell>
          <cell r="D4096">
            <v>6056245.9090909101</v>
          </cell>
        </row>
        <row r="4097">
          <cell r="A4097" t="str">
            <v>KIS095</v>
          </cell>
          <cell r="B4097" t="str">
            <v>LEDONG TIMUR 88</v>
          </cell>
          <cell r="D4097">
            <v>2097766.8181818179</v>
          </cell>
        </row>
        <row r="4098">
          <cell r="A4098" t="str">
            <v>KIS066</v>
          </cell>
          <cell r="B4098" t="str">
            <v>ANEKA BARU</v>
          </cell>
          <cell r="D4098">
            <v>18465930</v>
          </cell>
        </row>
        <row r="4099">
          <cell r="A4099" t="str">
            <v>AIJ004</v>
          </cell>
          <cell r="B4099" t="str">
            <v>TO KITA</v>
          </cell>
          <cell r="D4099">
            <v>233200.00000000003</v>
          </cell>
        </row>
        <row r="4100">
          <cell r="A4100" t="str">
            <v>SPG001</v>
          </cell>
          <cell r="B4100" t="str">
            <v>APOTIK COMBY JAYA FARMA</v>
          </cell>
          <cell r="D4100">
            <v>-63572.727272727279</v>
          </cell>
        </row>
        <row r="4101">
          <cell r="A4101" t="str">
            <v>PRJ002</v>
          </cell>
          <cell r="B4101" t="str">
            <v>APOTIK SEMPURNA</v>
          </cell>
          <cell r="D4101">
            <v>-704597.72727272741</v>
          </cell>
        </row>
        <row r="4102">
          <cell r="A4102" t="str">
            <v>M043</v>
          </cell>
          <cell r="B4102" t="str">
            <v>PT. CAESAR JAYA NATUNA</v>
          </cell>
          <cell r="D4102">
            <v>1620075</v>
          </cell>
        </row>
        <row r="4103">
          <cell r="A4103" t="str">
            <v>A433</v>
          </cell>
          <cell r="B4103" t="str">
            <v>ANEKA BARU / PHANG KHIAN KHUN</v>
          </cell>
          <cell r="D4103">
            <v>266400.00000000006</v>
          </cell>
        </row>
        <row r="4104">
          <cell r="A4104" t="str">
            <v>P085</v>
          </cell>
          <cell r="B4104" t="str">
            <v>PALA / JAMILAH</v>
          </cell>
          <cell r="D4104">
            <v>61806.818181818177</v>
          </cell>
        </row>
        <row r="4105">
          <cell r="A4105" t="str">
            <v>S095</v>
          </cell>
          <cell r="B4105" t="str">
            <v>SUDIRO</v>
          </cell>
          <cell r="D4105">
            <v>253142.04545454547</v>
          </cell>
        </row>
        <row r="4106">
          <cell r="A4106" t="str">
            <v>B063</v>
          </cell>
          <cell r="B4106" t="str">
            <v>BUDI</v>
          </cell>
          <cell r="D4106">
            <v>296084.09090909094</v>
          </cell>
        </row>
        <row r="4107">
          <cell r="A4107" t="str">
            <v>T204</v>
          </cell>
          <cell r="B4107" t="str">
            <v>TOKO HAPPY / RUDI</v>
          </cell>
          <cell r="D4107">
            <v>75300</v>
          </cell>
        </row>
        <row r="4108">
          <cell r="A4108" t="str">
            <v>P218</v>
          </cell>
          <cell r="B4108" t="str">
            <v>PT. ANEKA ANUGERAH AMANAH</v>
          </cell>
          <cell r="D4108">
            <v>476795.45454545453</v>
          </cell>
        </row>
        <row r="4109">
          <cell r="A4109" t="str">
            <v>G014</v>
          </cell>
          <cell r="B4109" t="str">
            <v>GRAHA FARMA / MERRY</v>
          </cell>
          <cell r="D4109">
            <v>3796199.9999999991</v>
          </cell>
        </row>
        <row r="4110">
          <cell r="A4110" t="str">
            <v>A496</v>
          </cell>
          <cell r="B4110" t="str">
            <v>ANEKA BEAUTY SHOP / JONI CANDRA</v>
          </cell>
          <cell r="D4110">
            <v>4120523.7272727285</v>
          </cell>
        </row>
        <row r="4111">
          <cell r="A4111" t="str">
            <v>M143</v>
          </cell>
          <cell r="B4111" t="str">
            <v>MARLINA / MAULANA AKSHAN</v>
          </cell>
          <cell r="D4111">
            <v>37084.090909090912</v>
          </cell>
        </row>
        <row r="4112">
          <cell r="A4112" t="str">
            <v>M152</v>
          </cell>
          <cell r="B4112" t="str">
            <v>MAK LONG / RUZITA</v>
          </cell>
          <cell r="D4112">
            <v>244253.18181818179</v>
          </cell>
        </row>
        <row r="4113">
          <cell r="A4113" t="str">
            <v>T265</v>
          </cell>
          <cell r="B4113" t="str">
            <v>TOKO ASA MANDIRI / MURWIYANTI</v>
          </cell>
          <cell r="D4113">
            <v>18542.045454545456</v>
          </cell>
        </row>
        <row r="4114">
          <cell r="A4114" t="str">
            <v>A422</v>
          </cell>
          <cell r="B4114" t="str">
            <v>ANEKA  / JONI CANDRA</v>
          </cell>
          <cell r="D4114">
            <v>-99900</v>
          </cell>
        </row>
        <row r="4115">
          <cell r="A4115" t="str">
            <v>P133</v>
          </cell>
          <cell r="B4115" t="str">
            <v>ISANA RETAIL INDONESIA</v>
          </cell>
          <cell r="D4115">
            <v>148336.36363636365</v>
          </cell>
        </row>
        <row r="4116">
          <cell r="A4116" t="str">
            <v>H033</v>
          </cell>
          <cell r="B4116" t="str">
            <v>HW / ASMADI</v>
          </cell>
          <cell r="D4116">
            <v>111252.27272727275</v>
          </cell>
        </row>
        <row r="4117">
          <cell r="A4117" t="str">
            <v>C050</v>
          </cell>
          <cell r="B4117" t="str">
            <v>LIMAN FAMILY</v>
          </cell>
          <cell r="D4117">
            <v>932112</v>
          </cell>
        </row>
        <row r="4118">
          <cell r="A4118" t="str">
            <v>W068</v>
          </cell>
          <cell r="B4118" t="str">
            <v>WARUNG MIMI / MINARSIH</v>
          </cell>
          <cell r="D4118">
            <v>303325.90909090912</v>
          </cell>
        </row>
        <row r="4119">
          <cell r="A4119" t="str">
            <v>H003</v>
          </cell>
          <cell r="B4119" t="str">
            <v>H2 MM ASIA / JALI</v>
          </cell>
          <cell r="D4119">
            <v>103684.09090909091</v>
          </cell>
        </row>
        <row r="4120">
          <cell r="A4120" t="str">
            <v>K021</v>
          </cell>
          <cell r="B4120" t="str">
            <v>KATIMIN</v>
          </cell>
          <cell r="D4120">
            <v>1341319.9090909092</v>
          </cell>
        </row>
        <row r="4121">
          <cell r="A4121" t="str">
            <v>S098</v>
          </cell>
          <cell r="B4121" t="str">
            <v>SEDERHANA / JIOE MENG</v>
          </cell>
          <cell r="D4121">
            <v>252000</v>
          </cell>
        </row>
        <row r="4122">
          <cell r="A4122" t="str">
            <v>R217</v>
          </cell>
          <cell r="B4122" t="str">
            <v>RUDI KM 42 / JONG DJU</v>
          </cell>
          <cell r="D4122">
            <v>46900</v>
          </cell>
        </row>
        <row r="4123">
          <cell r="A4123" t="str">
            <v>B098</v>
          </cell>
          <cell r="B4123" t="str">
            <v>BEAUTIFUL / A NIE</v>
          </cell>
          <cell r="D4123">
            <v>79465.909090909088</v>
          </cell>
        </row>
        <row r="4124">
          <cell r="A4124" t="str">
            <v>S250</v>
          </cell>
          <cell r="B4124" t="str">
            <v>SIMPANG 3 MART / REZKI NUR FADILA</v>
          </cell>
          <cell r="D4124">
            <v>772409.72727272729</v>
          </cell>
        </row>
        <row r="4125">
          <cell r="A4125" t="str">
            <v>F007</v>
          </cell>
          <cell r="B4125" t="str">
            <v>FOENG NJAN</v>
          </cell>
          <cell r="D4125">
            <v>667400</v>
          </cell>
        </row>
        <row r="4126">
          <cell r="A4126" t="str">
            <v>J111</v>
          </cell>
          <cell r="B4126" t="str">
            <v>JEMAJA MART / ANGGI MAHARDHIKA PUTERI SINAGA</v>
          </cell>
          <cell r="D4126">
            <v>602995.90909090906</v>
          </cell>
        </row>
        <row r="4127">
          <cell r="A4127" t="str">
            <v>S218</v>
          </cell>
          <cell r="B4127" t="str">
            <v>SINAR ABADI / RAMLI</v>
          </cell>
          <cell r="D4127">
            <v>63000</v>
          </cell>
        </row>
        <row r="4128">
          <cell r="A4128" t="str">
            <v>A336</v>
          </cell>
          <cell r="B4128" t="str">
            <v>ASENG ( BT 39 ) / HENDRO</v>
          </cell>
          <cell r="D4128">
            <v>825818.18181818177</v>
          </cell>
        </row>
        <row r="4129">
          <cell r="A4129">
            <v>14</v>
          </cell>
          <cell r="B4129" t="str">
            <v>DEMA MART</v>
          </cell>
          <cell r="D4129">
            <v>333000</v>
          </cell>
        </row>
        <row r="4130">
          <cell r="A4130">
            <v>254</v>
          </cell>
          <cell r="B4130" t="str">
            <v>ADELIN</v>
          </cell>
          <cell r="D4130">
            <v>528204.54545454553</v>
          </cell>
        </row>
        <row r="4131">
          <cell r="A4131">
            <v>132</v>
          </cell>
          <cell r="B4131" t="str">
            <v>JIWA COSMETIC</v>
          </cell>
          <cell r="D4131">
            <v>450000</v>
          </cell>
        </row>
        <row r="4132">
          <cell r="A4132">
            <v>249</v>
          </cell>
          <cell r="B4132" t="str">
            <v>HYZA</v>
          </cell>
          <cell r="D4132">
            <v>288000</v>
          </cell>
        </row>
        <row r="4133">
          <cell r="A4133">
            <v>137</v>
          </cell>
          <cell r="B4133" t="str">
            <v>MUSBAR</v>
          </cell>
          <cell r="D4133">
            <v>4965085</v>
          </cell>
        </row>
        <row r="4134">
          <cell r="A4134">
            <v>42</v>
          </cell>
          <cell r="B4134" t="str">
            <v>ARIANTO</v>
          </cell>
          <cell r="D4134">
            <v>242931.81818181815</v>
          </cell>
        </row>
        <row r="4135">
          <cell r="A4135">
            <v>171</v>
          </cell>
          <cell r="B4135" t="str">
            <v>ADIVA</v>
          </cell>
          <cell r="D4135">
            <v>33300.000000000007</v>
          </cell>
        </row>
        <row r="4136">
          <cell r="A4136">
            <v>8</v>
          </cell>
          <cell r="B4136" t="str">
            <v>PRIMA</v>
          </cell>
          <cell r="D4136">
            <v>175200</v>
          </cell>
        </row>
        <row r="4137">
          <cell r="A4137">
            <v>298</v>
          </cell>
          <cell r="B4137" t="str">
            <v xml:space="preserve">DESY </v>
          </cell>
          <cell r="D4137">
            <v>78900</v>
          </cell>
        </row>
        <row r="4138">
          <cell r="A4138">
            <v>26</v>
          </cell>
          <cell r="B4138" t="str">
            <v>CV. ARVIZA PUTRA MAKMUR</v>
          </cell>
          <cell r="D4138">
            <v>1387998.4090909092</v>
          </cell>
        </row>
        <row r="4139">
          <cell r="A4139">
            <v>90</v>
          </cell>
          <cell r="B4139" t="str">
            <v>PT. PUNCAK JAYA LESTARI</v>
          </cell>
          <cell r="D4139">
            <v>2400330.4090909092</v>
          </cell>
        </row>
        <row r="4140">
          <cell r="A4140">
            <v>140</v>
          </cell>
          <cell r="B4140" t="str">
            <v>CV.LBC DUNIA SEHAT</v>
          </cell>
          <cell r="D4140">
            <v>168000</v>
          </cell>
        </row>
        <row r="4141">
          <cell r="A4141" t="str">
            <v>JMB01334</v>
          </cell>
          <cell r="B4141" t="str">
            <v>GLAM GLOW SINGKUT - JAMBI</v>
          </cell>
          <cell r="D4141">
            <v>3002999.9999999995</v>
          </cell>
        </row>
        <row r="4142">
          <cell r="A4142" t="str">
            <v>JMB00890</v>
          </cell>
          <cell r="B4142" t="str">
            <v>TOKO YANTO - JAMBI</v>
          </cell>
          <cell r="D4142">
            <v>148336.36363636365</v>
          </cell>
        </row>
        <row r="4143">
          <cell r="A4143" t="str">
            <v>JMB01482</v>
          </cell>
          <cell r="B4143" t="str">
            <v>TOKO MAR AND TEEN BEAUTY STORE-JAMBI</v>
          </cell>
          <cell r="D4143">
            <v>1905947.7272727273</v>
          </cell>
        </row>
        <row r="4144">
          <cell r="A4144" t="str">
            <v>JMB00132</v>
          </cell>
          <cell r="B4144" t="str">
            <v>TOKO RK GALLERY HIJAB - JAMBI</v>
          </cell>
          <cell r="D4144">
            <v>-9394913.8636363577</v>
          </cell>
        </row>
        <row r="4145">
          <cell r="A4145" t="str">
            <v>JMB01529</v>
          </cell>
          <cell r="B4145" t="str">
            <v>AA STORE KERINCI - JAMBI</v>
          </cell>
          <cell r="D4145">
            <v>1933097.7272727278</v>
          </cell>
        </row>
        <row r="4146">
          <cell r="A4146" t="str">
            <v>JMB00405</v>
          </cell>
          <cell r="B4146" t="str">
            <v>MM.ANGKASA-JAMBI</v>
          </cell>
          <cell r="D4146">
            <v>196015.90909090909</v>
          </cell>
        </row>
        <row r="4147">
          <cell r="A4147" t="str">
            <v>JMB00769</v>
          </cell>
          <cell r="B4147" t="str">
            <v>CFD BEAUTY BANGKO-JAMBI</v>
          </cell>
          <cell r="D4147">
            <v>1690684.0909090911</v>
          </cell>
        </row>
        <row r="4148">
          <cell r="A4148" t="str">
            <v>JMB00939</v>
          </cell>
          <cell r="B4148" t="str">
            <v>TOKO WHATIE STORE KERINCI - JAMBI</v>
          </cell>
          <cell r="D4148">
            <v>1499224.9999999998</v>
          </cell>
        </row>
        <row r="4149">
          <cell r="A4149" t="str">
            <v>JMB00499</v>
          </cell>
          <cell r="B4149" t="str">
            <v>MM.MAHKOTA SABAK-JAMBI</v>
          </cell>
          <cell r="D4149">
            <v>676221.95454545447</v>
          </cell>
        </row>
        <row r="4150">
          <cell r="A4150" t="str">
            <v>JMB00290</v>
          </cell>
          <cell r="B4150" t="str">
            <v>TOKO DUA PUTRI SABAK-JAMBI</v>
          </cell>
          <cell r="D4150">
            <v>-106060.5</v>
          </cell>
        </row>
        <row r="4151">
          <cell r="A4151" t="str">
            <v>JMB01146</v>
          </cell>
          <cell r="B4151" t="str">
            <v>MBAK SRY SAROLANGUN-JAMBI</v>
          </cell>
          <cell r="D4151">
            <v>1860272.7272727273</v>
          </cell>
        </row>
        <row r="4152">
          <cell r="A4152" t="str">
            <v>JMB00332</v>
          </cell>
          <cell r="B4152" t="str">
            <v>TOKO LING LING - JAMBI</v>
          </cell>
          <cell r="D4152">
            <v>317863.63636363635</v>
          </cell>
        </row>
        <row r="4153">
          <cell r="A4153" t="str">
            <v>JMB01116</v>
          </cell>
          <cell r="B4153" t="str">
            <v>TOKO HENDRI SABAK-JAMBI</v>
          </cell>
          <cell r="D4153">
            <v>635727.27272727271</v>
          </cell>
        </row>
        <row r="4154">
          <cell r="A4154" t="str">
            <v>JMB01213</v>
          </cell>
          <cell r="B4154" t="str">
            <v>TOKO SUMBER BARU - JAMBI</v>
          </cell>
          <cell r="D4154">
            <v>37786538.181818187</v>
          </cell>
        </row>
        <row r="4155">
          <cell r="A4155" t="str">
            <v>JMB00333</v>
          </cell>
          <cell r="B4155" t="str">
            <v>ANDI CANVAS-JAMBI</v>
          </cell>
          <cell r="D4155">
            <v>11443090.909090908</v>
          </cell>
        </row>
        <row r="4156">
          <cell r="A4156" t="str">
            <v>JMB00350</v>
          </cell>
          <cell r="B4156" t="str">
            <v>ANEKA TUNGKAL-JAMBI</v>
          </cell>
          <cell r="D4156">
            <v>3636359.9999999991</v>
          </cell>
        </row>
        <row r="4157">
          <cell r="A4157" t="str">
            <v>JMB01231</v>
          </cell>
          <cell r="B4157" t="str">
            <v>TOKO NIDAR - JAMBI</v>
          </cell>
          <cell r="D4157">
            <v>158931.81818181818</v>
          </cell>
        </row>
        <row r="4158">
          <cell r="A4158" t="str">
            <v>JMB00990</v>
          </cell>
          <cell r="B4158" t="str">
            <v>TOKO ALDO CANVAS-JAMBI</v>
          </cell>
          <cell r="D4158">
            <v>-742211.59090909094</v>
          </cell>
        </row>
        <row r="4159">
          <cell r="A4159" t="str">
            <v>JMB00530</v>
          </cell>
          <cell r="B4159" t="str">
            <v>S MART 1 TUNGKAL - JAMBI</v>
          </cell>
          <cell r="D4159">
            <v>-14833.636363636366</v>
          </cell>
        </row>
        <row r="4160">
          <cell r="A4160" t="str">
            <v>JMB00076</v>
          </cell>
          <cell r="B4160" t="str">
            <v>APT.CAHAYA BENGKAL - JAMBI</v>
          </cell>
          <cell r="D4160">
            <v>6351935.454545456</v>
          </cell>
        </row>
        <row r="4161">
          <cell r="A4161" t="str">
            <v>JMB00534</v>
          </cell>
          <cell r="B4161" t="str">
            <v>VAGANZA MART DHARMASRAYA - JAMBI</v>
          </cell>
          <cell r="D4161">
            <v>1818179.9999999995</v>
          </cell>
        </row>
        <row r="4162">
          <cell r="A4162" t="str">
            <v>JMB00399</v>
          </cell>
          <cell r="B4162" t="str">
            <v>BAROKAH MART - JAMBI</v>
          </cell>
          <cell r="D4162">
            <v>1218098.8636363635</v>
          </cell>
        </row>
        <row r="4163">
          <cell r="A4163" t="str">
            <v>JMB00436</v>
          </cell>
          <cell r="B4163" t="str">
            <v>MM.SURYA-JMB</v>
          </cell>
          <cell r="D4163">
            <v>244452.27272727276</v>
          </cell>
        </row>
        <row r="4164">
          <cell r="A4164" t="str">
            <v>JMB00171</v>
          </cell>
          <cell r="B4164" t="str">
            <v>CV. MELATI AMANAH BERKAH-JAMBI</v>
          </cell>
          <cell r="D4164">
            <v>4152272.7272727261</v>
          </cell>
        </row>
        <row r="4165">
          <cell r="A4165" t="str">
            <v>JMB00083</v>
          </cell>
          <cell r="B4165" t="str">
            <v>APT.KHARISMA TUNGKAL - JAMBI</v>
          </cell>
          <cell r="D4165">
            <v>2933406.8181818179</v>
          </cell>
        </row>
        <row r="4166">
          <cell r="A4166" t="str">
            <v>JMB01336</v>
          </cell>
          <cell r="B4166" t="str">
            <v>TOKO MINISHOP ICAAPOI KERINCI - JAMBI</v>
          </cell>
          <cell r="D4166">
            <v>4316923.6363636367</v>
          </cell>
        </row>
        <row r="4167">
          <cell r="A4167" t="str">
            <v>JMB00024</v>
          </cell>
          <cell r="B4167" t="str">
            <v>DO.KARUNIA MERSAM-JAMBI</v>
          </cell>
          <cell r="D4167">
            <v>3025532.0454545449</v>
          </cell>
        </row>
        <row r="4168">
          <cell r="A4168" t="str">
            <v>JMB00131</v>
          </cell>
          <cell r="B4168" t="str">
            <v>TOKO 6666 ACC - JAMBI</v>
          </cell>
          <cell r="D4168">
            <v>6835896.8181818193</v>
          </cell>
        </row>
        <row r="4169">
          <cell r="A4169" t="str">
            <v>JMB01194</v>
          </cell>
          <cell r="B4169" t="str">
            <v>TOKO REYHAN SINGKUT-JAMBI</v>
          </cell>
          <cell r="D4169">
            <v>1663690.9090909089</v>
          </cell>
        </row>
        <row r="4170">
          <cell r="A4170" t="str">
            <v>JMB01271</v>
          </cell>
          <cell r="B4170" t="str">
            <v>TOKO FERIN HIJAB &amp; FASHION - JAMBI</v>
          </cell>
          <cell r="D4170">
            <v>6765129.5454545487</v>
          </cell>
        </row>
        <row r="4171">
          <cell r="A4171" t="str">
            <v>JMB01500</v>
          </cell>
          <cell r="B4171" t="str">
            <v>TOKO DINI BULIAN-JAMBI</v>
          </cell>
          <cell r="D4171">
            <v>226800</v>
          </cell>
        </row>
        <row r="4172">
          <cell r="A4172" t="str">
            <v>JMB00529</v>
          </cell>
          <cell r="B4172" t="str">
            <v>ZONA MART TUNGKAL - JAMBI</v>
          </cell>
          <cell r="D4172">
            <v>842338.63636363624</v>
          </cell>
        </row>
        <row r="4173">
          <cell r="A4173" t="str">
            <v>JMB01164</v>
          </cell>
          <cell r="B4173" t="str">
            <v>GLAM GLOW SAROLANGUN - JAMBI</v>
          </cell>
          <cell r="D4173">
            <v>7364381.3636363642</v>
          </cell>
        </row>
        <row r="4174">
          <cell r="A4174" t="str">
            <v>JMB01145</v>
          </cell>
          <cell r="B4174" t="str">
            <v>TOKO DANAU INDAH I SAROLANGUN-JAMBI</v>
          </cell>
          <cell r="D4174">
            <v>2361125.4545454546</v>
          </cell>
        </row>
        <row r="4175">
          <cell r="A4175" t="str">
            <v>JMB00064</v>
          </cell>
          <cell r="B4175" t="str">
            <v>APT.MARANATHA SAROLANGUN - JAMBI</v>
          </cell>
          <cell r="D4175">
            <v>1258351.3636363635</v>
          </cell>
        </row>
        <row r="4176">
          <cell r="A4176" t="str">
            <v>JMB00041</v>
          </cell>
          <cell r="B4176" t="str">
            <v>DO.GIRA MERLUNG - JAMBI</v>
          </cell>
          <cell r="D4176">
            <v>1126663.6363636365</v>
          </cell>
        </row>
        <row r="4177">
          <cell r="A4177" t="str">
            <v>JMB01662</v>
          </cell>
          <cell r="B4177" t="str">
            <v>TOKO KURINJI BEAUTY STORE - JAMBI</v>
          </cell>
          <cell r="D4177">
            <v>11356342.636363637</v>
          </cell>
        </row>
        <row r="4178">
          <cell r="A4178" t="str">
            <v>JMB01614</v>
          </cell>
          <cell r="B4178" t="str">
            <v>TOKO JAUZA KOSMETIK KERINCI - JAMBI</v>
          </cell>
          <cell r="D4178">
            <v>532800.00000000012</v>
          </cell>
        </row>
        <row r="4179">
          <cell r="A4179" t="str">
            <v>JMB00531</v>
          </cell>
          <cell r="B4179" t="str">
            <v>S MART 2 TUNGKAL - JAMBI</v>
          </cell>
          <cell r="D4179">
            <v>-1308235.9090909092</v>
          </cell>
        </row>
        <row r="4180">
          <cell r="A4180" t="str">
            <v>JMB00808</v>
          </cell>
          <cell r="B4180" t="str">
            <v>MM.RIDHO BULIAN - JAMBI</v>
          </cell>
          <cell r="D4180">
            <v>-219325.90909090912</v>
          </cell>
        </row>
        <row r="4181">
          <cell r="A4181" t="str">
            <v>JMB00419</v>
          </cell>
          <cell r="B4181" t="str">
            <v>ANDES MART TEMBESI-JAMBI</v>
          </cell>
          <cell r="D4181">
            <v>-22780.227272727272</v>
          </cell>
        </row>
        <row r="4182">
          <cell r="A4182" t="str">
            <v>P020</v>
          </cell>
          <cell r="B4182" t="str">
            <v>PT.SAGA SURYA KENCANA</v>
          </cell>
          <cell r="D4182">
            <v>6374265.5454545459</v>
          </cell>
        </row>
        <row r="4183">
          <cell r="A4183" t="str">
            <v>N001</v>
          </cell>
          <cell r="B4183" t="str">
            <v>NADIA MART</v>
          </cell>
          <cell r="D4183">
            <v>189143.18181818179</v>
          </cell>
        </row>
        <row r="4184">
          <cell r="A4184" t="str">
            <v>T030</v>
          </cell>
          <cell r="B4184" t="str">
            <v>TOKO ARA</v>
          </cell>
          <cell r="D4184">
            <v>1936397.7272727273</v>
          </cell>
        </row>
        <row r="4185">
          <cell r="A4185" t="str">
            <v>Q002</v>
          </cell>
          <cell r="B4185" t="str">
            <v>QUEEN GALERY SHOP</v>
          </cell>
          <cell r="D4185">
            <v>11567007.727272732</v>
          </cell>
        </row>
        <row r="4186">
          <cell r="A4186" t="str">
            <v>N033</v>
          </cell>
          <cell r="B4186" t="str">
            <v>NOVA MART SOLOK</v>
          </cell>
          <cell r="D4186">
            <v>1488907.6363636365</v>
          </cell>
        </row>
        <row r="4187">
          <cell r="A4187" t="str">
            <v>C027</v>
          </cell>
          <cell r="B4187" t="str">
            <v>CV.X-MART RETAIL INDONESIA UK</v>
          </cell>
          <cell r="D4187">
            <v>228483.40909090912</v>
          </cell>
        </row>
        <row r="4188">
          <cell r="A4188" t="str">
            <v>B002</v>
          </cell>
          <cell r="B4188" t="str">
            <v>BAKRI</v>
          </cell>
          <cell r="D4188">
            <v>4428244.7727272725</v>
          </cell>
        </row>
        <row r="4189">
          <cell r="A4189" t="str">
            <v>A082</v>
          </cell>
          <cell r="B4189" t="str">
            <v>ARDAN SOLOK</v>
          </cell>
          <cell r="D4189">
            <v>200284.36363636365</v>
          </cell>
        </row>
        <row r="4190">
          <cell r="A4190" t="str">
            <v>B051</v>
          </cell>
          <cell r="B4190" t="str">
            <v>BERSAUDARA</v>
          </cell>
          <cell r="D4190">
            <v>1919738.4545454546</v>
          </cell>
        </row>
        <row r="4191">
          <cell r="A4191" t="str">
            <v>M086</v>
          </cell>
          <cell r="B4191" t="str">
            <v>MINDA COSMETIK</v>
          </cell>
          <cell r="D4191">
            <v>1154634.5454545454</v>
          </cell>
        </row>
        <row r="4192">
          <cell r="A4192" t="str">
            <v>S042</v>
          </cell>
          <cell r="B4192" t="str">
            <v>SAFITRI</v>
          </cell>
          <cell r="D4192">
            <v>535431.81818181812</v>
          </cell>
        </row>
        <row r="4193">
          <cell r="A4193" t="str">
            <v>C041</v>
          </cell>
          <cell r="B4193" t="str">
            <v>CAHAYA MART PYK</v>
          </cell>
          <cell r="D4193">
            <v>317863.63636363635</v>
          </cell>
        </row>
        <row r="4194">
          <cell r="A4194" t="str">
            <v>D012</v>
          </cell>
          <cell r="B4194" t="str">
            <v>DEDE SETIA MART</v>
          </cell>
          <cell r="D4194">
            <v>2660916.8181818193</v>
          </cell>
        </row>
        <row r="4195">
          <cell r="A4195" t="str">
            <v>N027</v>
          </cell>
          <cell r="B4195" t="str">
            <v>NIAGA MM</v>
          </cell>
          <cell r="D4195">
            <v>621756.36363636353</v>
          </cell>
        </row>
        <row r="4196">
          <cell r="A4196" t="str">
            <v>S039</v>
          </cell>
          <cell r="B4196" t="str">
            <v>SHAFA MART PYK</v>
          </cell>
          <cell r="D4196">
            <v>739411.36363636353</v>
          </cell>
        </row>
        <row r="4197">
          <cell r="A4197" t="str">
            <v>A124</v>
          </cell>
          <cell r="B4197" t="str">
            <v>ALYA SHOP</v>
          </cell>
          <cell r="D4197">
            <v>2455766.3636363638</v>
          </cell>
        </row>
        <row r="4198">
          <cell r="A4198" t="str">
            <v>T042</v>
          </cell>
          <cell r="B4198" t="str">
            <v>TOKO ASA KOSMETIK</v>
          </cell>
          <cell r="D4198">
            <v>2154252.2727272734</v>
          </cell>
        </row>
        <row r="4199">
          <cell r="A4199" t="str">
            <v>B013</v>
          </cell>
          <cell r="B4199" t="str">
            <v>BINTANG KEMBAR PATI</v>
          </cell>
          <cell r="D4199">
            <v>1804970.4545454548</v>
          </cell>
        </row>
        <row r="4200">
          <cell r="A4200" t="str">
            <v>T039</v>
          </cell>
          <cell r="B4200" t="str">
            <v>TOSERBA MIRA</v>
          </cell>
          <cell r="D4200">
            <v>233057.04545454541</v>
          </cell>
        </row>
        <row r="4201">
          <cell r="A4201" t="str">
            <v>S025</v>
          </cell>
          <cell r="B4201" t="str">
            <v>SUCI COSMETIC</v>
          </cell>
          <cell r="D4201">
            <v>768927.27272727271</v>
          </cell>
        </row>
        <row r="4202">
          <cell r="A4202" t="str">
            <v>D058</v>
          </cell>
          <cell r="B4202" t="str">
            <v>DATUAK MART</v>
          </cell>
          <cell r="D4202">
            <v>1535515.9090909092</v>
          </cell>
        </row>
        <row r="4203">
          <cell r="A4203" t="str">
            <v>M023</v>
          </cell>
          <cell r="B4203" t="str">
            <v>MINI FERI</v>
          </cell>
          <cell r="D4203">
            <v>5304721.3636363642</v>
          </cell>
        </row>
        <row r="4204">
          <cell r="A4204" t="str">
            <v>N010</v>
          </cell>
          <cell r="B4204" t="str">
            <v>NERACA</v>
          </cell>
          <cell r="D4204">
            <v>3173889.3181818188</v>
          </cell>
        </row>
        <row r="4205">
          <cell r="A4205" t="str">
            <v>K043</v>
          </cell>
          <cell r="B4205" t="str">
            <v>KADAI MART</v>
          </cell>
          <cell r="D4205">
            <v>1568427.9545454548</v>
          </cell>
        </row>
        <row r="4206">
          <cell r="A4206" t="str">
            <v>M091</v>
          </cell>
          <cell r="B4206" t="str">
            <v>MISS CLASS PSM</v>
          </cell>
          <cell r="D4206">
            <v>4625178.0909090918</v>
          </cell>
        </row>
        <row r="4207">
          <cell r="A4207" t="str">
            <v>R036</v>
          </cell>
          <cell r="B4207" t="str">
            <v>RAHMA SHOP</v>
          </cell>
          <cell r="D4207">
            <v>1471962.2727272727</v>
          </cell>
        </row>
        <row r="4208">
          <cell r="A4208" t="str">
            <v>A003</v>
          </cell>
          <cell r="B4208" t="str">
            <v>AB MART</v>
          </cell>
          <cell r="D4208">
            <v>2091389.7272727271</v>
          </cell>
        </row>
        <row r="4209">
          <cell r="A4209" t="str">
            <v>H043</v>
          </cell>
          <cell r="B4209" t="str">
            <v>HAYYU BEAUTY STORE 2</v>
          </cell>
          <cell r="D4209">
            <v>4041049.0909090908</v>
          </cell>
        </row>
        <row r="4210">
          <cell r="A4210" t="str">
            <v>G008</v>
          </cell>
          <cell r="B4210" t="str">
            <v>GHANNY</v>
          </cell>
          <cell r="D4210">
            <v>13041613.636363644</v>
          </cell>
        </row>
        <row r="4211">
          <cell r="A4211" t="str">
            <v>A146</v>
          </cell>
          <cell r="B4211" t="str">
            <v>AISYAH MART</v>
          </cell>
          <cell r="D4211">
            <v>579599.99999999988</v>
          </cell>
        </row>
        <row r="4212">
          <cell r="A4212" t="str">
            <v>N009</v>
          </cell>
          <cell r="B4212" t="str">
            <v>NAZAKE</v>
          </cell>
          <cell r="D4212">
            <v>816995.45454545435</v>
          </cell>
        </row>
        <row r="4213">
          <cell r="A4213" t="str">
            <v>D045</v>
          </cell>
          <cell r="B4213" t="str">
            <v>DIVA MM PSM 2</v>
          </cell>
          <cell r="D4213">
            <v>2043617.7272727282</v>
          </cell>
        </row>
        <row r="4214">
          <cell r="A4214" t="str">
            <v>D042</v>
          </cell>
          <cell r="B4214" t="str">
            <v>DEDI U.GADING</v>
          </cell>
          <cell r="D4214">
            <v>2859583.6363636367</v>
          </cell>
        </row>
        <row r="4215">
          <cell r="A4215" t="str">
            <v>M060</v>
          </cell>
          <cell r="B4215" t="str">
            <v>MAHKOTA PASAMAN</v>
          </cell>
          <cell r="D4215">
            <v>1729599.5454545456</v>
          </cell>
        </row>
        <row r="4216">
          <cell r="A4216" t="str">
            <v>M087</v>
          </cell>
          <cell r="B4216" t="str">
            <v>MM SEPAKAT</v>
          </cell>
          <cell r="D4216">
            <v>185420.45454545453</v>
          </cell>
        </row>
        <row r="4217">
          <cell r="A4217" t="str">
            <v>R013</v>
          </cell>
          <cell r="B4217" t="str">
            <v>RAWIT II</v>
          </cell>
          <cell r="D4217">
            <v>443137.22727272724</v>
          </cell>
        </row>
        <row r="4218">
          <cell r="A4218" t="str">
            <v>K033</v>
          </cell>
          <cell r="B4218" t="str">
            <v>KHANZA BEAUTY</v>
          </cell>
          <cell r="D4218">
            <v>7628727.2727272725</v>
          </cell>
        </row>
        <row r="4219">
          <cell r="A4219" t="str">
            <v>W010</v>
          </cell>
          <cell r="B4219" t="str">
            <v>WARZUQNI</v>
          </cell>
          <cell r="D4219">
            <v>8732117.0454545487</v>
          </cell>
        </row>
        <row r="4220">
          <cell r="A4220" t="str">
            <v>N019</v>
          </cell>
          <cell r="B4220" t="str">
            <v>NN MART</v>
          </cell>
          <cell r="D4220">
            <v>185420.45454545456</v>
          </cell>
        </row>
        <row r="4221">
          <cell r="A4221" t="str">
            <v>I005</v>
          </cell>
          <cell r="B4221" t="str">
            <v>INTAN COST</v>
          </cell>
          <cell r="D4221">
            <v>11778137.727272727</v>
          </cell>
        </row>
        <row r="4222">
          <cell r="A4222" t="str">
            <v>R058</v>
          </cell>
          <cell r="B4222" t="str">
            <v>RIZKY KAMBANG</v>
          </cell>
          <cell r="D4222">
            <v>635727.27272727259</v>
          </cell>
        </row>
        <row r="4223">
          <cell r="A4223" t="str">
            <v>B019</v>
          </cell>
          <cell r="B4223" t="str">
            <v>BUDI AYU II/WAL</v>
          </cell>
          <cell r="D4223">
            <v>6787145.4545454532</v>
          </cell>
        </row>
        <row r="4224">
          <cell r="A4224" t="str">
            <v>Z010</v>
          </cell>
          <cell r="B4224" t="str">
            <v>ZIS MART</v>
          </cell>
          <cell r="D4224">
            <v>888612.95454545459</v>
          </cell>
        </row>
        <row r="4225">
          <cell r="A4225" t="str">
            <v>A065</v>
          </cell>
          <cell r="B4225" t="str">
            <v>AZ ZAHRA INDARUNG</v>
          </cell>
          <cell r="D4225">
            <v>324000</v>
          </cell>
        </row>
        <row r="4226">
          <cell r="A4226" t="str">
            <v>D050</v>
          </cell>
          <cell r="B4226" t="str">
            <v>DV BARA</v>
          </cell>
          <cell r="D4226">
            <v>3377224.0909090913</v>
          </cell>
        </row>
        <row r="4227">
          <cell r="A4227" t="str">
            <v>H029</v>
          </cell>
          <cell r="B4227" t="str">
            <v>HASKO</v>
          </cell>
          <cell r="D4227">
            <v>343307.04545454541</v>
          </cell>
        </row>
        <row r="4228">
          <cell r="A4228" t="str">
            <v>K024</v>
          </cell>
          <cell r="B4228" t="str">
            <v>KEDAI PAPI</v>
          </cell>
          <cell r="D4228">
            <v>193200</v>
          </cell>
        </row>
        <row r="4229">
          <cell r="A4229" t="str">
            <v>88M002</v>
          </cell>
          <cell r="B4229" t="str">
            <v>88 MART PATIMURA</v>
          </cell>
          <cell r="D4229">
            <v>580796.59090909094</v>
          </cell>
        </row>
        <row r="4230">
          <cell r="A4230" t="str">
            <v>C046</v>
          </cell>
          <cell r="B4230" t="str">
            <v>CERIAA MART</v>
          </cell>
          <cell r="D4230">
            <v>349520.45454545459</v>
          </cell>
        </row>
        <row r="4231">
          <cell r="A4231" t="str">
            <v>M092</v>
          </cell>
          <cell r="B4231" t="str">
            <v>MISS GLAM SUTOMO</v>
          </cell>
          <cell r="D4231">
            <v>34412896.500000007</v>
          </cell>
        </row>
        <row r="4232">
          <cell r="A4232" t="str">
            <v>R025</v>
          </cell>
          <cell r="B4232" t="str">
            <v>RIO LB.SIKAPING</v>
          </cell>
          <cell r="D4232">
            <v>13827773.181818189</v>
          </cell>
        </row>
        <row r="4233">
          <cell r="A4233" t="str">
            <v>A148</v>
          </cell>
          <cell r="B4233" t="str">
            <v>APT KARUNIA FARMA</v>
          </cell>
          <cell r="D4233">
            <v>787070.45454545459</v>
          </cell>
        </row>
        <row r="4234">
          <cell r="A4234" t="str">
            <v>L011</v>
          </cell>
          <cell r="B4234" t="str">
            <v>LUTFI SWALAYAN</v>
          </cell>
          <cell r="D4234">
            <v>922003.77272727271</v>
          </cell>
        </row>
        <row r="4235">
          <cell r="A4235" t="str">
            <v>P008</v>
          </cell>
          <cell r="B4235" t="str">
            <v>PT.SAHABAT JAYA SENTOSA CENGKEH</v>
          </cell>
          <cell r="D4235">
            <v>260648.18181818182</v>
          </cell>
        </row>
        <row r="4236">
          <cell r="A4236" t="str">
            <v>A129</v>
          </cell>
          <cell r="B4236" t="str">
            <v>ALIB MM S.TAMBANG</v>
          </cell>
          <cell r="D4236">
            <v>1494600.6818181819</v>
          </cell>
        </row>
        <row r="4237">
          <cell r="A4237" t="str">
            <v>H034</v>
          </cell>
          <cell r="B4237" t="str">
            <v>HAURA FARMA</v>
          </cell>
          <cell r="D4237">
            <v>7542447.2727272743</v>
          </cell>
        </row>
        <row r="4238">
          <cell r="A4238" t="str">
            <v>N007</v>
          </cell>
          <cell r="B4238" t="str">
            <v>NAUZAN</v>
          </cell>
          <cell r="D4238">
            <v>5691199.7727272725</v>
          </cell>
        </row>
        <row r="4239">
          <cell r="A4239" t="str">
            <v>Y011</v>
          </cell>
          <cell r="B4239" t="str">
            <v>YURORA COST</v>
          </cell>
          <cell r="D4239">
            <v>3653386.3636363647</v>
          </cell>
        </row>
        <row r="4240">
          <cell r="A4240" t="str">
            <v>D006</v>
          </cell>
          <cell r="B4240" t="str">
            <v>DANI KOTO BARU</v>
          </cell>
          <cell r="D4240">
            <v>549600</v>
          </cell>
        </row>
        <row r="4241">
          <cell r="A4241" t="str">
            <v>D054</v>
          </cell>
          <cell r="B4241" t="str">
            <v>DHEA SWALAYAN</v>
          </cell>
          <cell r="D4241">
            <v>1628848.8636363638</v>
          </cell>
        </row>
        <row r="4242">
          <cell r="A4242" t="str">
            <v>C025</v>
          </cell>
          <cell r="B4242" t="str">
            <v>CV.BUAH SEGAR UTAMA</v>
          </cell>
          <cell r="D4242">
            <v>282595.90909090912</v>
          </cell>
        </row>
        <row r="4243">
          <cell r="A4243" t="str">
            <v>N034</v>
          </cell>
          <cell r="B4243" t="str">
            <v>NITA MM</v>
          </cell>
          <cell r="D4243">
            <v>312436.36363636371</v>
          </cell>
        </row>
        <row r="4244">
          <cell r="A4244" t="str">
            <v>R031</v>
          </cell>
          <cell r="B4244" t="str">
            <v>RUMAH BAYI</v>
          </cell>
          <cell r="D4244">
            <v>1187059.0909090908</v>
          </cell>
        </row>
        <row r="4245">
          <cell r="A4245" t="str">
            <v>R039</v>
          </cell>
          <cell r="B4245" t="str">
            <v>RAFI BKT</v>
          </cell>
          <cell r="D4245">
            <v>17645972.72727273</v>
          </cell>
        </row>
        <row r="4246">
          <cell r="A4246" t="str">
            <v>A137</v>
          </cell>
          <cell r="B4246" t="str">
            <v>AKVAZHA DMS</v>
          </cell>
          <cell r="D4246">
            <v>1315943.1818181816</v>
          </cell>
        </row>
        <row r="4247">
          <cell r="A4247" t="str">
            <v>B054</v>
          </cell>
          <cell r="B4247" t="str">
            <v>BUDI MULIA PDG LUAR</v>
          </cell>
          <cell r="D4247">
            <v>1523052.9545454544</v>
          </cell>
        </row>
        <row r="4248">
          <cell r="A4248" t="str">
            <v>A115</v>
          </cell>
          <cell r="B4248" t="str">
            <v>ALSHA MART</v>
          </cell>
          <cell r="D4248">
            <v>667849.09090909082</v>
          </cell>
        </row>
        <row r="4249">
          <cell r="A4249" t="str">
            <v>F003</v>
          </cell>
          <cell r="B4249" t="str">
            <v>FAMOSTA</v>
          </cell>
          <cell r="D4249">
            <v>6036245.4545454551</v>
          </cell>
        </row>
        <row r="4250">
          <cell r="A4250" t="str">
            <v>I009</v>
          </cell>
          <cell r="B4250" t="str">
            <v>ITA WEN</v>
          </cell>
          <cell r="D4250">
            <v>430122.27272727271</v>
          </cell>
        </row>
        <row r="4251">
          <cell r="A4251" t="str">
            <v>S030</v>
          </cell>
          <cell r="B4251" t="str">
            <v>SERAMBI</v>
          </cell>
          <cell r="D4251">
            <v>805380.68181818165</v>
          </cell>
        </row>
        <row r="4252">
          <cell r="A4252" t="str">
            <v>Z011</v>
          </cell>
          <cell r="B4252" t="str">
            <v>ZALWA COS</v>
          </cell>
          <cell r="D4252">
            <v>1645890.6818181816</v>
          </cell>
        </row>
        <row r="4253">
          <cell r="A4253" t="str">
            <v>K020</v>
          </cell>
          <cell r="B4253" t="str">
            <v>KARAN</v>
          </cell>
          <cell r="D4253">
            <v>51222150</v>
          </cell>
        </row>
        <row r="4254">
          <cell r="A4254">
            <v>3432089</v>
          </cell>
          <cell r="B4254" t="str">
            <v>TOKO FORTUN</v>
          </cell>
          <cell r="D4254">
            <v>573033.18181818177</v>
          </cell>
        </row>
        <row r="4255">
          <cell r="A4255">
            <v>1431891</v>
          </cell>
          <cell r="B4255" t="str">
            <v>TO. SEDARAM 3</v>
          </cell>
          <cell r="D4255">
            <v>308400.00000000006</v>
          </cell>
        </row>
        <row r="4256">
          <cell r="A4256">
            <v>1549894</v>
          </cell>
          <cell r="B4256" t="str">
            <v>RAHMAD</v>
          </cell>
          <cell r="D4256">
            <v>421800.00000000012</v>
          </cell>
        </row>
        <row r="4257">
          <cell r="A4257">
            <v>1141245</v>
          </cell>
          <cell r="B4257" t="str">
            <v>MEKAR JAYA</v>
          </cell>
          <cell r="D4257">
            <v>199038.63636363635</v>
          </cell>
        </row>
        <row r="4258">
          <cell r="A4258">
            <v>3431734</v>
          </cell>
          <cell r="B4258" t="str">
            <v>TOSERBA GARUDA</v>
          </cell>
          <cell r="D4258">
            <v>3549265.3636363652</v>
          </cell>
        </row>
        <row r="4259">
          <cell r="A4259">
            <v>1120273</v>
          </cell>
          <cell r="B4259" t="str">
            <v>ELBAROKAH MART</v>
          </cell>
          <cell r="D4259">
            <v>206892.27272727276</v>
          </cell>
        </row>
        <row r="4260">
          <cell r="A4260">
            <v>1431694</v>
          </cell>
          <cell r="B4260" t="str">
            <v>DEWI KOSMETIK</v>
          </cell>
          <cell r="D4260">
            <v>3581706.2727272734</v>
          </cell>
        </row>
        <row r="4261">
          <cell r="A4261">
            <v>1120052</v>
          </cell>
          <cell r="B4261" t="str">
            <v>FRESH MART</v>
          </cell>
          <cell r="D4261">
            <v>646616.24999999988</v>
          </cell>
        </row>
        <row r="4262">
          <cell r="A4262">
            <v>1140528</v>
          </cell>
          <cell r="B4262" t="str">
            <v>CASH</v>
          </cell>
          <cell r="D4262">
            <v>2988535.9090909092</v>
          </cell>
        </row>
        <row r="4263">
          <cell r="A4263">
            <v>11502426</v>
          </cell>
          <cell r="B4263" t="str">
            <v>ANGKASA MART 4</v>
          </cell>
          <cell r="D4263">
            <v>378409.090909091</v>
          </cell>
        </row>
        <row r="4264">
          <cell r="A4264">
            <v>1431587</v>
          </cell>
          <cell r="B4264" t="str">
            <v>TOKO NADIRA</v>
          </cell>
          <cell r="D4264">
            <v>681320.45454545447</v>
          </cell>
        </row>
        <row r="4265">
          <cell r="A4265">
            <v>1431561</v>
          </cell>
          <cell r="B4265" t="str">
            <v>APOTIK AMINA FARMA</v>
          </cell>
          <cell r="D4265">
            <v>376322.72727272729</v>
          </cell>
        </row>
        <row r="4266">
          <cell r="A4266">
            <v>3432169</v>
          </cell>
          <cell r="B4266" t="str">
            <v>CHLOE BEAUTY</v>
          </cell>
          <cell r="D4266">
            <v>570943.63636363647</v>
          </cell>
        </row>
        <row r="4267">
          <cell r="A4267">
            <v>1147607</v>
          </cell>
          <cell r="B4267" t="str">
            <v>TK. MARBUN</v>
          </cell>
          <cell r="D4267">
            <v>385863.63636363635</v>
          </cell>
        </row>
        <row r="4268">
          <cell r="A4268">
            <v>1120056</v>
          </cell>
          <cell r="B4268" t="str">
            <v>GOLDEN MART</v>
          </cell>
          <cell r="D4268">
            <v>585898.36363636365</v>
          </cell>
        </row>
        <row r="4269">
          <cell r="A4269">
            <v>1431989</v>
          </cell>
          <cell r="B4269" t="str">
            <v>APT. ESA FARMA 1</v>
          </cell>
          <cell r="D4269">
            <v>802783.36363636353</v>
          </cell>
        </row>
        <row r="4270">
          <cell r="A4270">
            <v>1431685</v>
          </cell>
          <cell r="B4270" t="str">
            <v>ANGKASA MART 12</v>
          </cell>
          <cell r="D4270">
            <v>169026.13636363635</v>
          </cell>
        </row>
        <row r="4271">
          <cell r="A4271">
            <v>3431701</v>
          </cell>
          <cell r="B4271" t="str">
            <v>TO. FITRAH FARMA</v>
          </cell>
          <cell r="D4271">
            <v>44400.000000000007</v>
          </cell>
        </row>
        <row r="4272">
          <cell r="A4272">
            <v>1120153</v>
          </cell>
          <cell r="B4272" t="str">
            <v>RIZQUNA</v>
          </cell>
          <cell r="D4272">
            <v>82477.272727272735</v>
          </cell>
        </row>
        <row r="4273">
          <cell r="A4273">
            <v>1150333</v>
          </cell>
          <cell r="B4273" t="str">
            <v>TO. LAMTAMA</v>
          </cell>
          <cell r="D4273">
            <v>3059739.5454545459</v>
          </cell>
        </row>
        <row r="4274">
          <cell r="A4274">
            <v>1540084</v>
          </cell>
          <cell r="B4274" t="str">
            <v>SEMBIRING</v>
          </cell>
          <cell r="D4274">
            <v>89477.272727272735</v>
          </cell>
        </row>
        <row r="4275">
          <cell r="A4275">
            <v>1150058</v>
          </cell>
          <cell r="B4275" t="str">
            <v>APT. HARAPAN KITA</v>
          </cell>
          <cell r="D4275">
            <v>292131.81818181818</v>
          </cell>
        </row>
        <row r="4276">
          <cell r="A4276">
            <v>1430146</v>
          </cell>
          <cell r="B4276" t="str">
            <v>RESTU FARMA</v>
          </cell>
          <cell r="D4276">
            <v>1704833.863636364</v>
          </cell>
        </row>
        <row r="4277">
          <cell r="A4277">
            <v>1150056</v>
          </cell>
          <cell r="B4277" t="str">
            <v>APT. GEMILANG</v>
          </cell>
          <cell r="D4277">
            <v>2501323.6363636367</v>
          </cell>
        </row>
        <row r="4278">
          <cell r="A4278">
            <v>1150440</v>
          </cell>
          <cell r="B4278" t="str">
            <v>GLOBAL COSMETIC</v>
          </cell>
          <cell r="D4278">
            <v>55173161.136363611</v>
          </cell>
        </row>
        <row r="4279">
          <cell r="A4279" t="str">
            <v>AM-3430027</v>
          </cell>
          <cell r="B4279" t="str">
            <v>DHONNY FARMA</v>
          </cell>
          <cell r="D4279">
            <v>2100760.6363636362</v>
          </cell>
        </row>
        <row r="4280">
          <cell r="A4280" t="str">
            <v>AM-3110008</v>
          </cell>
          <cell r="B4280" t="str">
            <v>FAMILY MART</v>
          </cell>
          <cell r="D4280">
            <v>421017.95454545453</v>
          </cell>
        </row>
        <row r="4281">
          <cell r="A4281" t="str">
            <v>AM-3110010</v>
          </cell>
          <cell r="B4281" t="str">
            <v>LBV MART</v>
          </cell>
          <cell r="D4281">
            <v>66600.000000000015</v>
          </cell>
        </row>
        <row r="4282">
          <cell r="A4282">
            <v>3432171</v>
          </cell>
          <cell r="B4282" t="str">
            <v>TOSERBA PASIR PUTIH</v>
          </cell>
          <cell r="D4282">
            <v>3390332.454545456</v>
          </cell>
        </row>
        <row r="4283">
          <cell r="A4283">
            <v>3431824</v>
          </cell>
          <cell r="B4283" t="str">
            <v>TOSERBA GARUDA</v>
          </cell>
          <cell r="D4283">
            <v>3549265.3636363652</v>
          </cell>
        </row>
        <row r="4284">
          <cell r="A4284">
            <v>1340226</v>
          </cell>
          <cell r="B4284" t="str">
            <v>ZIFATI MART</v>
          </cell>
          <cell r="D4284">
            <v>405651.13636363641</v>
          </cell>
        </row>
        <row r="4285">
          <cell r="A4285">
            <v>1120013</v>
          </cell>
          <cell r="B4285" t="str">
            <v>CV. CENDANA NIAGA PERSADA</v>
          </cell>
          <cell r="D4285">
            <v>322434.81818181818</v>
          </cell>
        </row>
        <row r="4286">
          <cell r="A4286">
            <v>1432158</v>
          </cell>
          <cell r="B4286" t="str">
            <v>LIZ BEAUTY</v>
          </cell>
          <cell r="D4286">
            <v>4116460.0000000009</v>
          </cell>
        </row>
        <row r="4287">
          <cell r="A4287">
            <v>1247678</v>
          </cell>
          <cell r="B4287" t="str">
            <v>ARUNA JAYA</v>
          </cell>
          <cell r="D4287">
            <v>154700</v>
          </cell>
        </row>
        <row r="4288">
          <cell r="A4288" t="str">
            <v>AM-3130252</v>
          </cell>
          <cell r="B4288" t="str">
            <v>NR COSMETIK</v>
          </cell>
          <cell r="D4288">
            <v>1903397.7272727278</v>
          </cell>
        </row>
        <row r="4289">
          <cell r="A4289">
            <v>1430097</v>
          </cell>
          <cell r="B4289" t="str">
            <v>TO. GHIFARY</v>
          </cell>
          <cell r="D4289">
            <v>643420.45454545459</v>
          </cell>
        </row>
        <row r="4290">
          <cell r="A4290">
            <v>3432080</v>
          </cell>
          <cell r="B4290" t="str">
            <v>TOKO ARKANA JAYA</v>
          </cell>
          <cell r="D4290">
            <v>37084.090909090912</v>
          </cell>
        </row>
        <row r="4291">
          <cell r="A4291">
            <v>1245232</v>
          </cell>
          <cell r="B4291" t="str">
            <v>MITRA MART</v>
          </cell>
          <cell r="D4291">
            <v>556261.36363636353</v>
          </cell>
        </row>
        <row r="4292">
          <cell r="A4292">
            <v>1420021</v>
          </cell>
          <cell r="B4292" t="str">
            <v>GEBYAR SWALAYAN II</v>
          </cell>
          <cell r="D4292">
            <v>477869.31818181806</v>
          </cell>
        </row>
        <row r="4293">
          <cell r="A4293">
            <v>1540073</v>
          </cell>
          <cell r="B4293" t="str">
            <v>ANGKASA MART 11</v>
          </cell>
          <cell r="D4293">
            <v>171675</v>
          </cell>
        </row>
        <row r="4294">
          <cell r="A4294">
            <v>3432172</v>
          </cell>
          <cell r="B4294" t="str">
            <v>TO. DINSI FARMA</v>
          </cell>
          <cell r="D4294">
            <v>1109949.5454545454</v>
          </cell>
        </row>
        <row r="4295">
          <cell r="A4295">
            <v>1150352</v>
          </cell>
          <cell r="B4295" t="str">
            <v>ISTANA COSMETIK</v>
          </cell>
          <cell r="D4295">
            <v>2705423.181818183</v>
          </cell>
        </row>
        <row r="4296">
          <cell r="A4296" t="str">
            <v>AM-3131449</v>
          </cell>
          <cell r="B4296" t="str">
            <v>AULIA.APT</v>
          </cell>
          <cell r="D4296">
            <v>829688.18181818165</v>
          </cell>
        </row>
        <row r="4297">
          <cell r="A4297" t="str">
            <v>AM-3131472</v>
          </cell>
          <cell r="B4297" t="str">
            <v>IDOLA COSMETIK 2</v>
          </cell>
          <cell r="D4297">
            <v>26054318.18181818</v>
          </cell>
        </row>
        <row r="4298">
          <cell r="A4298">
            <v>1146404</v>
          </cell>
          <cell r="B4298" t="str">
            <v>APT. RAQILA</v>
          </cell>
          <cell r="D4298">
            <v>238624.77272727274</v>
          </cell>
        </row>
        <row r="4299">
          <cell r="A4299">
            <v>1432162</v>
          </cell>
          <cell r="B4299" t="str">
            <v>RICKY BARU</v>
          </cell>
          <cell r="D4299">
            <v>2366747.7272727271</v>
          </cell>
        </row>
        <row r="4300">
          <cell r="A4300">
            <v>1432386</v>
          </cell>
          <cell r="B4300" t="str">
            <v>TO. KASIH FARMA</v>
          </cell>
          <cell r="D4300">
            <v>168000</v>
          </cell>
        </row>
        <row r="4301">
          <cell r="A4301">
            <v>1431853</v>
          </cell>
          <cell r="B4301" t="str">
            <v>SEMANGAT BERSAMA</v>
          </cell>
          <cell r="D4301">
            <v>399600.00000000012</v>
          </cell>
        </row>
        <row r="4302">
          <cell r="A4302" t="str">
            <v>AM-3130568</v>
          </cell>
          <cell r="B4302" t="str">
            <v>ANDI FARMA 2</v>
          </cell>
          <cell r="D4302">
            <v>10314376.090909094</v>
          </cell>
        </row>
        <row r="4303">
          <cell r="A4303">
            <v>1432154</v>
          </cell>
          <cell r="B4303" t="str">
            <v>APT. RAYYANKA</v>
          </cell>
          <cell r="D4303">
            <v>158931.81818181818</v>
          </cell>
        </row>
        <row r="4304">
          <cell r="A4304">
            <v>1150020</v>
          </cell>
          <cell r="B4304" t="str">
            <v>APT SS PIRAMIDA</v>
          </cell>
          <cell r="D4304">
            <v>1902700.6363636362</v>
          </cell>
        </row>
        <row r="4305">
          <cell r="A4305">
            <v>1142359</v>
          </cell>
          <cell r="B4305" t="str">
            <v>TK. RITA</v>
          </cell>
          <cell r="D4305">
            <v>411709.09090909094</v>
          </cell>
        </row>
        <row r="4306">
          <cell r="A4306">
            <v>3432149</v>
          </cell>
          <cell r="B4306" t="str">
            <v>ONE BEAUTY</v>
          </cell>
          <cell r="D4306">
            <v>14952807.818181818</v>
          </cell>
        </row>
        <row r="4307">
          <cell r="A4307">
            <v>3432140</v>
          </cell>
          <cell r="B4307" t="str">
            <v>NAIRA MART 2</v>
          </cell>
          <cell r="D4307">
            <v>422738.59090909094</v>
          </cell>
        </row>
        <row r="4308">
          <cell r="A4308">
            <v>1143169</v>
          </cell>
          <cell r="B4308" t="str">
            <v>ANGKASA MART 9</v>
          </cell>
          <cell r="D4308">
            <v>165077.18181818182</v>
          </cell>
        </row>
        <row r="4309">
          <cell r="A4309">
            <v>1150148</v>
          </cell>
          <cell r="B4309" t="str">
            <v>TO. DERI</v>
          </cell>
          <cell r="D4309">
            <v>399600.00000000012</v>
          </cell>
        </row>
        <row r="4310">
          <cell r="A4310">
            <v>1150087</v>
          </cell>
          <cell r="B4310" t="str">
            <v>APT. YASMIN</v>
          </cell>
          <cell r="D4310">
            <v>133200.00000000003</v>
          </cell>
        </row>
        <row r="4311">
          <cell r="A4311">
            <v>1432431</v>
          </cell>
          <cell r="B4311" t="str">
            <v>TO. HANGTUAH</v>
          </cell>
          <cell r="D4311">
            <v>410952.27272727271</v>
          </cell>
        </row>
        <row r="4312">
          <cell r="A4312">
            <v>1150151</v>
          </cell>
          <cell r="B4312" t="str">
            <v>TO. ERI ERA</v>
          </cell>
          <cell r="D4312">
            <v>740727.27272727259</v>
          </cell>
        </row>
        <row r="4313">
          <cell r="A4313">
            <v>1142625</v>
          </cell>
          <cell r="B4313" t="str">
            <v>TO. RIMBUN INDAH</v>
          </cell>
          <cell r="D4313">
            <v>1749927.9545454546</v>
          </cell>
        </row>
        <row r="4314">
          <cell r="A4314">
            <v>1220008</v>
          </cell>
          <cell r="B4314" t="str">
            <v>AMSAR</v>
          </cell>
          <cell r="D4314">
            <v>1113960.6818181819</v>
          </cell>
        </row>
        <row r="4315">
          <cell r="A4315">
            <v>1431969</v>
          </cell>
          <cell r="B4315" t="str">
            <v>ZIA MART</v>
          </cell>
          <cell r="D4315">
            <v>133200.00000000003</v>
          </cell>
        </row>
        <row r="4316">
          <cell r="A4316">
            <v>1440189</v>
          </cell>
          <cell r="B4316" t="str">
            <v>SHEILA MM</v>
          </cell>
          <cell r="D4316">
            <v>133200.00000000003</v>
          </cell>
        </row>
        <row r="4317">
          <cell r="A4317">
            <v>1150335</v>
          </cell>
          <cell r="B4317" t="str">
            <v>YAKIN SIKO</v>
          </cell>
          <cell r="D4317">
            <v>3990588.2727272739</v>
          </cell>
        </row>
        <row r="4318">
          <cell r="A4318">
            <v>1144865</v>
          </cell>
          <cell r="B4318" t="str">
            <v>ZAKI/MUASDA</v>
          </cell>
          <cell r="D4318">
            <v>250809.54545454547</v>
          </cell>
        </row>
        <row r="4319">
          <cell r="A4319">
            <v>1120132</v>
          </cell>
          <cell r="B4319" t="str">
            <v>212 MART</v>
          </cell>
          <cell r="D4319">
            <v>371794.5</v>
          </cell>
        </row>
        <row r="4320">
          <cell r="A4320">
            <v>1431570</v>
          </cell>
          <cell r="B4320" t="str">
            <v>NALAKU SWALAYAN</v>
          </cell>
          <cell r="D4320">
            <v>521762.04545454553</v>
          </cell>
        </row>
        <row r="4321">
          <cell r="A4321">
            <v>3431837</v>
          </cell>
          <cell r="B4321" t="str">
            <v>APOTIK ROTAMBA FARMA</v>
          </cell>
          <cell r="D4321">
            <v>5882521.5909090918</v>
          </cell>
        </row>
        <row r="4322">
          <cell r="A4322">
            <v>15600213</v>
          </cell>
          <cell r="B4322" t="str">
            <v>CAHAYA MART</v>
          </cell>
          <cell r="D4322">
            <v>424110.22727272729</v>
          </cell>
        </row>
        <row r="4323">
          <cell r="A4323">
            <v>1150050</v>
          </cell>
          <cell r="B4323" t="str">
            <v>APT. DELIMA FARMA</v>
          </cell>
          <cell r="D4323">
            <v>158931.81818181818</v>
          </cell>
        </row>
        <row r="4324">
          <cell r="A4324">
            <v>1150375</v>
          </cell>
          <cell r="B4324" t="str">
            <v>TO. ALIF HAN</v>
          </cell>
          <cell r="D4324">
            <v>194754.54545454547</v>
          </cell>
        </row>
        <row r="4325">
          <cell r="A4325">
            <v>1432153</v>
          </cell>
          <cell r="B4325" t="str">
            <v>APOTIK DELIMA SEHAT</v>
          </cell>
          <cell r="D4325">
            <v>95359.090909090926</v>
          </cell>
        </row>
        <row r="4326">
          <cell r="A4326">
            <v>1431697</v>
          </cell>
          <cell r="B4326" t="str">
            <v>APT. POHAN</v>
          </cell>
          <cell r="D4326">
            <v>-5986.3636363636033</v>
          </cell>
        </row>
        <row r="4327">
          <cell r="A4327">
            <v>3432040</v>
          </cell>
          <cell r="B4327" t="str">
            <v>TO. PUTRA KUALU</v>
          </cell>
          <cell r="D4327">
            <v>362263.63636363635</v>
          </cell>
        </row>
        <row r="4328">
          <cell r="A4328">
            <v>3431850</v>
          </cell>
          <cell r="B4328" t="str">
            <v>TOKO ROKAN</v>
          </cell>
          <cell r="D4328">
            <v>317863.63636363635</v>
          </cell>
        </row>
        <row r="4329">
          <cell r="A4329">
            <v>1432111</v>
          </cell>
          <cell r="B4329" t="str">
            <v>WAHYU GROSIR</v>
          </cell>
          <cell r="D4329">
            <v>6019650</v>
          </cell>
        </row>
        <row r="4330">
          <cell r="A4330">
            <v>1440258</v>
          </cell>
          <cell r="B4330" t="str">
            <v>TOKO MELDA</v>
          </cell>
          <cell r="D4330">
            <v>11812404.545454545</v>
          </cell>
        </row>
        <row r="4331">
          <cell r="A4331">
            <v>1135156</v>
          </cell>
          <cell r="B4331" t="str">
            <v>ANGKASA MART 6</v>
          </cell>
          <cell r="D4331">
            <v>263884.09090909094</v>
          </cell>
        </row>
        <row r="4332">
          <cell r="A4332">
            <v>3432160</v>
          </cell>
          <cell r="B4332" t="str">
            <v>SEO BEAUTY</v>
          </cell>
          <cell r="D4332">
            <v>5897098.9090909101</v>
          </cell>
        </row>
        <row r="4333">
          <cell r="A4333" t="str">
            <v>AM-3320013</v>
          </cell>
          <cell r="B4333" t="str">
            <v>JAYA ABADI.GRS</v>
          </cell>
          <cell r="D4333">
            <v>0</v>
          </cell>
        </row>
        <row r="4334">
          <cell r="A4334">
            <v>3431757</v>
          </cell>
          <cell r="B4334" t="str">
            <v>CAHAYA MART 3</v>
          </cell>
          <cell r="D4334">
            <v>990361.09090909071</v>
          </cell>
        </row>
        <row r="4335">
          <cell r="A4335">
            <v>1150100</v>
          </cell>
          <cell r="B4335" t="str">
            <v>GREEN FARMA</v>
          </cell>
          <cell r="D4335">
            <v>589940.90909090906</v>
          </cell>
        </row>
        <row r="4336">
          <cell r="A4336">
            <v>1430024</v>
          </cell>
          <cell r="B4336" t="str">
            <v>GRS. BINTANG ABADI</v>
          </cell>
          <cell r="D4336">
            <v>25106181.818181816</v>
          </cell>
        </row>
        <row r="4337">
          <cell r="A4337">
            <v>3432073</v>
          </cell>
          <cell r="B4337" t="str">
            <v>FOR SKIN COSMETIK</v>
          </cell>
          <cell r="D4337">
            <v>33591766.181818195</v>
          </cell>
        </row>
        <row r="4338">
          <cell r="A4338">
            <v>3431871</v>
          </cell>
          <cell r="B4338" t="str">
            <v>ALANA BEAUTY</v>
          </cell>
          <cell r="D4338">
            <v>53785430.909090929</v>
          </cell>
        </row>
        <row r="4339">
          <cell r="A4339">
            <v>1140169</v>
          </cell>
          <cell r="B4339" t="str">
            <v>ANDIKA COSMETIC</v>
          </cell>
          <cell r="D4339">
            <v>981542.72727272729</v>
          </cell>
        </row>
        <row r="4340">
          <cell r="A4340">
            <v>1150488</v>
          </cell>
          <cell r="B4340" t="str">
            <v>APT. MAMA</v>
          </cell>
          <cell r="D4340">
            <v>794558.18181818165</v>
          </cell>
        </row>
        <row r="4341">
          <cell r="A4341">
            <v>1431736</v>
          </cell>
          <cell r="B4341" t="str">
            <v>APT. RAFIZIY</v>
          </cell>
          <cell r="D4341">
            <v>584196.18181818177</v>
          </cell>
        </row>
        <row r="4342">
          <cell r="A4342">
            <v>1432173</v>
          </cell>
          <cell r="B4342" t="str">
            <v>HASANAH KOSMETIK</v>
          </cell>
          <cell r="D4342">
            <v>462113.18181818101</v>
          </cell>
        </row>
        <row r="4343">
          <cell r="A4343">
            <v>1148884</v>
          </cell>
          <cell r="B4343" t="str">
            <v>PANAM MART</v>
          </cell>
          <cell r="D4343">
            <v>644455.90909090906</v>
          </cell>
        </row>
        <row r="4344">
          <cell r="A4344">
            <v>1432024</v>
          </cell>
          <cell r="B4344" t="str">
            <v>PT. PEPUTRA MAHA JAYA</v>
          </cell>
          <cell r="D4344">
            <v>181712.04545454547</v>
          </cell>
        </row>
        <row r="4345">
          <cell r="A4345">
            <v>1120085</v>
          </cell>
          <cell r="B4345" t="str">
            <v>MARINA</v>
          </cell>
          <cell r="D4345">
            <v>985752.27272727247</v>
          </cell>
        </row>
        <row r="4346">
          <cell r="A4346">
            <v>3432062</v>
          </cell>
          <cell r="B4346" t="str">
            <v>JONI HERBAL</v>
          </cell>
          <cell r="D4346">
            <v>317863.63636363629</v>
          </cell>
        </row>
        <row r="4347">
          <cell r="A4347">
            <v>3432067</v>
          </cell>
          <cell r="B4347" t="str">
            <v>APOTEK MARWAH</v>
          </cell>
          <cell r="D4347">
            <v>74168.181818181823</v>
          </cell>
        </row>
        <row r="4348">
          <cell r="A4348" t="str">
            <v>AM-3130443</v>
          </cell>
          <cell r="B4348" t="str">
            <v>ADE SWALAYAN</v>
          </cell>
          <cell r="D4348">
            <v>491955.81818181818</v>
          </cell>
        </row>
        <row r="4349">
          <cell r="A4349" t="str">
            <v>AM-3211212</v>
          </cell>
          <cell r="B4349" t="str">
            <v>FANNY MM 2</v>
          </cell>
          <cell r="D4349">
            <v>602263.63636363635</v>
          </cell>
        </row>
        <row r="4350">
          <cell r="A4350">
            <v>3431854</v>
          </cell>
          <cell r="B4350" t="str">
            <v>APOTEK UNO FARMA</v>
          </cell>
          <cell r="D4350">
            <v>503286.27272727265</v>
          </cell>
        </row>
        <row r="4351">
          <cell r="A4351">
            <v>3431750</v>
          </cell>
          <cell r="B4351" t="str">
            <v>IZE WATI</v>
          </cell>
          <cell r="D4351">
            <v>3178636.3636363628</v>
          </cell>
        </row>
        <row r="4352">
          <cell r="A4352">
            <v>1540043</v>
          </cell>
          <cell r="B4352" t="str">
            <v>FADHIL JAYA</v>
          </cell>
          <cell r="D4352">
            <v>263200</v>
          </cell>
        </row>
        <row r="4353">
          <cell r="A4353">
            <v>1432165</v>
          </cell>
          <cell r="B4353" t="str">
            <v>APT. MELATI</v>
          </cell>
          <cell r="D4353">
            <v>-14995.909090909139</v>
          </cell>
        </row>
        <row r="4354">
          <cell r="A4354">
            <v>1431980</v>
          </cell>
          <cell r="B4354" t="str">
            <v>APT. RAJAWALI</v>
          </cell>
          <cell r="D4354">
            <v>164179.09090909091</v>
          </cell>
        </row>
        <row r="4355">
          <cell r="A4355">
            <v>1431756</v>
          </cell>
          <cell r="B4355" t="str">
            <v>APT. TIO</v>
          </cell>
          <cell r="D4355">
            <v>192600</v>
          </cell>
        </row>
        <row r="4356">
          <cell r="A4356">
            <v>1432046</v>
          </cell>
          <cell r="B4356" t="str">
            <v>88 TOSERBA</v>
          </cell>
          <cell r="D4356">
            <v>394150.909090909</v>
          </cell>
        </row>
        <row r="4357">
          <cell r="A4357">
            <v>1150033</v>
          </cell>
          <cell r="B4357" t="str">
            <v>APT. AULIA</v>
          </cell>
          <cell r="D4357">
            <v>798643.18181818177</v>
          </cell>
        </row>
        <row r="4358">
          <cell r="A4358">
            <v>1430091</v>
          </cell>
          <cell r="B4358" t="str">
            <v>TO. MUTIARA GUNUNG FARMA</v>
          </cell>
          <cell r="D4358">
            <v>207620.45454545453</v>
          </cell>
        </row>
        <row r="4359">
          <cell r="A4359">
            <v>1240460</v>
          </cell>
          <cell r="B4359" t="str">
            <v>SETIA KAWAN</v>
          </cell>
          <cell r="D4359">
            <v>35318.181818181816</v>
          </cell>
        </row>
        <row r="4360">
          <cell r="A4360" t="str">
            <v>AM-3110101</v>
          </cell>
          <cell r="B4360" t="str">
            <v>TANJUNG GADING MART</v>
          </cell>
          <cell r="D4360">
            <v>732693.81818181812</v>
          </cell>
        </row>
        <row r="4361">
          <cell r="A4361" t="str">
            <v>AM-3130351</v>
          </cell>
          <cell r="B4361" t="str">
            <v>TANGAN MAS.APT</v>
          </cell>
          <cell r="D4361">
            <v>1219990.9090909092</v>
          </cell>
        </row>
        <row r="4362">
          <cell r="A4362">
            <v>1146283</v>
          </cell>
          <cell r="B4362" t="str">
            <v>SARWIN</v>
          </cell>
          <cell r="D4362">
            <v>49950.000000000015</v>
          </cell>
        </row>
        <row r="4363">
          <cell r="A4363">
            <v>3432203</v>
          </cell>
          <cell r="B4363" t="str">
            <v>APT. NAMBERSA</v>
          </cell>
          <cell r="D4363">
            <v>310380.22727272729</v>
          </cell>
        </row>
        <row r="4364">
          <cell r="A4364">
            <v>3432121</v>
          </cell>
          <cell r="B4364" t="str">
            <v>BELILAS COSMETIK</v>
          </cell>
          <cell r="D4364">
            <v>1324190.9090909089</v>
          </cell>
        </row>
        <row r="4365">
          <cell r="A4365">
            <v>1540098</v>
          </cell>
          <cell r="B4365" t="str">
            <v>LESTARI</v>
          </cell>
          <cell r="D4365">
            <v>208200.00000000003</v>
          </cell>
        </row>
        <row r="4366">
          <cell r="A4366">
            <v>1420037</v>
          </cell>
          <cell r="B4366" t="str">
            <v>LATIFA SWALAYAN III</v>
          </cell>
          <cell r="D4366">
            <v>826496.99999999988</v>
          </cell>
        </row>
        <row r="4367">
          <cell r="A4367">
            <v>3431863</v>
          </cell>
          <cell r="B4367" t="str">
            <v>TOS. SALMA</v>
          </cell>
          <cell r="D4367">
            <v>878966.36363636353</v>
          </cell>
        </row>
        <row r="4368">
          <cell r="A4368">
            <v>1142386</v>
          </cell>
          <cell r="B4368" t="str">
            <v>TK. SALMA</v>
          </cell>
          <cell r="D4368">
            <v>240542.04545454553</v>
          </cell>
        </row>
        <row r="4369">
          <cell r="A4369">
            <v>1150150</v>
          </cell>
          <cell r="B4369" t="str">
            <v>TO. ENERGI</v>
          </cell>
          <cell r="D4369">
            <v>2889624.5454545473</v>
          </cell>
        </row>
        <row r="4370">
          <cell r="A4370">
            <v>1142465</v>
          </cell>
          <cell r="B4370" t="str">
            <v>TK. WME</v>
          </cell>
          <cell r="D4370">
            <v>374181.81818181812</v>
          </cell>
        </row>
        <row r="4371">
          <cell r="A4371">
            <v>3431908</v>
          </cell>
          <cell r="B4371" t="str">
            <v>USAHA SEMOGA MAJU</v>
          </cell>
          <cell r="D4371">
            <v>402409.09090909082</v>
          </cell>
        </row>
        <row r="4372">
          <cell r="A4372">
            <v>1310011</v>
          </cell>
          <cell r="B4372" t="str">
            <v>PT. BANGUN SEJAHTERA BERSAMA</v>
          </cell>
          <cell r="D4372">
            <v>1332765.4090909092</v>
          </cell>
        </row>
        <row r="4373">
          <cell r="A4373">
            <v>1431948</v>
          </cell>
          <cell r="B4373" t="str">
            <v>ADEYA GROSIR</v>
          </cell>
          <cell r="D4373">
            <v>7033710.2727272743</v>
          </cell>
        </row>
        <row r="4374">
          <cell r="A4374" t="str">
            <v>AM-3431588</v>
          </cell>
          <cell r="B4374" t="str">
            <v>APT. TUNAS JAYA 1</v>
          </cell>
          <cell r="D4374">
            <v>180954.54545454547</v>
          </cell>
        </row>
        <row r="4375">
          <cell r="A4375">
            <v>1157391</v>
          </cell>
          <cell r="B4375" t="str">
            <v>RAJA FARMA</v>
          </cell>
          <cell r="D4375">
            <v>767025</v>
          </cell>
        </row>
        <row r="4376">
          <cell r="A4376">
            <v>1102405</v>
          </cell>
          <cell r="B4376" t="str">
            <v>NETRA SWALAYAN</v>
          </cell>
          <cell r="D4376">
            <v>684149.31818181812</v>
          </cell>
        </row>
        <row r="4377">
          <cell r="A4377">
            <v>1431888</v>
          </cell>
          <cell r="B4377" t="str">
            <v>WIRA JAYA MART</v>
          </cell>
          <cell r="D4377">
            <v>2069023.2272727275</v>
          </cell>
        </row>
        <row r="4378">
          <cell r="A4378">
            <v>1150344</v>
          </cell>
          <cell r="B4378" t="str">
            <v>APT. ANGGI</v>
          </cell>
          <cell r="D4378">
            <v>298650</v>
          </cell>
        </row>
        <row r="4379">
          <cell r="A4379">
            <v>1150124</v>
          </cell>
          <cell r="B4379" t="str">
            <v>SEMOGA SEHAT</v>
          </cell>
          <cell r="D4379">
            <v>432294.54545454535</v>
          </cell>
        </row>
        <row r="4380">
          <cell r="A4380">
            <v>1150026</v>
          </cell>
          <cell r="B4380" t="str">
            <v>APT. ALITA</v>
          </cell>
          <cell r="D4380">
            <v>884263.63636363647</v>
          </cell>
        </row>
        <row r="4381">
          <cell r="A4381">
            <v>1240461</v>
          </cell>
          <cell r="B4381" t="str">
            <v>TK. RASYIFA</v>
          </cell>
          <cell r="D4381">
            <v>809018.18181818177</v>
          </cell>
        </row>
        <row r="4382">
          <cell r="A4382">
            <v>1150046</v>
          </cell>
          <cell r="B4382" t="str">
            <v>APT. CENDANA FARMA</v>
          </cell>
          <cell r="D4382">
            <v>150718.18181818182</v>
          </cell>
        </row>
        <row r="4383">
          <cell r="A4383">
            <v>1432145</v>
          </cell>
          <cell r="B4383" t="str">
            <v>SYARIAH MART</v>
          </cell>
          <cell r="D4383">
            <v>356008.72727272724</v>
          </cell>
        </row>
        <row r="4384">
          <cell r="A4384">
            <v>1432395</v>
          </cell>
          <cell r="B4384" t="str">
            <v>TO. REGIFAR JAYA</v>
          </cell>
          <cell r="D4384">
            <v>847636.36363636341</v>
          </cell>
        </row>
        <row r="4385">
          <cell r="A4385">
            <v>1430106</v>
          </cell>
          <cell r="B4385" t="str">
            <v>GIANS MART</v>
          </cell>
          <cell r="D4385">
            <v>203334</v>
          </cell>
        </row>
        <row r="4386">
          <cell r="A4386">
            <v>1420111</v>
          </cell>
          <cell r="B4386" t="str">
            <v>KITA MART SRIKANDI</v>
          </cell>
          <cell r="D4386">
            <v>356720.45454545459</v>
          </cell>
        </row>
        <row r="4387">
          <cell r="A4387">
            <v>1431681</v>
          </cell>
          <cell r="B4387" t="str">
            <v>KOMAVO  KOSMETIK</v>
          </cell>
          <cell r="D4387">
            <v>25154070.272727273</v>
          </cell>
        </row>
        <row r="4388">
          <cell r="A4388">
            <v>1432472</v>
          </cell>
          <cell r="B4388" t="str">
            <v>APT. BERLIAN</v>
          </cell>
          <cell r="D4388">
            <v>337909.09090909088</v>
          </cell>
        </row>
        <row r="4389">
          <cell r="A4389">
            <v>1431789</v>
          </cell>
          <cell r="B4389" t="str">
            <v>AKAR SARI 3</v>
          </cell>
          <cell r="D4389">
            <v>22289854.181818184</v>
          </cell>
        </row>
        <row r="4390">
          <cell r="A4390">
            <v>1150025</v>
          </cell>
          <cell r="B4390" t="str">
            <v>APT. ALFA</v>
          </cell>
          <cell r="D4390">
            <v>247731.81818181818</v>
          </cell>
        </row>
        <row r="4391">
          <cell r="A4391" t="str">
            <v>AM-3431576</v>
          </cell>
          <cell r="B4391" t="str">
            <v>KHARISMA COSMETIK</v>
          </cell>
          <cell r="D4391">
            <v>28352125.363636371</v>
          </cell>
        </row>
        <row r="4392">
          <cell r="A4392">
            <v>1102441</v>
          </cell>
          <cell r="B4392" t="str">
            <v>89 MART</v>
          </cell>
          <cell r="D4392">
            <v>135490.09090909091</v>
          </cell>
        </row>
        <row r="4393">
          <cell r="A4393">
            <v>1120009</v>
          </cell>
          <cell r="B4393" t="str">
            <v>AGUNG MART</v>
          </cell>
          <cell r="D4393">
            <v>557320.90909090894</v>
          </cell>
        </row>
        <row r="4394">
          <cell r="A4394">
            <v>3431862</v>
          </cell>
          <cell r="B4394" t="str">
            <v>MARBUN JAYA FARMA</v>
          </cell>
          <cell r="D4394">
            <v>1271454.5454545452</v>
          </cell>
        </row>
        <row r="4395">
          <cell r="A4395">
            <v>1150070</v>
          </cell>
          <cell r="B4395" t="str">
            <v>APT. METRO MEDIKA</v>
          </cell>
          <cell r="D4395">
            <v>-185420.45454545453</v>
          </cell>
        </row>
        <row r="4396">
          <cell r="A4396">
            <v>1550001</v>
          </cell>
          <cell r="B4396" t="str">
            <v>APT. SP 4 BUNUT</v>
          </cell>
          <cell r="D4396">
            <v>-1144309.0909090911</v>
          </cell>
        </row>
        <row r="4397">
          <cell r="A4397">
            <v>1143111</v>
          </cell>
          <cell r="B4397" t="str">
            <v>ANNISA KOSMETIK 2</v>
          </cell>
          <cell r="D4397">
            <v>-35330838.886363655</v>
          </cell>
        </row>
        <row r="4398">
          <cell r="A4398">
            <v>1432421</v>
          </cell>
          <cell r="B4398" t="str">
            <v>TOKO BAROKAH</v>
          </cell>
          <cell r="D4398">
            <v>-897166.13636363624</v>
          </cell>
        </row>
        <row r="4399">
          <cell r="A4399">
            <v>1140439</v>
          </cell>
          <cell r="B4399" t="str">
            <v>BERKAH JAYA</v>
          </cell>
          <cell r="D4399">
            <v>-26488.636363636364</v>
          </cell>
        </row>
        <row r="4400">
          <cell r="A4400">
            <v>1431855</v>
          </cell>
          <cell r="B4400" t="str">
            <v>APOTIK AISYAH SYAFIQAH</v>
          </cell>
          <cell r="D4400">
            <v>-137775.90909090909</v>
          </cell>
        </row>
        <row r="4401">
          <cell r="A4401">
            <v>1102463</v>
          </cell>
          <cell r="B4401" t="str">
            <v>TOKO HARIAN JAYA</v>
          </cell>
          <cell r="D4401">
            <v>-168000</v>
          </cell>
        </row>
        <row r="4402">
          <cell r="A4402">
            <v>1150072</v>
          </cell>
          <cell r="B4402" t="str">
            <v>APT. MITRA SEHAT</v>
          </cell>
          <cell r="D4402">
            <v>-450308.99999999994</v>
          </cell>
        </row>
        <row r="4403">
          <cell r="A4403">
            <v>1146501</v>
          </cell>
          <cell r="B4403" t="str">
            <v>APT. AZIZ FARMA</v>
          </cell>
          <cell r="D4403">
            <v>-70989.545454545456</v>
          </cell>
        </row>
        <row r="4404">
          <cell r="A4404">
            <v>1432163</v>
          </cell>
          <cell r="B4404" t="str">
            <v>APOTIK ASRI FARMA</v>
          </cell>
          <cell r="D4404">
            <v>-52977.272727272728</v>
          </cell>
        </row>
        <row r="4405">
          <cell r="A4405">
            <v>3431790</v>
          </cell>
          <cell r="B4405" t="str">
            <v>APT. NIRWANA</v>
          </cell>
          <cell r="D4405">
            <v>-171646.36363636362</v>
          </cell>
        </row>
        <row r="4406">
          <cell r="A4406">
            <v>1431966</v>
          </cell>
          <cell r="B4406" t="str">
            <v>TH. SYIFA</v>
          </cell>
          <cell r="D4406">
            <v>-170100</v>
          </cell>
        </row>
        <row r="4407">
          <cell r="A4407">
            <v>1432261</v>
          </cell>
          <cell r="B4407" t="str">
            <v>TO. SARASI</v>
          </cell>
          <cell r="D4407">
            <v>-269629.09090909094</v>
          </cell>
        </row>
        <row r="4408">
          <cell r="A4408">
            <v>1432011</v>
          </cell>
          <cell r="B4408" t="str">
            <v>APT. WIJAYA 2</v>
          </cell>
          <cell r="D4408">
            <v>-168954.54545454544</v>
          </cell>
        </row>
        <row r="4409">
          <cell r="A4409" t="str">
            <v>AM-3431582</v>
          </cell>
          <cell r="B4409" t="str">
            <v>APT. WYKE MELATI</v>
          </cell>
          <cell r="D4409">
            <v>-66600</v>
          </cell>
        </row>
        <row r="4410">
          <cell r="A4410">
            <v>1102394</v>
          </cell>
          <cell r="B4410" t="str">
            <v>TO. NABILA</v>
          </cell>
          <cell r="D4410">
            <v>-158931.81818181818</v>
          </cell>
        </row>
        <row r="4411">
          <cell r="A4411">
            <v>1432215</v>
          </cell>
          <cell r="B4411" t="str">
            <v>TK. ANUGERAH BERKAH</v>
          </cell>
          <cell r="D4411">
            <v>-185420.45454545453</v>
          </cell>
        </row>
        <row r="4412">
          <cell r="A4412">
            <v>1432473</v>
          </cell>
          <cell r="B4412" t="str">
            <v>TO. HARAPAN BERSAMA</v>
          </cell>
          <cell r="D4412">
            <v>-387000</v>
          </cell>
        </row>
        <row r="4413">
          <cell r="A4413">
            <v>3431761</v>
          </cell>
          <cell r="B4413" t="str">
            <v>APT. SYIFA</v>
          </cell>
          <cell r="D4413">
            <v>-238397.72727272724</v>
          </cell>
        </row>
        <row r="4414">
          <cell r="A4414">
            <v>1432465</v>
          </cell>
          <cell r="B4414" t="str">
            <v>TOSERBA VIVA</v>
          </cell>
          <cell r="D4414">
            <v>-125026.36363636365</v>
          </cell>
        </row>
        <row r="4415">
          <cell r="A4415">
            <v>1431896</v>
          </cell>
          <cell r="B4415" t="str">
            <v>GLOW UP</v>
          </cell>
          <cell r="D4415">
            <v>-1072261.8181818181</v>
          </cell>
        </row>
        <row r="4416">
          <cell r="A4416">
            <v>1432457</v>
          </cell>
          <cell r="B4416" t="str">
            <v>APT. STIFAR MANDIRI</v>
          </cell>
          <cell r="D4416">
            <v>-177600.00000000003</v>
          </cell>
        </row>
        <row r="4417">
          <cell r="A4417">
            <v>2240029</v>
          </cell>
          <cell r="B4417" t="str">
            <v>DUNIA COSMETIC</v>
          </cell>
          <cell r="D4417">
            <v>1048296.2727272727</v>
          </cell>
        </row>
        <row r="4418">
          <cell r="A4418">
            <v>2540136</v>
          </cell>
          <cell r="B4418" t="str">
            <v>TK. ISTANA COSMETIC</v>
          </cell>
          <cell r="D4418">
            <v>6643096.9090909092</v>
          </cell>
        </row>
        <row r="4419">
          <cell r="A4419">
            <v>2140289</v>
          </cell>
          <cell r="B4419" t="str">
            <v>TK. FATILAH</v>
          </cell>
          <cell r="D4419">
            <v>-25000</v>
          </cell>
        </row>
        <row r="4420">
          <cell r="A4420">
            <v>2140863</v>
          </cell>
          <cell r="B4420" t="str">
            <v>UD. TUNAS JAYA</v>
          </cell>
          <cell r="D4420">
            <v>199257.54545454544</v>
          </cell>
        </row>
        <row r="4421">
          <cell r="A4421">
            <v>2440492</v>
          </cell>
          <cell r="B4421" t="str">
            <v>RAJA COSMETIK</v>
          </cell>
          <cell r="D4421">
            <v>7714660.681818177</v>
          </cell>
        </row>
        <row r="4422">
          <cell r="A4422">
            <v>2520003</v>
          </cell>
          <cell r="B4422" t="str">
            <v>SWALAYAN PELITA</v>
          </cell>
          <cell r="D4422">
            <v>4413778.7727272734</v>
          </cell>
        </row>
        <row r="4423">
          <cell r="A4423">
            <v>2540090</v>
          </cell>
          <cell r="B4423" t="str">
            <v>TK. OBAT RIZKI FARMA</v>
          </cell>
          <cell r="D4423">
            <v>298554.54545454541</v>
          </cell>
        </row>
        <row r="4424">
          <cell r="A4424">
            <v>2530036</v>
          </cell>
          <cell r="B4424" t="str">
            <v>TK. ANUGRAH</v>
          </cell>
          <cell r="D4424">
            <v>1522383.4090909092</v>
          </cell>
        </row>
        <row r="4425">
          <cell r="A4425">
            <v>2540594</v>
          </cell>
          <cell r="B4425" t="str">
            <v>TK. CAHAYA FARMA</v>
          </cell>
          <cell r="D4425">
            <v>847636.36363636341</v>
          </cell>
        </row>
        <row r="4426">
          <cell r="A4426">
            <v>2340239</v>
          </cell>
          <cell r="B4426" t="str">
            <v>TK. DIAN</v>
          </cell>
          <cell r="D4426">
            <v>1960821.8181818195</v>
          </cell>
        </row>
        <row r="4427">
          <cell r="A4427">
            <v>2540095</v>
          </cell>
          <cell r="B4427" t="str">
            <v>TK. OBAT SEHATI</v>
          </cell>
          <cell r="D4427">
            <v>1753159.0909090908</v>
          </cell>
        </row>
        <row r="4428">
          <cell r="A4428">
            <v>2140184</v>
          </cell>
          <cell r="B4428" t="str">
            <v>TK. RAJA</v>
          </cell>
          <cell r="D4428">
            <v>32694.54545454546</v>
          </cell>
        </row>
        <row r="4429">
          <cell r="A4429">
            <v>2140451</v>
          </cell>
          <cell r="B4429" t="str">
            <v>TK. ASTERIK</v>
          </cell>
          <cell r="D4429">
            <v>37800</v>
          </cell>
        </row>
        <row r="4430">
          <cell r="A4430">
            <v>2230001</v>
          </cell>
          <cell r="B4430" t="str">
            <v>DUMAI BARU</v>
          </cell>
          <cell r="D4430">
            <v>7695829.909090912</v>
          </cell>
        </row>
        <row r="4431">
          <cell r="A4431">
            <v>2240021</v>
          </cell>
          <cell r="B4431" t="str">
            <v>BUNGA PELITA</v>
          </cell>
          <cell r="D4431">
            <v>3766030.9090909101</v>
          </cell>
        </row>
        <row r="4432">
          <cell r="A4432">
            <v>2530026</v>
          </cell>
          <cell r="B4432" t="str">
            <v>SEMANGAT BARU</v>
          </cell>
          <cell r="D4432">
            <v>133200.00000000003</v>
          </cell>
        </row>
        <row r="4433">
          <cell r="A4433">
            <v>2240105</v>
          </cell>
          <cell r="B4433" t="str">
            <v>TK. DAFFA COSMETIC</v>
          </cell>
          <cell r="D4433">
            <v>635727.27272727259</v>
          </cell>
        </row>
        <row r="4434">
          <cell r="A4434">
            <v>2630004</v>
          </cell>
          <cell r="B4434" t="str">
            <v>TK. JESSY  COSMETIC</v>
          </cell>
          <cell r="D4434">
            <v>7800636.818181823</v>
          </cell>
        </row>
        <row r="4435">
          <cell r="A4435">
            <v>2240144</v>
          </cell>
          <cell r="B4435" t="str">
            <v>TK. MELATI</v>
          </cell>
          <cell r="D4435">
            <v>1235037.8181818184</v>
          </cell>
        </row>
        <row r="4436">
          <cell r="A4436">
            <v>2241048</v>
          </cell>
          <cell r="B4436" t="str">
            <v>TK. RESTU IBU</v>
          </cell>
          <cell r="D4436">
            <v>116168.18181818182</v>
          </cell>
        </row>
        <row r="4437">
          <cell r="A4437">
            <v>2640237</v>
          </cell>
          <cell r="B4437" t="str">
            <v>TK. SANDI JAYA</v>
          </cell>
          <cell r="D4437">
            <v>399405.68181818177</v>
          </cell>
        </row>
        <row r="4438">
          <cell r="A4438">
            <v>2241055</v>
          </cell>
          <cell r="B4438" t="str">
            <v>TK. RYN GRATIA FARMA</v>
          </cell>
          <cell r="D4438">
            <v>341700</v>
          </cell>
        </row>
        <row r="4439">
          <cell r="A4439">
            <v>2540209</v>
          </cell>
          <cell r="B4439" t="str">
            <v>TK. JAKARTA</v>
          </cell>
          <cell r="D4439">
            <v>699600.00000000012</v>
          </cell>
        </row>
        <row r="4440">
          <cell r="A4440">
            <v>2141162</v>
          </cell>
          <cell r="B4440" t="str">
            <v>APT. SEJAHTERA</v>
          </cell>
          <cell r="D4440">
            <v>208830.90909090912</v>
          </cell>
        </row>
        <row r="4441">
          <cell r="A4441">
            <v>2530011</v>
          </cell>
          <cell r="B4441" t="str">
            <v>GRS. BAGAN JAYA</v>
          </cell>
          <cell r="D4441">
            <v>2797936.3636363633</v>
          </cell>
        </row>
        <row r="4442">
          <cell r="A4442">
            <v>2540013</v>
          </cell>
          <cell r="B4442" t="str">
            <v>APT. SINAR</v>
          </cell>
          <cell r="D4442">
            <v>1022407.4999999999</v>
          </cell>
        </row>
        <row r="4443">
          <cell r="A4443">
            <v>2540004</v>
          </cell>
          <cell r="B4443" t="str">
            <v>APT. FARHAN</v>
          </cell>
          <cell r="D4443">
            <v>266400.00000000006</v>
          </cell>
        </row>
        <row r="4444">
          <cell r="A4444">
            <v>2540060</v>
          </cell>
          <cell r="B4444" t="str">
            <v>TK. FARHAN PONSEL</v>
          </cell>
          <cell r="D4444">
            <v>433200</v>
          </cell>
        </row>
        <row r="4445">
          <cell r="A4445">
            <v>2340261</v>
          </cell>
          <cell r="B4445" t="str">
            <v>TK. BUANA FARMA</v>
          </cell>
          <cell r="D4445">
            <v>150000</v>
          </cell>
        </row>
        <row r="4446">
          <cell r="A4446">
            <v>2340272</v>
          </cell>
          <cell r="B4446" t="str">
            <v>TK. MAJU JAYA</v>
          </cell>
          <cell r="D4446">
            <v>270750</v>
          </cell>
        </row>
        <row r="4447">
          <cell r="A4447">
            <v>2140056</v>
          </cell>
          <cell r="B4447" t="str">
            <v>KHARISMA COSMETIC</v>
          </cell>
          <cell r="D4447">
            <v>6293250</v>
          </cell>
        </row>
        <row r="4448">
          <cell r="A4448">
            <v>2340369</v>
          </cell>
          <cell r="B4448" t="str">
            <v>APT. BUANA</v>
          </cell>
          <cell r="D4448">
            <v>150000</v>
          </cell>
        </row>
        <row r="4449">
          <cell r="A4449">
            <v>2340390</v>
          </cell>
          <cell r="B4449" t="str">
            <v>TK. GLOBAL 2</v>
          </cell>
          <cell r="D4449">
            <v>884376.81818181823</v>
          </cell>
        </row>
        <row r="4450">
          <cell r="A4450">
            <v>2440456</v>
          </cell>
          <cell r="B4450" t="str">
            <v>HANAN FARMA</v>
          </cell>
          <cell r="D4450">
            <v>981133.63636363624</v>
          </cell>
        </row>
        <row r="4451">
          <cell r="A4451">
            <v>2440485</v>
          </cell>
          <cell r="B4451" t="str">
            <v>SANNIA KOSMETIK</v>
          </cell>
          <cell r="D4451">
            <v>29014172.181818191</v>
          </cell>
        </row>
        <row r="4452">
          <cell r="A4452">
            <v>2340372</v>
          </cell>
          <cell r="B4452" t="str">
            <v>APT. SANJAYA KANDIS</v>
          </cell>
          <cell r="D4452">
            <v>295000</v>
          </cell>
        </row>
        <row r="4453">
          <cell r="A4453">
            <v>2320001</v>
          </cell>
          <cell r="B4453" t="str">
            <v>BINTANG SWALAYAN</v>
          </cell>
          <cell r="D4453">
            <v>823540.90909090918</v>
          </cell>
        </row>
        <row r="4454">
          <cell r="A4454">
            <v>2340227</v>
          </cell>
          <cell r="B4454" t="str">
            <v>TK. LENTA</v>
          </cell>
          <cell r="D4454">
            <v>37800</v>
          </cell>
        </row>
        <row r="4455">
          <cell r="A4455">
            <v>2340011</v>
          </cell>
          <cell r="B4455" t="str">
            <v>SEHAT FARMA</v>
          </cell>
          <cell r="D4455">
            <v>977463.40909090894</v>
          </cell>
        </row>
        <row r="4456">
          <cell r="A4456">
            <v>2220004</v>
          </cell>
          <cell r="B4456" t="str">
            <v>FAMILY MART</v>
          </cell>
          <cell r="D4456">
            <v>130778.18181818184</v>
          </cell>
        </row>
        <row r="4457">
          <cell r="A4457">
            <v>2240980</v>
          </cell>
          <cell r="B4457" t="str">
            <v>TK. NAJWA FARMA</v>
          </cell>
          <cell r="D4457">
            <v>316619.31818181818</v>
          </cell>
        </row>
        <row r="4458">
          <cell r="A4458">
            <v>2220032</v>
          </cell>
          <cell r="B4458" t="str">
            <v>GRS. JY MART</v>
          </cell>
          <cell r="D4458">
            <v>2134840.9090909087</v>
          </cell>
        </row>
        <row r="4459">
          <cell r="A4459">
            <v>2140216</v>
          </cell>
          <cell r="B4459" t="str">
            <v>TK. SON PONSEL</v>
          </cell>
          <cell r="D4459">
            <v>85116.818181818177</v>
          </cell>
        </row>
        <row r="4460">
          <cell r="A4460">
            <v>2240163</v>
          </cell>
          <cell r="B4460" t="str">
            <v>TK. SEHAT</v>
          </cell>
          <cell r="D4460">
            <v>231954.54545454544</v>
          </cell>
        </row>
        <row r="4461">
          <cell r="A4461">
            <v>2240215</v>
          </cell>
          <cell r="B4461" t="str">
            <v>TK. AYU</v>
          </cell>
          <cell r="D4461">
            <v>317863.63636363635</v>
          </cell>
        </row>
        <row r="4462">
          <cell r="A4462">
            <v>2141183</v>
          </cell>
          <cell r="B4462" t="str">
            <v>TK. OBAT KURNIA</v>
          </cell>
          <cell r="D4462">
            <v>717269.31818181812</v>
          </cell>
        </row>
        <row r="4463">
          <cell r="A4463">
            <v>2141092</v>
          </cell>
          <cell r="B4463" t="str">
            <v>TK. LUTFI GROSIR BARNIK</v>
          </cell>
          <cell r="D4463">
            <v>2133433.0909090908</v>
          </cell>
        </row>
        <row r="4464">
          <cell r="A4464">
            <v>2240257</v>
          </cell>
          <cell r="B4464" t="str">
            <v>TK. JOE FARMA</v>
          </cell>
          <cell r="D4464">
            <v>136681.36363636365</v>
          </cell>
        </row>
        <row r="4465">
          <cell r="A4465">
            <v>2241050</v>
          </cell>
          <cell r="B4465" t="str">
            <v>TK. ROMAULI FARMA</v>
          </cell>
          <cell r="D4465">
            <v>337909.09090909088</v>
          </cell>
        </row>
        <row r="4466">
          <cell r="A4466">
            <v>2240614</v>
          </cell>
          <cell r="B4466" t="str">
            <v>TK. DESI PONSEL</v>
          </cell>
          <cell r="D4466">
            <v>317863.63636363635</v>
          </cell>
        </row>
        <row r="4467">
          <cell r="A4467">
            <v>2140850</v>
          </cell>
          <cell r="B4467" t="str">
            <v>TK. MEDI</v>
          </cell>
          <cell r="D4467">
            <v>317863.63636363635</v>
          </cell>
        </row>
        <row r="4468">
          <cell r="A4468">
            <v>2640003</v>
          </cell>
          <cell r="B4468" t="str">
            <v>SERBA USAHA</v>
          </cell>
          <cell r="D4468">
            <v>317863.63636363635</v>
          </cell>
        </row>
        <row r="4469">
          <cell r="A4469">
            <v>2540606</v>
          </cell>
          <cell r="B4469" t="str">
            <v>TK. VANO</v>
          </cell>
          <cell r="D4469">
            <v>325500</v>
          </cell>
        </row>
        <row r="4470">
          <cell r="A4470">
            <v>2140851</v>
          </cell>
          <cell r="B4470" t="str">
            <v>TK. 7 UP JAYA</v>
          </cell>
          <cell r="D4470">
            <v>49798.63636363636</v>
          </cell>
        </row>
        <row r="4471">
          <cell r="A4471">
            <v>2141117</v>
          </cell>
          <cell r="B4471" t="str">
            <v>UNION MART</v>
          </cell>
          <cell r="D4471">
            <v>317863.63636363635</v>
          </cell>
        </row>
        <row r="4472">
          <cell r="A4472">
            <v>2540590</v>
          </cell>
          <cell r="B4472" t="str">
            <v>TK. YOHANA COSMETIC</v>
          </cell>
          <cell r="D4472">
            <v>2942818.6363636376</v>
          </cell>
        </row>
        <row r="4473">
          <cell r="A4473">
            <v>2640216</v>
          </cell>
          <cell r="B4473" t="str">
            <v>TK. OBAT CAHAYA</v>
          </cell>
          <cell r="D4473">
            <v>635727.27272727259</v>
          </cell>
        </row>
        <row r="4474">
          <cell r="A4474">
            <v>2540326</v>
          </cell>
          <cell r="B4474" t="str">
            <v>TK. NORA YOSEVIN</v>
          </cell>
          <cell r="D4474">
            <v>2283728.1818181821</v>
          </cell>
        </row>
        <row r="4475">
          <cell r="A4475">
            <v>2640241</v>
          </cell>
          <cell r="B4475" t="str">
            <v>KURNIA MART</v>
          </cell>
          <cell r="D4475">
            <v>206198.63636363635</v>
          </cell>
        </row>
        <row r="4476">
          <cell r="A4476">
            <v>2141245</v>
          </cell>
          <cell r="B4476" t="str">
            <v>TK. ZAFRAN CELL</v>
          </cell>
          <cell r="D4476">
            <v>61806.818181818177</v>
          </cell>
        </row>
        <row r="4477">
          <cell r="A4477">
            <v>2540559</v>
          </cell>
          <cell r="B4477" t="str">
            <v>TK. SUGI JAYA</v>
          </cell>
          <cell r="D4477">
            <v>317863.63636363635</v>
          </cell>
        </row>
        <row r="4478">
          <cell r="A4478">
            <v>2640136</v>
          </cell>
          <cell r="B4478" t="str">
            <v>GRS. UJANG MESKOM</v>
          </cell>
          <cell r="D4478">
            <v>1987694.7727272729</v>
          </cell>
        </row>
        <row r="4479">
          <cell r="A4479">
            <v>2540616</v>
          </cell>
          <cell r="B4479" t="str">
            <v>RIFFI KOSMETIK</v>
          </cell>
          <cell r="D4479">
            <v>511909.09090909088</v>
          </cell>
        </row>
        <row r="4480">
          <cell r="A4480">
            <v>2540584</v>
          </cell>
          <cell r="B4480" t="str">
            <v>APT. SINEMBAH</v>
          </cell>
          <cell r="D4480">
            <v>429863.63636363629</v>
          </cell>
        </row>
        <row r="4481">
          <cell r="A4481">
            <v>2120002</v>
          </cell>
          <cell r="B4481" t="str">
            <v>CV. MARIGOLD PLUS</v>
          </cell>
          <cell r="D4481">
            <v>2089946.863636364</v>
          </cell>
        </row>
        <row r="4482">
          <cell r="A4482">
            <v>2640067</v>
          </cell>
          <cell r="B4482" t="str">
            <v>ILHAM MARKET</v>
          </cell>
          <cell r="D4482">
            <v>635727.27272727259</v>
          </cell>
        </row>
        <row r="4483">
          <cell r="A4483">
            <v>2540620</v>
          </cell>
          <cell r="B4483" t="str">
            <v>TK. HAMDALAH</v>
          </cell>
          <cell r="D4483">
            <v>354947.72727272724</v>
          </cell>
        </row>
        <row r="4484">
          <cell r="A4484">
            <v>2540202</v>
          </cell>
          <cell r="B4484" t="str">
            <v>TK. DOA MAMA</v>
          </cell>
          <cell r="D4484">
            <v>317863.63636363629</v>
          </cell>
        </row>
        <row r="4485">
          <cell r="A4485">
            <v>2141249</v>
          </cell>
          <cell r="B4485" t="str">
            <v>MALEM FARMA</v>
          </cell>
          <cell r="D4485">
            <v>224093.86363636365</v>
          </cell>
        </row>
        <row r="4486">
          <cell r="A4486">
            <v>2540588</v>
          </cell>
          <cell r="B4486" t="str">
            <v>TK. LUTFI</v>
          </cell>
          <cell r="D4486">
            <v>317863.63636363635</v>
          </cell>
        </row>
        <row r="4487">
          <cell r="A4487">
            <v>2540311</v>
          </cell>
          <cell r="B4487" t="str">
            <v>TK. DESLI FRANTIKA</v>
          </cell>
          <cell r="D4487">
            <v>141272.72727272726</v>
          </cell>
        </row>
        <row r="4488">
          <cell r="A4488">
            <v>2440488</v>
          </cell>
          <cell r="B4488" t="str">
            <v>TK. MARLUGA</v>
          </cell>
          <cell r="D4488">
            <v>211909.09090909088</v>
          </cell>
        </row>
        <row r="4489">
          <cell r="A4489">
            <v>2440188</v>
          </cell>
          <cell r="B4489" t="str">
            <v>TK. MITRA FARMAA</v>
          </cell>
          <cell r="D4489">
            <v>883463.63636363624</v>
          </cell>
        </row>
        <row r="4490">
          <cell r="A4490">
            <v>2140543</v>
          </cell>
          <cell r="B4490" t="str">
            <v>ANJ CHANDRA</v>
          </cell>
          <cell r="D4490">
            <v>104365.22727272728</v>
          </cell>
        </row>
        <row r="4491">
          <cell r="A4491">
            <v>2140519</v>
          </cell>
          <cell r="B4491" t="str">
            <v>ANJ YUDI</v>
          </cell>
          <cell r="D4491">
            <v>25000</v>
          </cell>
        </row>
        <row r="4492">
          <cell r="A4492">
            <v>2340364</v>
          </cell>
          <cell r="B4492" t="str">
            <v>APT. AVE MEDIKA</v>
          </cell>
          <cell r="D4492">
            <v>398863.63636363635</v>
          </cell>
        </row>
        <row r="4493">
          <cell r="A4493">
            <v>2340243</v>
          </cell>
          <cell r="B4493" t="str">
            <v>TK. FATIH</v>
          </cell>
          <cell r="D4493">
            <v>155954.54545454547</v>
          </cell>
        </row>
        <row r="4494">
          <cell r="A4494">
            <v>2340093</v>
          </cell>
          <cell r="B4494" t="str">
            <v>TK. FIKA</v>
          </cell>
          <cell r="D4494">
            <v>105954.54545454544</v>
          </cell>
        </row>
        <row r="4495">
          <cell r="A4495">
            <v>2340105</v>
          </cell>
          <cell r="B4495" t="str">
            <v>TK. KOPSA MAKMUR SEJAHTERA</v>
          </cell>
          <cell r="D4495">
            <v>130104.54545454544</v>
          </cell>
        </row>
        <row r="4496">
          <cell r="A4496">
            <v>2340115</v>
          </cell>
          <cell r="B4496" t="str">
            <v>TK. REGINA</v>
          </cell>
          <cell r="D4496">
            <v>199800.00000000006</v>
          </cell>
        </row>
        <row r="4497">
          <cell r="A4497">
            <v>2440242</v>
          </cell>
          <cell r="B4497" t="str">
            <v>TK. IVAN</v>
          </cell>
          <cell r="D4497">
            <v>111000.00000000001</v>
          </cell>
        </row>
        <row r="4498">
          <cell r="A4498">
            <v>2440201</v>
          </cell>
          <cell r="B4498" t="str">
            <v>TK. SAFNI 2</v>
          </cell>
          <cell r="D4498">
            <v>123484.09090909091</v>
          </cell>
        </row>
        <row r="4499">
          <cell r="A4499">
            <v>2141116</v>
          </cell>
          <cell r="B4499" t="str">
            <v>CAHAYA MEDIKA</v>
          </cell>
          <cell r="D4499">
            <v>150354.54545454547</v>
          </cell>
        </row>
        <row r="4500">
          <cell r="A4500">
            <v>2141154</v>
          </cell>
          <cell r="B4500" t="str">
            <v>TK. OBAT HASRAT</v>
          </cell>
          <cell r="D4500">
            <v>756943.63636363624</v>
          </cell>
        </row>
        <row r="4501">
          <cell r="A4501">
            <v>2640210</v>
          </cell>
          <cell r="B4501" t="str">
            <v>TK. ACENG SEPAHAT</v>
          </cell>
          <cell r="D4501">
            <v>354000</v>
          </cell>
        </row>
        <row r="4502">
          <cell r="A4502">
            <v>2640032</v>
          </cell>
          <cell r="B4502" t="str">
            <v>GRS. ASEN JAYA</v>
          </cell>
          <cell r="D4502">
            <v>266400.00000000006</v>
          </cell>
        </row>
        <row r="4503">
          <cell r="A4503">
            <v>2640159</v>
          </cell>
          <cell r="B4503" t="str">
            <v>MAJU JAYA</v>
          </cell>
          <cell r="D4503">
            <v>317863.63636363635</v>
          </cell>
        </row>
        <row r="4504">
          <cell r="A4504">
            <v>214979</v>
          </cell>
          <cell r="B4504" t="str">
            <v>ANJ NOVI</v>
          </cell>
          <cell r="D4504">
            <v>57000</v>
          </cell>
        </row>
        <row r="4505">
          <cell r="A4505">
            <v>2140541</v>
          </cell>
          <cell r="B4505" t="str">
            <v>ANJ BOY</v>
          </cell>
          <cell r="D4505">
            <v>49988.636363636368</v>
          </cell>
        </row>
        <row r="4506">
          <cell r="A4506">
            <v>2141141</v>
          </cell>
          <cell r="B4506" t="str">
            <v>TK. PERMATA</v>
          </cell>
          <cell r="D4506">
            <v>174975</v>
          </cell>
        </row>
        <row r="4507">
          <cell r="A4507">
            <v>2140010</v>
          </cell>
          <cell r="B4507" t="str">
            <v>ANJ DENY</v>
          </cell>
          <cell r="D4507">
            <v>110633.18181818182</v>
          </cell>
        </row>
        <row r="4508">
          <cell r="A4508">
            <v>2140740</v>
          </cell>
          <cell r="B4508" t="str">
            <v>TK. CILUK BAA</v>
          </cell>
          <cell r="D4508">
            <v>130773.63636363637</v>
          </cell>
        </row>
        <row r="4509">
          <cell r="A4509">
            <v>8010352831</v>
          </cell>
          <cell r="B4509" t="str">
            <v>AMINAH-B.JAYA, KOSMETIK</v>
          </cell>
          <cell r="D4509">
            <v>1489385.4545454555</v>
          </cell>
        </row>
        <row r="4510">
          <cell r="A4510">
            <v>8010181431</v>
          </cell>
          <cell r="B4510" t="str">
            <v>FEMINA LAMPUNG-MTR, CV.</v>
          </cell>
          <cell r="D4510">
            <v>69372200</v>
          </cell>
        </row>
        <row r="4511">
          <cell r="A4511">
            <v>8010759701</v>
          </cell>
          <cell r="B4511" t="str">
            <v>PINGLED GIRLS (MTR), KOSMETIK</v>
          </cell>
          <cell r="D4511">
            <v>36467181.81818182</v>
          </cell>
        </row>
        <row r="4512">
          <cell r="A4512">
            <v>8010825531</v>
          </cell>
          <cell r="B4512" t="str">
            <v>KUKUKU BDL, KOSMETIK</v>
          </cell>
          <cell r="D4512">
            <v>35944447.272727273</v>
          </cell>
        </row>
        <row r="4513">
          <cell r="A4513">
            <v>8010180281</v>
          </cell>
          <cell r="B4513" t="str">
            <v>ALPHA, APT.</v>
          </cell>
          <cell r="D4513">
            <v>15151.5</v>
          </cell>
        </row>
        <row r="4514">
          <cell r="A4514">
            <v>8010724401</v>
          </cell>
          <cell r="B4514" t="str">
            <v>SLARA, APT</v>
          </cell>
          <cell r="D4514">
            <v>0</v>
          </cell>
        </row>
        <row r="4515">
          <cell r="A4515">
            <v>8010181581</v>
          </cell>
          <cell r="B4515" t="str">
            <v>ROSA DUA, APT.</v>
          </cell>
          <cell r="D4515">
            <v>44400</v>
          </cell>
        </row>
        <row r="4516">
          <cell r="A4516">
            <v>8010848991</v>
          </cell>
          <cell r="B4516" t="str">
            <v>PADAT KARYA, APT</v>
          </cell>
          <cell r="D4516">
            <v>44400</v>
          </cell>
        </row>
        <row r="4517">
          <cell r="A4517">
            <v>8010184451</v>
          </cell>
          <cell r="B4517" t="str">
            <v>99-TJ.BTG, APT</v>
          </cell>
          <cell r="D4517">
            <v>1227861.8181818184</v>
          </cell>
        </row>
        <row r="4518">
          <cell r="A4518">
            <v>8010185011</v>
          </cell>
          <cell r="B4518" t="str">
            <v>ADIL-MTR, APT</v>
          </cell>
          <cell r="D4518">
            <v>244553.18181818191</v>
          </cell>
        </row>
        <row r="4519">
          <cell r="A4519">
            <v>8010837831</v>
          </cell>
          <cell r="B4519" t="str">
            <v>GAMA FARMA GUNUNG MEKAR, APT</v>
          </cell>
          <cell r="D4519">
            <v>152574.54545454559</v>
          </cell>
        </row>
        <row r="4520">
          <cell r="A4520">
            <v>8010717991</v>
          </cell>
          <cell r="B4520" t="str">
            <v>ARROZ FARMA 4, APT</v>
          </cell>
          <cell r="D4520">
            <v>75757.5</v>
          </cell>
        </row>
        <row r="4521">
          <cell r="A4521">
            <v>8010183321</v>
          </cell>
          <cell r="B4521" t="str">
            <v>KHASANAH-TLBW, APT</v>
          </cell>
          <cell r="D4521">
            <v>76287.272727272793</v>
          </cell>
        </row>
        <row r="4522">
          <cell r="A4522">
            <v>8010184151</v>
          </cell>
          <cell r="B4522" t="str">
            <v>SUSAN, TKLO</v>
          </cell>
          <cell r="D4522">
            <v>144098.181818182</v>
          </cell>
        </row>
        <row r="4523">
          <cell r="A4523">
            <v>8010180351</v>
          </cell>
          <cell r="B4523" t="str">
            <v>MUSTIKA, TKLO.</v>
          </cell>
          <cell r="D4523">
            <v>341400</v>
          </cell>
        </row>
        <row r="4524">
          <cell r="A4524">
            <v>8010185811</v>
          </cell>
          <cell r="B4524" t="str">
            <v>RESY, TKLO</v>
          </cell>
          <cell r="D4524">
            <v>434110.90909090941</v>
          </cell>
        </row>
        <row r="4525">
          <cell r="A4525">
            <v>8010665991</v>
          </cell>
          <cell r="B4525" t="str">
            <v>SALSABILA, KOSMETIK</v>
          </cell>
          <cell r="D4525">
            <v>285000</v>
          </cell>
        </row>
        <row r="4526">
          <cell r="A4526">
            <v>8010855951</v>
          </cell>
          <cell r="B4526" t="str">
            <v>LAMPUNG BEAUTY</v>
          </cell>
          <cell r="D4526">
            <v>13475233.63636364</v>
          </cell>
        </row>
        <row r="4527">
          <cell r="A4527">
            <v>8010258381</v>
          </cell>
          <cell r="B4527" t="str">
            <v>CV. SURYA</v>
          </cell>
          <cell r="D4527">
            <v>979153.63636363728</v>
          </cell>
        </row>
        <row r="4528">
          <cell r="A4528">
            <v>8010185881</v>
          </cell>
          <cell r="B4528" t="str">
            <v>FADLI, TKLO</v>
          </cell>
          <cell r="D4528">
            <v>136060.22727272729</v>
          </cell>
        </row>
        <row r="4529">
          <cell r="A4529">
            <v>8010185091</v>
          </cell>
          <cell r="B4529" t="str">
            <v>MITA, TKLO</v>
          </cell>
          <cell r="D4529">
            <v>944592.27272727364</v>
          </cell>
        </row>
        <row r="4530">
          <cell r="A4530">
            <v>8010180721</v>
          </cell>
          <cell r="B4530" t="str">
            <v>TIARA-KLD, APT.</v>
          </cell>
          <cell r="D4530">
            <v>22780.227272727301</v>
          </cell>
        </row>
        <row r="4531">
          <cell r="A4531">
            <v>8010380651</v>
          </cell>
          <cell r="B4531" t="str">
            <v>WILI, KOSMETIK</v>
          </cell>
          <cell r="D4531">
            <v>282797.72727272758</v>
          </cell>
        </row>
        <row r="4532">
          <cell r="A4532">
            <v>8010846321</v>
          </cell>
          <cell r="B4532" t="str">
            <v>VITTA, KOSMETIK</v>
          </cell>
          <cell r="D4532">
            <v>7023357.2727272771</v>
          </cell>
        </row>
        <row r="4533">
          <cell r="A4533">
            <v>8010897961</v>
          </cell>
          <cell r="B4533" t="str">
            <v>NANDA, KOSMETIK</v>
          </cell>
          <cell r="D4533">
            <v>4358600.4545454588</v>
          </cell>
        </row>
        <row r="4534">
          <cell r="A4534">
            <v>8010357271</v>
          </cell>
          <cell r="B4534" t="str">
            <v>SAFRIL KOSMETIK I</v>
          </cell>
          <cell r="D4534">
            <v>26488.6363636364</v>
          </cell>
        </row>
        <row r="4535">
          <cell r="A4535">
            <v>8010352151</v>
          </cell>
          <cell r="B4535" t="str">
            <v>RANI, KOSMETIK</v>
          </cell>
          <cell r="D4535">
            <v>69400</v>
          </cell>
        </row>
        <row r="4536">
          <cell r="A4536">
            <v>8010351851</v>
          </cell>
          <cell r="B4536" t="str">
            <v>MANDIRI, KOSMETIK</v>
          </cell>
          <cell r="D4536">
            <v>156706.772727273</v>
          </cell>
        </row>
        <row r="4537">
          <cell r="A4537">
            <v>8010181851</v>
          </cell>
          <cell r="B4537" t="str">
            <v>ENDANG, TKLO.</v>
          </cell>
          <cell r="D4537">
            <v>21000</v>
          </cell>
        </row>
        <row r="4538">
          <cell r="A4538">
            <v>8010180581</v>
          </cell>
          <cell r="B4538" t="str">
            <v>NUNUNG, TKLO.</v>
          </cell>
          <cell r="D4538">
            <v>132443.181818182</v>
          </cell>
        </row>
        <row r="4539">
          <cell r="A4539">
            <v>8010354741</v>
          </cell>
          <cell r="B4539" t="str">
            <v>SRI MURNI, KOSMETIK</v>
          </cell>
          <cell r="D4539">
            <v>47200</v>
          </cell>
        </row>
        <row r="4540">
          <cell r="A4540" t="str">
            <v>23SPC0257</v>
          </cell>
          <cell r="B4540" t="str">
            <v>AS BEAUTY STORE</v>
          </cell>
          <cell r="D4540">
            <v>1418201.5909090906</v>
          </cell>
        </row>
        <row r="4541">
          <cell r="A4541" t="str">
            <v>18LK00052</v>
          </cell>
          <cell r="B4541" t="str">
            <v xml:space="preserve">SISKA </v>
          </cell>
          <cell r="D4541">
            <v>1086034.0909090908</v>
          </cell>
        </row>
        <row r="4542">
          <cell r="A4542" t="str">
            <v>23SPC0268</v>
          </cell>
          <cell r="B4542" t="str">
            <v>NBC</v>
          </cell>
          <cell r="D4542">
            <v>624631.59090909082</v>
          </cell>
        </row>
        <row r="4543">
          <cell r="A4543" t="str">
            <v>20LK0371</v>
          </cell>
          <cell r="B4543" t="str">
            <v>DHINI</v>
          </cell>
          <cell r="D4543">
            <v>4211275</v>
          </cell>
        </row>
        <row r="4544">
          <cell r="A4544" t="str">
            <v>21LK1116</v>
          </cell>
          <cell r="B4544" t="str">
            <v xml:space="preserve">AVITA </v>
          </cell>
          <cell r="D4544">
            <v>532800.00000000012</v>
          </cell>
        </row>
        <row r="4545">
          <cell r="A4545" t="str">
            <v>19LK0157</v>
          </cell>
          <cell r="B4545" t="str">
            <v>DHORA</v>
          </cell>
          <cell r="D4545">
            <v>32694.54545454546</v>
          </cell>
        </row>
        <row r="4546">
          <cell r="A4546" t="str">
            <v>18LK00017</v>
          </cell>
          <cell r="B4546" t="str">
            <v>MY COSMETIK</v>
          </cell>
          <cell r="D4546">
            <v>31747671.590909094</v>
          </cell>
        </row>
        <row r="4547">
          <cell r="A4547" t="str">
            <v>19LK0101</v>
          </cell>
          <cell r="B4547" t="str">
            <v>HENY</v>
          </cell>
          <cell r="D4547">
            <v>14914781.818181816</v>
          </cell>
        </row>
        <row r="4548">
          <cell r="A4548" t="str">
            <v>10PB00003</v>
          </cell>
          <cell r="B4548" t="str">
            <v>OK MART</v>
          </cell>
          <cell r="D4548">
            <v>240814.95454545453</v>
          </cell>
        </row>
        <row r="4549">
          <cell r="A4549" t="str">
            <v>21LK0619</v>
          </cell>
          <cell r="B4549" t="str">
            <v>AMUK</v>
          </cell>
          <cell r="D4549">
            <v>1446086.3636363638</v>
          </cell>
        </row>
        <row r="4550">
          <cell r="A4550" t="str">
            <v>23SPC0195</v>
          </cell>
          <cell r="B4550" t="str">
            <v>SARMA BEAUTY</v>
          </cell>
          <cell r="D4550">
            <v>133200.00000000003</v>
          </cell>
        </row>
        <row r="4551">
          <cell r="A4551" t="str">
            <v>22SPC0119</v>
          </cell>
          <cell r="B4551" t="str">
            <v>CV. OTTARIE KOBA RAYA/ASOKA KOBA</v>
          </cell>
          <cell r="D4551">
            <v>2178244.0909090913</v>
          </cell>
        </row>
        <row r="4552">
          <cell r="A4552" t="str">
            <v>01DK00017</v>
          </cell>
          <cell r="B4552" t="str">
            <v>PT. ASOKA INDONESIA</v>
          </cell>
          <cell r="D4552">
            <v>2159344.0909090913</v>
          </cell>
        </row>
        <row r="4553">
          <cell r="A4553" t="str">
            <v>22SPC0108</v>
          </cell>
          <cell r="B4553" t="str">
            <v>CV OCTO ASLI INDONESIA/ ASOKA SLT</v>
          </cell>
          <cell r="D4553">
            <v>2159344.0909090913</v>
          </cell>
        </row>
        <row r="4554">
          <cell r="A4554" t="str">
            <v>23SPC0295</v>
          </cell>
          <cell r="B4554" t="str">
            <v>BEAUTY LAB</v>
          </cell>
          <cell r="D4554">
            <v>102386424.54545453</v>
          </cell>
        </row>
        <row r="4555">
          <cell r="A4555" t="str">
            <v>21LK1053</v>
          </cell>
          <cell r="B4555" t="str">
            <v>TOKO SUSI RANDI/SAHARUN</v>
          </cell>
          <cell r="D4555">
            <v>382137.95454545447</v>
          </cell>
        </row>
        <row r="4556">
          <cell r="A4556" t="str">
            <v>06JB00023</v>
          </cell>
          <cell r="B4556" t="str">
            <v>ALWI</v>
          </cell>
          <cell r="D4556">
            <v>245342.04545454547</v>
          </cell>
        </row>
        <row r="4557">
          <cell r="A4557" t="str">
            <v>21LK0671</v>
          </cell>
          <cell r="B4557" t="str">
            <v>ASUN TIKET</v>
          </cell>
          <cell r="D4557">
            <v>112636.36363636363</v>
          </cell>
        </row>
        <row r="4558">
          <cell r="A4558" t="str">
            <v>23SPC0231</v>
          </cell>
          <cell r="B4558" t="str">
            <v>SINTA SPC</v>
          </cell>
          <cell r="D4558">
            <v>54488.636363636368</v>
          </cell>
        </row>
        <row r="4559">
          <cell r="A4559" t="str">
            <v>21LK0614</v>
          </cell>
          <cell r="B4559" t="str">
            <v>MENTARI MENTOK</v>
          </cell>
          <cell r="D4559">
            <v>717352.0454545453</v>
          </cell>
        </row>
        <row r="4560">
          <cell r="A4560" t="str">
            <v>05MT00036</v>
          </cell>
          <cell r="B4560" t="str">
            <v>ASUN</v>
          </cell>
          <cell r="D4560">
            <v>1074579.5454545454</v>
          </cell>
        </row>
        <row r="4561">
          <cell r="A4561" t="str">
            <v>21LK0649</v>
          </cell>
          <cell r="B4561" t="str">
            <v>SELERA ANDA MART</v>
          </cell>
          <cell r="D4561">
            <v>1712037.5000000002</v>
          </cell>
        </row>
        <row r="4562">
          <cell r="A4562" t="str">
            <v>05MT00009</v>
          </cell>
          <cell r="B4562" t="str">
            <v>LIAUW LIAT SIW</v>
          </cell>
          <cell r="D4562">
            <v>55626.136363636375</v>
          </cell>
        </row>
        <row r="4563">
          <cell r="A4563" t="str">
            <v>21LK0494</v>
          </cell>
          <cell r="B4563" t="str">
            <v>TOKO HOKIE</v>
          </cell>
          <cell r="D4563">
            <v>425352.27272727276</v>
          </cell>
        </row>
        <row r="4564">
          <cell r="A4564" t="str">
            <v>23SPC0301</v>
          </cell>
          <cell r="B4564" t="str">
            <v>TARI COSMETIC</v>
          </cell>
          <cell r="D4564">
            <v>2064916.8181818177</v>
          </cell>
        </row>
        <row r="4565">
          <cell r="A4565" t="str">
            <v>22SPC0159</v>
          </cell>
          <cell r="B4565" t="str">
            <v>ROSE BEAUTY</v>
          </cell>
          <cell r="D4565">
            <v>1208905.9090909092</v>
          </cell>
        </row>
        <row r="4566">
          <cell r="A4566" t="str">
            <v>23SPC0302</v>
          </cell>
          <cell r="B4566" t="str">
            <v>DARSI</v>
          </cell>
          <cell r="D4566">
            <v>917566.36363636341</v>
          </cell>
        </row>
        <row r="4567">
          <cell r="A4567" t="str">
            <v>20LK0352</v>
          </cell>
          <cell r="B4567" t="str">
            <v>AJ MART S.KATIS</v>
          </cell>
          <cell r="D4567">
            <v>1519072.4999999998</v>
          </cell>
        </row>
        <row r="4568">
          <cell r="A4568" t="str">
            <v>23SPC0297</v>
          </cell>
          <cell r="B4568" t="str">
            <v>REYSHA STORE</v>
          </cell>
          <cell r="D4568">
            <v>102948171.81818181</v>
          </cell>
        </row>
        <row r="4569">
          <cell r="A4569" t="str">
            <v>21LK0500</v>
          </cell>
          <cell r="B4569" t="str">
            <v>CV. PGK BEAUTY STORE</v>
          </cell>
          <cell r="D4569">
            <v>146645165.45454538</v>
          </cell>
        </row>
        <row r="4570">
          <cell r="A4570" t="str">
            <v>Grand Total</v>
          </cell>
          <cell r="C4570">
            <v>37734809792.79924</v>
          </cell>
          <cell r="D4570">
            <v>28699106430.431969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FB8A-A9C8-490D-ADE4-4E9D9B08C681}">
  <dimension ref="A1:V81"/>
  <sheetViews>
    <sheetView workbookViewId="0">
      <selection activeCell="N11" sqref="N11"/>
    </sheetView>
  </sheetViews>
  <sheetFormatPr defaultRowHeight="14.4" x14ac:dyDescent="0.3"/>
  <cols>
    <col min="1" max="1" width="3.44140625" bestFit="1" customWidth="1"/>
    <col min="2" max="2" width="11.33203125" bestFit="1" customWidth="1"/>
    <col min="3" max="3" width="35.88671875" bestFit="1" customWidth="1"/>
    <col min="5" max="5" width="12.88671875" bestFit="1" customWidth="1"/>
    <col min="6" max="10" width="13.77734375" style="2" hidden="1" customWidth="1"/>
    <col min="11" max="11" width="16.109375" style="2" hidden="1" customWidth="1"/>
    <col min="12" max="12" width="16.21875" style="2" hidden="1" customWidth="1"/>
    <col min="13" max="13" width="9.77734375" hidden="1" customWidth="1"/>
    <col min="14" max="17" width="12.21875" bestFit="1" customWidth="1"/>
    <col min="19" max="19" width="16.5546875" bestFit="1" customWidth="1"/>
    <col min="20" max="20" width="17.77734375" bestFit="1" customWidth="1"/>
    <col min="21" max="21" width="16.5546875" bestFit="1" customWidth="1"/>
    <col min="22" max="22" width="17.77734375" bestFit="1" customWidth="1"/>
  </cols>
  <sheetData>
    <row r="1" spans="1:22" ht="21" x14ac:dyDescent="0.4">
      <c r="A1" s="16" t="s">
        <v>164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22" ht="18" x14ac:dyDescent="0.35">
      <c r="A2" s="26" t="s">
        <v>159</v>
      </c>
      <c r="B2" s="26" t="s">
        <v>2</v>
      </c>
      <c r="C2" s="26" t="s">
        <v>3</v>
      </c>
      <c r="D2" s="26" t="s">
        <v>5</v>
      </c>
      <c r="E2" s="26" t="s">
        <v>1</v>
      </c>
      <c r="F2" s="24" t="s">
        <v>4</v>
      </c>
      <c r="G2" s="24"/>
      <c r="H2" s="24"/>
      <c r="I2" s="24"/>
      <c r="J2" s="24"/>
      <c r="K2" s="24"/>
      <c r="L2" s="24"/>
      <c r="M2" s="26" t="s">
        <v>161</v>
      </c>
      <c r="N2" s="23" t="s">
        <v>173</v>
      </c>
      <c r="O2" s="23"/>
      <c r="P2" s="23"/>
      <c r="Q2" s="23"/>
      <c r="R2" s="23"/>
      <c r="S2" s="23"/>
      <c r="T2" s="23"/>
      <c r="U2" s="23"/>
      <c r="V2" s="23"/>
    </row>
    <row r="3" spans="1:22" x14ac:dyDescent="0.3">
      <c r="A3" s="26"/>
      <c r="B3" s="26"/>
      <c r="C3" s="26"/>
      <c r="D3" s="26"/>
      <c r="E3" s="26"/>
      <c r="F3" s="7" t="s">
        <v>7</v>
      </c>
      <c r="G3" s="7" t="s">
        <v>137</v>
      </c>
      <c r="H3" s="7" t="s">
        <v>142</v>
      </c>
      <c r="I3" s="7" t="s">
        <v>155</v>
      </c>
      <c r="J3" s="7" t="s">
        <v>156</v>
      </c>
      <c r="K3" s="7" t="s">
        <v>157</v>
      </c>
      <c r="L3" s="7" t="s">
        <v>158</v>
      </c>
      <c r="M3" s="26"/>
      <c r="N3" s="10" t="s">
        <v>7</v>
      </c>
      <c r="O3" s="10" t="s">
        <v>174</v>
      </c>
      <c r="P3" s="10" t="s">
        <v>142</v>
      </c>
      <c r="Q3" s="10" t="s">
        <v>175</v>
      </c>
      <c r="R3" s="11" t="s">
        <v>176</v>
      </c>
      <c r="S3" s="10" t="s">
        <v>177</v>
      </c>
      <c r="T3" s="10" t="s">
        <v>178</v>
      </c>
      <c r="U3" s="10" t="s">
        <v>179</v>
      </c>
      <c r="V3" s="10" t="s">
        <v>180</v>
      </c>
    </row>
    <row r="4" spans="1:22" x14ac:dyDescent="0.3">
      <c r="A4" s="3">
        <v>1</v>
      </c>
      <c r="B4" s="3" t="s">
        <v>20</v>
      </c>
      <c r="C4" s="3" t="s">
        <v>21</v>
      </c>
      <c r="D4" s="3" t="s">
        <v>8</v>
      </c>
      <c r="E4" s="3" t="s">
        <v>15</v>
      </c>
      <c r="F4" s="4">
        <v>130780446.81818178</v>
      </c>
      <c r="G4" s="4">
        <v>114783357.27272724</v>
      </c>
      <c r="H4" s="4">
        <v>102257417.63636364</v>
      </c>
      <c r="I4" s="4">
        <f t="shared" ref="I4:I13" si="0">(F4+G4+H4)/3</f>
        <v>115940407.2424242</v>
      </c>
      <c r="J4" s="4">
        <f>I4*110%</f>
        <v>127534447.96666664</v>
      </c>
      <c r="K4" s="4">
        <v>128000000</v>
      </c>
      <c r="L4" s="4">
        <f>K4*3</f>
        <v>384000000</v>
      </c>
      <c r="M4" s="5">
        <v>0.04</v>
      </c>
      <c r="N4" s="12">
        <v>130780446.81818184</v>
      </c>
      <c r="O4" s="12">
        <v>114783357.27272724</v>
      </c>
      <c r="P4" s="12">
        <v>102257417.63636364</v>
      </c>
      <c r="Q4" s="12">
        <f>AVERAGE(N4:P4)</f>
        <v>115940407.24242423</v>
      </c>
      <c r="R4" s="13">
        <v>0.1</v>
      </c>
      <c r="S4" s="12">
        <f>Q4+(Q4*R4)</f>
        <v>127534447.96666665</v>
      </c>
      <c r="T4" s="12">
        <f>S4*3</f>
        <v>382603343.89999998</v>
      </c>
      <c r="U4" s="12">
        <f>S4/1.11</f>
        <v>114895899.06906904</v>
      </c>
      <c r="V4" s="12">
        <f>T4/1.11</f>
        <v>344687697.20720714</v>
      </c>
    </row>
    <row r="5" spans="1:22" x14ac:dyDescent="0.3">
      <c r="A5" s="3">
        <v>2</v>
      </c>
      <c r="B5" s="3" t="s">
        <v>17</v>
      </c>
      <c r="C5" s="3" t="s">
        <v>18</v>
      </c>
      <c r="D5" s="3" t="s">
        <v>8</v>
      </c>
      <c r="E5" s="3" t="s">
        <v>15</v>
      </c>
      <c r="F5" s="4">
        <v>88142589.545454547</v>
      </c>
      <c r="G5" s="4">
        <v>105506519.99999999</v>
      </c>
      <c r="H5" s="4">
        <v>112426788</v>
      </c>
      <c r="I5" s="4">
        <f t="shared" si="0"/>
        <v>102025299.18181817</v>
      </c>
      <c r="J5" s="4">
        <f t="shared" ref="J5:J67" si="1">I5*110%</f>
        <v>112227829.09999999</v>
      </c>
      <c r="K5" s="4">
        <v>113000000</v>
      </c>
      <c r="L5" s="4">
        <f t="shared" ref="L5:L67" si="2">K5*3</f>
        <v>339000000</v>
      </c>
      <c r="M5" s="5">
        <v>0.04</v>
      </c>
      <c r="N5" s="12">
        <v>88142589.545454547</v>
      </c>
      <c r="O5" s="12">
        <v>105506519.99999999</v>
      </c>
      <c r="P5" s="12">
        <v>112426788</v>
      </c>
      <c r="Q5" s="12">
        <f t="shared" ref="Q5:Q14" si="3">AVERAGE(N5:P5)</f>
        <v>102025299.18181817</v>
      </c>
      <c r="R5" s="13">
        <v>0.1</v>
      </c>
      <c r="S5" s="12">
        <f t="shared" ref="S5:S14" si="4">Q5+(Q5*R5)</f>
        <v>112227829.09999999</v>
      </c>
      <c r="T5" s="12">
        <f t="shared" ref="T5:T14" si="5">S5*3</f>
        <v>336683487.29999995</v>
      </c>
      <c r="U5" s="12">
        <f t="shared" ref="U5:V14" si="6">S5/1.11</f>
        <v>101106152.34234233</v>
      </c>
      <c r="V5" s="12">
        <f t="shared" si="6"/>
        <v>303318457.02702695</v>
      </c>
    </row>
    <row r="6" spans="1:22" x14ac:dyDescent="0.3">
      <c r="A6" s="3">
        <v>3</v>
      </c>
      <c r="B6" s="3" t="s">
        <v>36</v>
      </c>
      <c r="C6" s="3" t="s">
        <v>37</v>
      </c>
      <c r="D6" s="3" t="s">
        <v>8</v>
      </c>
      <c r="E6" s="3" t="s">
        <v>15</v>
      </c>
      <c r="F6" s="4">
        <v>103968117.68181817</v>
      </c>
      <c r="G6" s="4">
        <v>82729459.772727266</v>
      </c>
      <c r="H6" s="4">
        <v>97627949.772727281</v>
      </c>
      <c r="I6" s="4">
        <f t="shared" si="0"/>
        <v>94775175.74242425</v>
      </c>
      <c r="J6" s="4">
        <f t="shared" si="1"/>
        <v>104252693.31666668</v>
      </c>
      <c r="K6" s="4">
        <v>105000000</v>
      </c>
      <c r="L6" s="4">
        <f t="shared" si="2"/>
        <v>315000000</v>
      </c>
      <c r="M6" s="5">
        <v>0.04</v>
      </c>
      <c r="N6" s="12">
        <v>103968117.68181814</v>
      </c>
      <c r="O6" s="12">
        <v>82729459.772727266</v>
      </c>
      <c r="P6" s="12">
        <v>97627949.772727281</v>
      </c>
      <c r="Q6" s="12">
        <f t="shared" si="3"/>
        <v>94775175.742424235</v>
      </c>
      <c r="R6" s="13">
        <v>0.1</v>
      </c>
      <c r="S6" s="12">
        <f t="shared" si="4"/>
        <v>104252693.31666666</v>
      </c>
      <c r="T6" s="12">
        <f t="shared" si="5"/>
        <v>312758079.94999999</v>
      </c>
      <c r="U6" s="12">
        <f t="shared" si="6"/>
        <v>93921345.330330312</v>
      </c>
      <c r="V6" s="12">
        <f t="shared" si="6"/>
        <v>281764035.99099094</v>
      </c>
    </row>
    <row r="7" spans="1:22" x14ac:dyDescent="0.3">
      <c r="A7" s="3">
        <v>4</v>
      </c>
      <c r="B7" s="3" t="s">
        <v>43</v>
      </c>
      <c r="C7" s="3" t="s">
        <v>44</v>
      </c>
      <c r="D7" s="3" t="s">
        <v>8</v>
      </c>
      <c r="E7" s="3" t="s">
        <v>15</v>
      </c>
      <c r="F7" s="4">
        <v>44023626.000000007</v>
      </c>
      <c r="G7" s="4">
        <v>108984673.63636366</v>
      </c>
      <c r="H7" s="4">
        <v>92136519.545454532</v>
      </c>
      <c r="I7" s="4">
        <f t="shared" si="0"/>
        <v>81714939.727272734</v>
      </c>
      <c r="J7" s="4">
        <f t="shared" si="1"/>
        <v>89886433.700000018</v>
      </c>
      <c r="K7" s="4">
        <v>90000000</v>
      </c>
      <c r="L7" s="4">
        <f t="shared" si="2"/>
        <v>270000000</v>
      </c>
      <c r="M7" s="5">
        <v>0.04</v>
      </c>
      <c r="N7" s="12">
        <v>44023626</v>
      </c>
      <c r="O7" s="12">
        <v>108984673.63636366</v>
      </c>
      <c r="P7" s="12">
        <v>92136519.545454532</v>
      </c>
      <c r="Q7" s="12">
        <f t="shared" si="3"/>
        <v>81714939.727272734</v>
      </c>
      <c r="R7" s="13">
        <v>0.1</v>
      </c>
      <c r="S7" s="12">
        <f t="shared" si="4"/>
        <v>89886433.700000003</v>
      </c>
      <c r="T7" s="12">
        <f t="shared" si="5"/>
        <v>269659301.10000002</v>
      </c>
      <c r="U7" s="12">
        <f t="shared" si="6"/>
        <v>80978769.0990991</v>
      </c>
      <c r="V7" s="12">
        <f t="shared" si="6"/>
        <v>242936307.2972973</v>
      </c>
    </row>
    <row r="8" spans="1:22" x14ac:dyDescent="0.3">
      <c r="A8" s="3">
        <v>5</v>
      </c>
      <c r="B8" s="3" t="s">
        <v>30</v>
      </c>
      <c r="C8" s="3" t="s">
        <v>31</v>
      </c>
      <c r="D8" s="3" t="s">
        <v>8</v>
      </c>
      <c r="E8" s="3" t="s">
        <v>15</v>
      </c>
      <c r="F8" s="4">
        <v>86412190.454545394</v>
      </c>
      <c r="G8" s="4">
        <v>42787973.636363648</v>
      </c>
      <c r="H8" s="4">
        <v>73228260.090909079</v>
      </c>
      <c r="I8" s="4">
        <f t="shared" si="0"/>
        <v>67476141.393939376</v>
      </c>
      <c r="J8" s="4">
        <f t="shared" si="1"/>
        <v>74223755.533333316</v>
      </c>
      <c r="K8" s="4">
        <v>75000000</v>
      </c>
      <c r="L8" s="4">
        <f t="shared" si="2"/>
        <v>225000000</v>
      </c>
      <c r="M8" s="5">
        <v>0.04</v>
      </c>
      <c r="N8" s="12">
        <v>86412190.454545394</v>
      </c>
      <c r="O8" s="12">
        <v>42787973.636363648</v>
      </c>
      <c r="P8" s="12">
        <v>73228260.090909079</v>
      </c>
      <c r="Q8" s="12">
        <f t="shared" si="3"/>
        <v>67476141.393939376</v>
      </c>
      <c r="R8" s="13">
        <v>0.1</v>
      </c>
      <c r="S8" s="12">
        <f t="shared" si="4"/>
        <v>74223755.533333316</v>
      </c>
      <c r="T8" s="12">
        <f t="shared" si="5"/>
        <v>222671266.59999996</v>
      </c>
      <c r="U8" s="12">
        <f t="shared" si="6"/>
        <v>66868248.228228204</v>
      </c>
      <c r="V8" s="12">
        <f t="shared" si="6"/>
        <v>200604744.68468463</v>
      </c>
    </row>
    <row r="9" spans="1:22" x14ac:dyDescent="0.3">
      <c r="A9" s="3">
        <v>6</v>
      </c>
      <c r="B9" s="3" t="s">
        <v>28</v>
      </c>
      <c r="C9" s="3" t="s">
        <v>29</v>
      </c>
      <c r="D9" s="3" t="s">
        <v>8</v>
      </c>
      <c r="E9" s="3" t="s">
        <v>15</v>
      </c>
      <c r="F9" s="4">
        <v>11677389.545454545</v>
      </c>
      <c r="G9" s="4">
        <v>34038049.818181835</v>
      </c>
      <c r="H9" s="4">
        <v>65983040.454545461</v>
      </c>
      <c r="I9" s="4">
        <f t="shared" si="0"/>
        <v>37232826.606060617</v>
      </c>
      <c r="J9" s="4">
        <f t="shared" si="1"/>
        <v>40956109.266666681</v>
      </c>
      <c r="K9" s="4">
        <v>41000000</v>
      </c>
      <c r="L9" s="4">
        <f t="shared" si="2"/>
        <v>123000000</v>
      </c>
      <c r="M9" s="5">
        <v>0.04</v>
      </c>
      <c r="N9" s="12">
        <v>11677389.545454545</v>
      </c>
      <c r="O9" s="12">
        <v>34038049.818181835</v>
      </c>
      <c r="P9" s="12">
        <v>65983040.454545461</v>
      </c>
      <c r="Q9" s="12">
        <f t="shared" si="3"/>
        <v>37232826.606060617</v>
      </c>
      <c r="R9" s="13">
        <v>0.1</v>
      </c>
      <c r="S9" s="12">
        <f t="shared" si="4"/>
        <v>40956109.266666681</v>
      </c>
      <c r="T9" s="12">
        <f t="shared" si="5"/>
        <v>122868327.80000004</v>
      </c>
      <c r="U9" s="12">
        <f t="shared" si="6"/>
        <v>36897395.735735744</v>
      </c>
      <c r="V9" s="12">
        <f t="shared" si="6"/>
        <v>110692187.20720723</v>
      </c>
    </row>
    <row r="10" spans="1:22" x14ac:dyDescent="0.3">
      <c r="A10" s="3">
        <v>7</v>
      </c>
      <c r="B10" s="3" t="s">
        <v>23</v>
      </c>
      <c r="C10" s="3" t="s">
        <v>24</v>
      </c>
      <c r="D10" s="3" t="s">
        <v>8</v>
      </c>
      <c r="E10" s="3" t="s">
        <v>15</v>
      </c>
      <c r="F10" s="4">
        <v>29790294.318181813</v>
      </c>
      <c r="G10" s="4">
        <v>48909125.909090906</v>
      </c>
      <c r="H10" s="4">
        <v>28214273.72727273</v>
      </c>
      <c r="I10" s="4">
        <f t="shared" si="0"/>
        <v>35637897.984848484</v>
      </c>
      <c r="J10" s="4">
        <f t="shared" si="1"/>
        <v>39201687.783333339</v>
      </c>
      <c r="K10" s="4">
        <v>40000000</v>
      </c>
      <c r="L10" s="4">
        <f t="shared" si="2"/>
        <v>120000000</v>
      </c>
      <c r="M10" s="5">
        <v>0.04</v>
      </c>
      <c r="N10" s="12">
        <v>29790294.31818182</v>
      </c>
      <c r="O10" s="12">
        <v>48909125.909090906</v>
      </c>
      <c r="P10" s="12">
        <v>28214273.72727273</v>
      </c>
      <c r="Q10" s="12">
        <f t="shared" si="3"/>
        <v>35637897.984848484</v>
      </c>
      <c r="R10" s="13">
        <v>0.1</v>
      </c>
      <c r="S10" s="12">
        <f t="shared" si="4"/>
        <v>39201687.783333331</v>
      </c>
      <c r="T10" s="12">
        <f t="shared" si="5"/>
        <v>117605063.34999999</v>
      </c>
      <c r="U10" s="12">
        <f t="shared" si="6"/>
        <v>35316835.840840839</v>
      </c>
      <c r="V10" s="12">
        <f t="shared" si="6"/>
        <v>105950507.52252251</v>
      </c>
    </row>
    <row r="11" spans="1:22" x14ac:dyDescent="0.3">
      <c r="A11" s="3">
        <v>8</v>
      </c>
      <c r="B11" s="3" t="s">
        <v>40</v>
      </c>
      <c r="C11" s="3" t="s">
        <v>41</v>
      </c>
      <c r="D11" s="3" t="s">
        <v>8</v>
      </c>
      <c r="E11" s="3" t="s">
        <v>15</v>
      </c>
      <c r="F11" s="4">
        <v>66951818.18181818</v>
      </c>
      <c r="G11" s="4">
        <v>20783950.90909091</v>
      </c>
      <c r="H11" s="4">
        <v>10936909.09090909</v>
      </c>
      <c r="I11" s="4">
        <f t="shared" si="0"/>
        <v>32890892.72727273</v>
      </c>
      <c r="J11" s="4">
        <f t="shared" si="1"/>
        <v>36179982.000000007</v>
      </c>
      <c r="K11" s="4">
        <v>37000000</v>
      </c>
      <c r="L11" s="4">
        <f t="shared" si="2"/>
        <v>111000000</v>
      </c>
      <c r="M11" s="5">
        <v>0.04</v>
      </c>
      <c r="N11" s="12">
        <v>66951818.18181818</v>
      </c>
      <c r="O11" s="12">
        <v>20783950.90909091</v>
      </c>
      <c r="P11" s="12">
        <v>10936909.09090909</v>
      </c>
      <c r="Q11" s="12">
        <f t="shared" si="3"/>
        <v>32890892.72727273</v>
      </c>
      <c r="R11" s="13">
        <v>0.1</v>
      </c>
      <c r="S11" s="12">
        <f t="shared" si="4"/>
        <v>36179982</v>
      </c>
      <c r="T11" s="12">
        <f t="shared" si="5"/>
        <v>108539946</v>
      </c>
      <c r="U11" s="12">
        <f t="shared" si="6"/>
        <v>32594578.378378376</v>
      </c>
      <c r="V11" s="12">
        <f t="shared" si="6"/>
        <v>97783735.135135129</v>
      </c>
    </row>
    <row r="12" spans="1:22" x14ac:dyDescent="0.3">
      <c r="A12" s="3">
        <v>9</v>
      </c>
      <c r="B12" s="3" t="s">
        <v>25</v>
      </c>
      <c r="C12" s="3" t="s">
        <v>26</v>
      </c>
      <c r="D12" s="3" t="s">
        <v>8</v>
      </c>
      <c r="E12" s="3" t="s">
        <v>15</v>
      </c>
      <c r="F12" s="4">
        <v>39597080.727272741</v>
      </c>
      <c r="G12" s="4">
        <v>16355874.363636363</v>
      </c>
      <c r="H12" s="4">
        <v>38048532.272727281</v>
      </c>
      <c r="I12" s="4">
        <f t="shared" si="0"/>
        <v>31333829.121212129</v>
      </c>
      <c r="J12" s="4">
        <f t="shared" si="1"/>
        <v>34467212.033333346</v>
      </c>
      <c r="K12" s="4">
        <v>35000000</v>
      </c>
      <c r="L12" s="4">
        <f t="shared" si="2"/>
        <v>105000000</v>
      </c>
      <c r="M12" s="5">
        <v>0.04</v>
      </c>
      <c r="N12" s="12">
        <v>39597080.727272749</v>
      </c>
      <c r="O12" s="12">
        <v>16355874.363636363</v>
      </c>
      <c r="P12" s="12">
        <v>38048532.272727281</v>
      </c>
      <c r="Q12" s="12">
        <f t="shared" si="3"/>
        <v>31333829.121212129</v>
      </c>
      <c r="R12" s="13">
        <v>0.1</v>
      </c>
      <c r="S12" s="12">
        <f t="shared" si="4"/>
        <v>34467212.033333339</v>
      </c>
      <c r="T12" s="12">
        <f t="shared" si="5"/>
        <v>103401636.10000002</v>
      </c>
      <c r="U12" s="12">
        <f t="shared" si="6"/>
        <v>31051542.372372374</v>
      </c>
      <c r="V12" s="12">
        <f t="shared" si="6"/>
        <v>93154627.117117137</v>
      </c>
    </row>
    <row r="13" spans="1:22" x14ac:dyDescent="0.3">
      <c r="A13" s="3">
        <v>10</v>
      </c>
      <c r="B13" s="3" t="s">
        <v>38</v>
      </c>
      <c r="C13" s="3" t="s">
        <v>39</v>
      </c>
      <c r="D13" s="3" t="s">
        <v>8</v>
      </c>
      <c r="E13" s="3" t="s">
        <v>15</v>
      </c>
      <c r="F13" s="4">
        <v>49396394.272727288</v>
      </c>
      <c r="G13" s="4">
        <v>4268427.2727272715</v>
      </c>
      <c r="H13" s="4">
        <v>30939770.454545457</v>
      </c>
      <c r="I13" s="4">
        <f t="shared" si="0"/>
        <v>28201530.666666672</v>
      </c>
      <c r="J13" s="4">
        <f t="shared" si="1"/>
        <v>31021683.733333342</v>
      </c>
      <c r="K13" s="4">
        <v>32000000</v>
      </c>
      <c r="L13" s="4">
        <f t="shared" si="2"/>
        <v>96000000</v>
      </c>
      <c r="M13" s="5">
        <v>0.04</v>
      </c>
      <c r="N13" s="12">
        <v>49396394.272727266</v>
      </c>
      <c r="O13" s="12">
        <v>4268427.2727272715</v>
      </c>
      <c r="P13" s="12">
        <v>30939770.454545457</v>
      </c>
      <c r="Q13" s="12">
        <f t="shared" si="3"/>
        <v>28201530.666666668</v>
      </c>
      <c r="R13" s="13">
        <v>0.1</v>
      </c>
      <c r="S13" s="12">
        <f t="shared" si="4"/>
        <v>31021683.733333334</v>
      </c>
      <c r="T13" s="12">
        <f t="shared" si="5"/>
        <v>93065051.200000003</v>
      </c>
      <c r="U13" s="12">
        <f t="shared" si="6"/>
        <v>27947462.82282282</v>
      </c>
      <c r="V13" s="12">
        <f t="shared" si="6"/>
        <v>83842388.468468457</v>
      </c>
    </row>
    <row r="14" spans="1:22" x14ac:dyDescent="0.3">
      <c r="A14" s="25" t="s">
        <v>160</v>
      </c>
      <c r="B14" s="25"/>
      <c r="C14" s="25"/>
      <c r="D14" s="25"/>
      <c r="E14" s="25"/>
      <c r="F14" s="8">
        <f>SUM(F4:F13)</f>
        <v>650739947.54545438</v>
      </c>
      <c r="G14" s="8">
        <f t="shared" ref="G14:P14" si="7">SUM(G4:G13)</f>
        <v>579147412.590909</v>
      </c>
      <c r="H14" s="8">
        <f t="shared" si="7"/>
        <v>651799461.0454545</v>
      </c>
      <c r="I14" s="8">
        <f t="shared" si="7"/>
        <v>627228940.39393938</v>
      </c>
      <c r="J14" s="8">
        <f t="shared" si="7"/>
        <v>689951834.43333328</v>
      </c>
      <c r="K14" s="8">
        <f t="shared" si="7"/>
        <v>696000000</v>
      </c>
      <c r="L14" s="8">
        <f t="shared" si="7"/>
        <v>2088000000</v>
      </c>
      <c r="M14" s="9"/>
      <c r="N14" s="12">
        <f t="shared" si="7"/>
        <v>650739947.54545438</v>
      </c>
      <c r="O14" s="12">
        <f t="shared" si="7"/>
        <v>579147412.590909</v>
      </c>
      <c r="P14" s="12">
        <f t="shared" si="7"/>
        <v>651799461.0454545</v>
      </c>
      <c r="Q14" s="12">
        <f t="shared" si="3"/>
        <v>627228940.39393938</v>
      </c>
      <c r="R14" s="13">
        <v>0.1</v>
      </c>
      <c r="S14" s="12">
        <f t="shared" si="4"/>
        <v>689951834.43333328</v>
      </c>
      <c r="T14" s="12">
        <f t="shared" si="5"/>
        <v>2069855503.2999997</v>
      </c>
      <c r="U14" s="12">
        <f t="shared" si="6"/>
        <v>621578229.21921909</v>
      </c>
      <c r="V14" s="12">
        <f t="shared" si="6"/>
        <v>1864734687.6576571</v>
      </c>
    </row>
    <row r="15" spans="1:22" x14ac:dyDescent="0.3">
      <c r="A15" s="1"/>
      <c r="B15" s="1"/>
      <c r="C15" s="1"/>
      <c r="D15" s="1"/>
      <c r="E15" s="1"/>
    </row>
    <row r="16" spans="1:22" ht="18" x14ac:dyDescent="0.35">
      <c r="A16" s="26" t="s">
        <v>159</v>
      </c>
      <c r="B16" s="26" t="s">
        <v>2</v>
      </c>
      <c r="C16" s="26" t="s">
        <v>3</v>
      </c>
      <c r="D16" s="26" t="s">
        <v>5</v>
      </c>
      <c r="E16" s="26" t="s">
        <v>1</v>
      </c>
      <c r="F16" s="24" t="s">
        <v>4</v>
      </c>
      <c r="G16" s="24"/>
      <c r="H16" s="24"/>
      <c r="I16" s="24"/>
      <c r="J16" s="24"/>
      <c r="K16" s="24"/>
      <c r="L16" s="24"/>
      <c r="M16" s="26" t="s">
        <v>161</v>
      </c>
      <c r="N16" s="23" t="s">
        <v>173</v>
      </c>
      <c r="O16" s="23"/>
      <c r="P16" s="23"/>
      <c r="Q16" s="23"/>
      <c r="R16" s="23"/>
      <c r="S16" s="23"/>
      <c r="T16" s="23"/>
      <c r="U16" s="23"/>
      <c r="V16" s="23"/>
    </row>
    <row r="17" spans="1:22" x14ac:dyDescent="0.3">
      <c r="A17" s="26"/>
      <c r="B17" s="26"/>
      <c r="C17" s="26"/>
      <c r="D17" s="26"/>
      <c r="E17" s="26"/>
      <c r="F17" s="7" t="s">
        <v>7</v>
      </c>
      <c r="G17" s="7" t="s">
        <v>137</v>
      </c>
      <c r="H17" s="7" t="s">
        <v>142</v>
      </c>
      <c r="I17" s="7" t="s">
        <v>155</v>
      </c>
      <c r="J17" s="7" t="s">
        <v>156</v>
      </c>
      <c r="K17" s="7" t="s">
        <v>157</v>
      </c>
      <c r="L17" s="7" t="s">
        <v>158</v>
      </c>
      <c r="M17" s="26"/>
      <c r="N17" s="10" t="s">
        <v>7</v>
      </c>
      <c r="O17" s="10" t="s">
        <v>174</v>
      </c>
      <c r="P17" s="10" t="s">
        <v>142</v>
      </c>
      <c r="Q17" s="10" t="s">
        <v>175</v>
      </c>
      <c r="R17" s="11" t="s">
        <v>176</v>
      </c>
      <c r="S17" s="10" t="s">
        <v>177</v>
      </c>
      <c r="T17" s="10" t="s">
        <v>178</v>
      </c>
      <c r="U17" s="10" t="s">
        <v>179</v>
      </c>
      <c r="V17" s="10" t="s">
        <v>180</v>
      </c>
    </row>
    <row r="18" spans="1:22" x14ac:dyDescent="0.3">
      <c r="A18" s="3">
        <v>1</v>
      </c>
      <c r="B18" s="3" t="s">
        <v>63</v>
      </c>
      <c r="C18" s="3" t="s">
        <v>64</v>
      </c>
      <c r="D18" s="3" t="s">
        <v>8</v>
      </c>
      <c r="E18" s="3" t="s">
        <v>58</v>
      </c>
      <c r="F18" s="4">
        <v>270817474.90909088</v>
      </c>
      <c r="G18" s="4">
        <v>307540148.18181789</v>
      </c>
      <c r="H18" s="4">
        <v>330260680.09090906</v>
      </c>
      <c r="I18" s="4">
        <f t="shared" ref="I18:I34" si="8">(F18+G18+H18)/3</f>
        <v>302872767.72727257</v>
      </c>
      <c r="J18" s="4">
        <f t="shared" si="1"/>
        <v>333160044.49999988</v>
      </c>
      <c r="K18" s="4">
        <v>334000000</v>
      </c>
      <c r="L18" s="4">
        <f t="shared" si="2"/>
        <v>1002000000</v>
      </c>
      <c r="M18" s="5">
        <v>0.04</v>
      </c>
      <c r="N18" s="12">
        <v>270817474.9090907</v>
      </c>
      <c r="O18" s="12">
        <v>307540148.18181789</v>
      </c>
      <c r="P18" s="12">
        <v>330260680.09090906</v>
      </c>
      <c r="Q18" s="12">
        <f>AVERAGE(N18:P18)</f>
        <v>302872767.72727251</v>
      </c>
      <c r="R18" s="13">
        <v>0.1</v>
      </c>
      <c r="S18" s="12">
        <f>Q18+(Q18*R18)</f>
        <v>333160044.49999976</v>
      </c>
      <c r="T18" s="12">
        <f>S18*3</f>
        <v>999480133.49999928</v>
      </c>
      <c r="U18" s="12">
        <f>S18/1.11</f>
        <v>300144184.23423398</v>
      </c>
      <c r="V18" s="12">
        <f>T18/1.11</f>
        <v>900432552.70270193</v>
      </c>
    </row>
    <row r="19" spans="1:22" x14ac:dyDescent="0.3">
      <c r="A19" s="3">
        <v>2</v>
      </c>
      <c r="B19" s="3" t="s">
        <v>102</v>
      </c>
      <c r="C19" s="3" t="s">
        <v>103</v>
      </c>
      <c r="D19" s="3" t="s">
        <v>8</v>
      </c>
      <c r="E19" s="3" t="s">
        <v>58</v>
      </c>
      <c r="F19" s="4">
        <v>507503738.18181825</v>
      </c>
      <c r="G19" s="4">
        <v>66740509.090909079</v>
      </c>
      <c r="H19" s="4">
        <v>182251086.54545459</v>
      </c>
      <c r="I19" s="4">
        <f t="shared" si="8"/>
        <v>252165111.27272734</v>
      </c>
      <c r="J19" s="4">
        <f t="shared" si="1"/>
        <v>277381622.4000001</v>
      </c>
      <c r="K19" s="4">
        <v>380000000</v>
      </c>
      <c r="L19" s="4">
        <f t="shared" si="2"/>
        <v>1140000000</v>
      </c>
      <c r="M19" s="5">
        <v>0.04</v>
      </c>
      <c r="N19" s="12">
        <v>507503738.18181825</v>
      </c>
      <c r="O19" s="12">
        <v>66740509.090909079</v>
      </c>
      <c r="P19" s="12">
        <v>182251086.54545459</v>
      </c>
      <c r="Q19" s="12">
        <f t="shared" ref="Q19:Q34" si="9">AVERAGE(N19:P19)</f>
        <v>252165111.27272734</v>
      </c>
      <c r="R19" s="13">
        <v>0.1</v>
      </c>
      <c r="S19" s="12">
        <f t="shared" ref="S19:S34" si="10">Q19+(Q19*R19)</f>
        <v>277381622.4000001</v>
      </c>
      <c r="T19" s="12">
        <f t="shared" ref="T19:T34" si="11">S19*3</f>
        <v>832144867.20000029</v>
      </c>
      <c r="U19" s="12">
        <f t="shared" ref="U19:U34" si="12">S19/1.11</f>
        <v>249893353.51351357</v>
      </c>
      <c r="V19" s="12">
        <f t="shared" ref="V19:V34" si="13">T19/1.11</f>
        <v>749680060.5405407</v>
      </c>
    </row>
    <row r="20" spans="1:22" x14ac:dyDescent="0.3">
      <c r="A20" s="3">
        <v>3</v>
      </c>
      <c r="B20" s="3" t="s">
        <v>69</v>
      </c>
      <c r="C20" s="3" t="s">
        <v>70</v>
      </c>
      <c r="D20" s="3" t="s">
        <v>8</v>
      </c>
      <c r="E20" s="3" t="s">
        <v>58</v>
      </c>
      <c r="F20" s="4">
        <v>200869885.90909079</v>
      </c>
      <c r="G20" s="4">
        <v>251345800.90909085</v>
      </c>
      <c r="H20" s="4">
        <v>176049118.81818169</v>
      </c>
      <c r="I20" s="4">
        <f t="shared" si="8"/>
        <v>209421601.87878776</v>
      </c>
      <c r="J20" s="4">
        <f t="shared" si="1"/>
        <v>230363762.06666654</v>
      </c>
      <c r="K20" s="4">
        <v>231000000</v>
      </c>
      <c r="L20" s="4">
        <f t="shared" si="2"/>
        <v>693000000</v>
      </c>
      <c r="M20" s="5">
        <v>0.04</v>
      </c>
      <c r="N20" s="12">
        <v>200869885.90909085</v>
      </c>
      <c r="O20" s="12">
        <v>251345800.90909085</v>
      </c>
      <c r="P20" s="12">
        <v>176049118.81818169</v>
      </c>
      <c r="Q20" s="12">
        <f t="shared" si="9"/>
        <v>209421601.87878779</v>
      </c>
      <c r="R20" s="13">
        <v>0.1</v>
      </c>
      <c r="S20" s="12">
        <f t="shared" si="10"/>
        <v>230363762.06666657</v>
      </c>
      <c r="T20" s="12">
        <f t="shared" si="11"/>
        <v>691091286.19999969</v>
      </c>
      <c r="U20" s="12">
        <f t="shared" si="12"/>
        <v>207534920.78078067</v>
      </c>
      <c r="V20" s="12">
        <f t="shared" si="13"/>
        <v>622604762.34234202</v>
      </c>
    </row>
    <row r="21" spans="1:22" x14ac:dyDescent="0.3">
      <c r="A21" s="3">
        <v>4</v>
      </c>
      <c r="B21" s="3" t="s">
        <v>78</v>
      </c>
      <c r="C21" s="3" t="s">
        <v>79</v>
      </c>
      <c r="D21" s="3" t="s">
        <v>8</v>
      </c>
      <c r="E21" s="3" t="s">
        <v>58</v>
      </c>
      <c r="F21" s="4">
        <v>134004681.8181818</v>
      </c>
      <c r="G21" s="4">
        <v>161105511.81818172</v>
      </c>
      <c r="H21" s="4">
        <v>190547090.18181813</v>
      </c>
      <c r="I21" s="4">
        <f t="shared" si="8"/>
        <v>161885761.27272722</v>
      </c>
      <c r="J21" s="4">
        <f t="shared" si="1"/>
        <v>178074337.39999995</v>
      </c>
      <c r="K21" s="4">
        <v>179000000</v>
      </c>
      <c r="L21" s="4">
        <f t="shared" si="2"/>
        <v>537000000</v>
      </c>
      <c r="M21" s="5">
        <v>0.04</v>
      </c>
      <c r="N21" s="12">
        <v>134004681.81818177</v>
      </c>
      <c r="O21" s="12">
        <v>161105511.81818172</v>
      </c>
      <c r="P21" s="12">
        <v>190547090.18181813</v>
      </c>
      <c r="Q21" s="12">
        <f t="shared" si="9"/>
        <v>161885761.27272722</v>
      </c>
      <c r="R21" s="13">
        <v>0.1</v>
      </c>
      <c r="S21" s="12">
        <f t="shared" si="10"/>
        <v>178074337.39999995</v>
      </c>
      <c r="T21" s="12">
        <f t="shared" si="11"/>
        <v>534223012.19999981</v>
      </c>
      <c r="U21" s="12">
        <f t="shared" si="12"/>
        <v>160427330.99099094</v>
      </c>
      <c r="V21" s="12">
        <f t="shared" si="13"/>
        <v>481281992.97297275</v>
      </c>
    </row>
    <row r="22" spans="1:22" x14ac:dyDescent="0.3">
      <c r="A22" s="3">
        <v>5</v>
      </c>
      <c r="B22" s="3" t="s">
        <v>65</v>
      </c>
      <c r="C22" s="3" t="s">
        <v>66</v>
      </c>
      <c r="D22" s="3" t="s">
        <v>8</v>
      </c>
      <c r="E22" s="3" t="s">
        <v>58</v>
      </c>
      <c r="F22" s="4">
        <v>152212616.36363634</v>
      </c>
      <c r="G22" s="4">
        <v>131888541.36363636</v>
      </c>
      <c r="H22" s="4">
        <v>92258135.63636367</v>
      </c>
      <c r="I22" s="4">
        <f t="shared" si="8"/>
        <v>125453097.7878788</v>
      </c>
      <c r="J22" s="4">
        <f t="shared" si="1"/>
        <v>137998407.56666669</v>
      </c>
      <c r="K22" s="4">
        <v>138000000</v>
      </c>
      <c r="L22" s="4">
        <f t="shared" si="2"/>
        <v>414000000</v>
      </c>
      <c r="M22" s="5">
        <v>0.04</v>
      </c>
      <c r="N22" s="12">
        <v>152212616.36363626</v>
      </c>
      <c r="O22" s="12">
        <v>131888541.36363636</v>
      </c>
      <c r="P22" s="12">
        <v>92258135.63636367</v>
      </c>
      <c r="Q22" s="12">
        <f t="shared" si="9"/>
        <v>125453097.78787877</v>
      </c>
      <c r="R22" s="13">
        <v>0.1</v>
      </c>
      <c r="S22" s="12">
        <f t="shared" si="10"/>
        <v>137998407.56666663</v>
      </c>
      <c r="T22" s="12">
        <f t="shared" si="11"/>
        <v>413995222.69999993</v>
      </c>
      <c r="U22" s="12">
        <f t="shared" si="12"/>
        <v>124322889.69969966</v>
      </c>
      <c r="V22" s="12">
        <f t="shared" si="13"/>
        <v>372968669.09909898</v>
      </c>
    </row>
    <row r="23" spans="1:22" x14ac:dyDescent="0.3">
      <c r="A23" s="3">
        <v>6</v>
      </c>
      <c r="B23" s="3" t="s">
        <v>87</v>
      </c>
      <c r="C23" s="3" t="s">
        <v>88</v>
      </c>
      <c r="D23" s="3" t="s">
        <v>8</v>
      </c>
      <c r="E23" s="3" t="s">
        <v>58</v>
      </c>
      <c r="F23" s="4">
        <v>146123683.09090909</v>
      </c>
      <c r="G23" s="4">
        <v>119110321.63636361</v>
      </c>
      <c r="H23" s="4">
        <v>78951999.090909094</v>
      </c>
      <c r="I23" s="4">
        <f t="shared" si="8"/>
        <v>114728667.93939392</v>
      </c>
      <c r="J23" s="4">
        <f t="shared" si="1"/>
        <v>126201534.73333332</v>
      </c>
      <c r="K23" s="4">
        <v>127000000</v>
      </c>
      <c r="L23" s="4">
        <f t="shared" si="2"/>
        <v>381000000</v>
      </c>
      <c r="M23" s="5">
        <v>0.04</v>
      </c>
      <c r="N23" s="12">
        <v>146123683.09090897</v>
      </c>
      <c r="O23" s="12">
        <v>119110321.63636361</v>
      </c>
      <c r="P23" s="12">
        <v>78951999.090909094</v>
      </c>
      <c r="Q23" s="12">
        <f t="shared" si="9"/>
        <v>114728667.93939388</v>
      </c>
      <c r="R23" s="13">
        <v>0.1</v>
      </c>
      <c r="S23" s="12">
        <f t="shared" si="10"/>
        <v>126201534.73333326</v>
      </c>
      <c r="T23" s="12">
        <f t="shared" si="11"/>
        <v>378604604.19999981</v>
      </c>
      <c r="U23" s="12">
        <f t="shared" si="12"/>
        <v>113695076.33633626</v>
      </c>
      <c r="V23" s="12">
        <f t="shared" si="13"/>
        <v>341085229.00900882</v>
      </c>
    </row>
    <row r="24" spans="1:22" x14ac:dyDescent="0.3">
      <c r="A24" s="3">
        <v>7</v>
      </c>
      <c r="B24" s="3" t="s">
        <v>85</v>
      </c>
      <c r="C24" s="3" t="s">
        <v>86</v>
      </c>
      <c r="D24" s="3" t="s">
        <v>8</v>
      </c>
      <c r="E24" s="3" t="s">
        <v>58</v>
      </c>
      <c r="F24" s="4">
        <v>105255842.72727275</v>
      </c>
      <c r="G24" s="4">
        <v>115798726.36363633</v>
      </c>
      <c r="H24" s="4">
        <v>36587754.545454554</v>
      </c>
      <c r="I24" s="4">
        <f t="shared" si="8"/>
        <v>85880774.545454547</v>
      </c>
      <c r="J24" s="4">
        <f t="shared" si="1"/>
        <v>94468852.000000015</v>
      </c>
      <c r="K24" s="4">
        <v>95000000</v>
      </c>
      <c r="L24" s="4">
        <f t="shared" si="2"/>
        <v>285000000</v>
      </c>
      <c r="M24" s="5">
        <v>0.04</v>
      </c>
      <c r="N24" s="12">
        <v>105255842.7272727</v>
      </c>
      <c r="O24" s="12">
        <v>115798726.36363633</v>
      </c>
      <c r="P24" s="12">
        <v>36587754.545454554</v>
      </c>
      <c r="Q24" s="12">
        <f t="shared" si="9"/>
        <v>85880774.545454532</v>
      </c>
      <c r="R24" s="13">
        <v>0.1</v>
      </c>
      <c r="S24" s="12">
        <f t="shared" si="10"/>
        <v>94468851.999999985</v>
      </c>
      <c r="T24" s="12">
        <f t="shared" si="11"/>
        <v>283406555.99999994</v>
      </c>
      <c r="U24" s="12">
        <f t="shared" si="12"/>
        <v>85107073.87387386</v>
      </c>
      <c r="V24" s="12">
        <f t="shared" si="13"/>
        <v>255321221.62162155</v>
      </c>
    </row>
    <row r="25" spans="1:22" x14ac:dyDescent="0.3">
      <c r="A25" s="3">
        <v>8</v>
      </c>
      <c r="B25" s="3" t="s">
        <v>71</v>
      </c>
      <c r="C25" s="3" t="s">
        <v>72</v>
      </c>
      <c r="D25" s="3" t="s">
        <v>8</v>
      </c>
      <c r="E25" s="3" t="s">
        <v>58</v>
      </c>
      <c r="F25" s="4">
        <v>35669623.636363626</v>
      </c>
      <c r="G25" s="4">
        <v>105340024.36363639</v>
      </c>
      <c r="H25" s="4">
        <v>78765494.727272719</v>
      </c>
      <c r="I25" s="4">
        <f t="shared" si="8"/>
        <v>73258380.909090906</v>
      </c>
      <c r="J25" s="4">
        <f t="shared" si="1"/>
        <v>80584219</v>
      </c>
      <c r="K25" s="4">
        <v>81000000</v>
      </c>
      <c r="L25" s="4">
        <f t="shared" si="2"/>
        <v>243000000</v>
      </c>
      <c r="M25" s="5">
        <v>0.04</v>
      </c>
      <c r="N25" s="12">
        <v>35669623.636363633</v>
      </c>
      <c r="O25" s="12">
        <v>105340024.36363639</v>
      </c>
      <c r="P25" s="12">
        <v>78765494.727272719</v>
      </c>
      <c r="Q25" s="12">
        <f t="shared" si="9"/>
        <v>73258380.909090921</v>
      </c>
      <c r="R25" s="13">
        <v>0.1</v>
      </c>
      <c r="S25" s="12">
        <f t="shared" si="10"/>
        <v>80584219.000000015</v>
      </c>
      <c r="T25" s="12">
        <f t="shared" si="11"/>
        <v>241752657.00000006</v>
      </c>
      <c r="U25" s="12">
        <f t="shared" si="12"/>
        <v>72598395.495495498</v>
      </c>
      <c r="V25" s="12">
        <f t="shared" si="13"/>
        <v>217795186.48648652</v>
      </c>
    </row>
    <row r="26" spans="1:22" x14ac:dyDescent="0.3">
      <c r="A26" s="3">
        <v>9</v>
      </c>
      <c r="B26" s="3" t="s">
        <v>100</v>
      </c>
      <c r="C26" s="3" t="s">
        <v>101</v>
      </c>
      <c r="D26" s="3" t="s">
        <v>8</v>
      </c>
      <c r="E26" s="3" t="s">
        <v>58</v>
      </c>
      <c r="F26" s="4">
        <v>105289034.72727275</v>
      </c>
      <c r="G26" s="4"/>
      <c r="H26" s="4">
        <v>73809177.545454562</v>
      </c>
      <c r="I26" s="4">
        <f t="shared" si="8"/>
        <v>59699404.090909101</v>
      </c>
      <c r="J26" s="4">
        <f t="shared" si="1"/>
        <v>65669344.500000015</v>
      </c>
      <c r="K26" s="4">
        <v>66000000</v>
      </c>
      <c r="L26" s="4">
        <f t="shared" si="2"/>
        <v>198000000</v>
      </c>
      <c r="M26" s="5">
        <v>0.04</v>
      </c>
      <c r="N26" s="12">
        <v>105289034.72727272</v>
      </c>
      <c r="O26" s="12">
        <v>0</v>
      </c>
      <c r="P26" s="12">
        <v>73809177.545454562</v>
      </c>
      <c r="Q26" s="12">
        <f t="shared" si="9"/>
        <v>59699404.090909094</v>
      </c>
      <c r="R26" s="13">
        <v>0.1</v>
      </c>
      <c r="S26" s="12">
        <f t="shared" si="10"/>
        <v>65669344.5</v>
      </c>
      <c r="T26" s="12">
        <f t="shared" si="11"/>
        <v>197008033.5</v>
      </c>
      <c r="U26" s="12">
        <f t="shared" si="12"/>
        <v>59161571.621621616</v>
      </c>
      <c r="V26" s="12">
        <f t="shared" si="13"/>
        <v>177484714.86486486</v>
      </c>
    </row>
    <row r="27" spans="1:22" x14ac:dyDescent="0.3">
      <c r="A27" s="3">
        <v>10</v>
      </c>
      <c r="B27" s="3" t="s">
        <v>98</v>
      </c>
      <c r="C27" s="3" t="s">
        <v>99</v>
      </c>
      <c r="D27" s="3" t="s">
        <v>8</v>
      </c>
      <c r="E27" s="3" t="s">
        <v>58</v>
      </c>
      <c r="F27" s="4">
        <v>37103653.63636364</v>
      </c>
      <c r="G27" s="4">
        <v>53922101.727272727</v>
      </c>
      <c r="H27" s="4">
        <v>73687912.63636364</v>
      </c>
      <c r="I27" s="4">
        <f t="shared" si="8"/>
        <v>54904556</v>
      </c>
      <c r="J27" s="4">
        <f t="shared" si="1"/>
        <v>60395011.600000001</v>
      </c>
      <c r="K27" s="4">
        <v>61000000</v>
      </c>
      <c r="L27" s="4">
        <f t="shared" si="2"/>
        <v>183000000</v>
      </c>
      <c r="M27" s="5">
        <v>0.04</v>
      </c>
      <c r="N27" s="12">
        <v>37103653.63636364</v>
      </c>
      <c r="O27" s="12">
        <v>53922101.727272727</v>
      </c>
      <c r="P27" s="12">
        <v>73687912.63636364</v>
      </c>
      <c r="Q27" s="12">
        <f t="shared" si="9"/>
        <v>54904556</v>
      </c>
      <c r="R27" s="13">
        <v>0.1</v>
      </c>
      <c r="S27" s="12">
        <f t="shared" si="10"/>
        <v>60395011.600000001</v>
      </c>
      <c r="T27" s="12">
        <f t="shared" si="11"/>
        <v>181185034.80000001</v>
      </c>
      <c r="U27" s="12">
        <f t="shared" si="12"/>
        <v>54409920.360360354</v>
      </c>
      <c r="V27" s="12">
        <f t="shared" si="13"/>
        <v>163229761.08108109</v>
      </c>
    </row>
    <row r="28" spans="1:22" x14ac:dyDescent="0.3">
      <c r="A28" s="3">
        <v>11</v>
      </c>
      <c r="B28" s="3" t="s">
        <v>92</v>
      </c>
      <c r="C28" s="3" t="s">
        <v>93</v>
      </c>
      <c r="D28" s="3" t="s">
        <v>8</v>
      </c>
      <c r="E28" s="3" t="s">
        <v>58</v>
      </c>
      <c r="F28" s="4">
        <v>20069283.000000004</v>
      </c>
      <c r="G28" s="4">
        <v>12602089.09090909</v>
      </c>
      <c r="H28" s="4">
        <v>108495458.72727269</v>
      </c>
      <c r="I28" s="4">
        <f t="shared" si="8"/>
        <v>47055610.272727259</v>
      </c>
      <c r="J28" s="4">
        <f t="shared" si="1"/>
        <v>51761171.29999999</v>
      </c>
      <c r="K28" s="4">
        <v>52000000</v>
      </c>
      <c r="L28" s="4">
        <f t="shared" si="2"/>
        <v>156000000</v>
      </c>
      <c r="M28" s="5">
        <v>0.04</v>
      </c>
      <c r="N28" s="12">
        <v>20069283.000000007</v>
      </c>
      <c r="O28" s="12">
        <v>12602089.09090909</v>
      </c>
      <c r="P28" s="12">
        <v>108495458.72727269</v>
      </c>
      <c r="Q28" s="12">
        <f t="shared" si="9"/>
        <v>47055610.272727259</v>
      </c>
      <c r="R28" s="13">
        <v>0.1</v>
      </c>
      <c r="S28" s="12">
        <f t="shared" si="10"/>
        <v>51761171.299999982</v>
      </c>
      <c r="T28" s="12">
        <f t="shared" si="11"/>
        <v>155283513.89999995</v>
      </c>
      <c r="U28" s="12">
        <f t="shared" si="12"/>
        <v>46631685.855855837</v>
      </c>
      <c r="V28" s="12">
        <f t="shared" si="13"/>
        <v>139895057.5675675</v>
      </c>
    </row>
    <row r="29" spans="1:22" x14ac:dyDescent="0.3">
      <c r="A29" s="3">
        <v>12</v>
      </c>
      <c r="B29" s="3" t="s">
        <v>61</v>
      </c>
      <c r="C29" s="3" t="s">
        <v>62</v>
      </c>
      <c r="D29" s="3" t="s">
        <v>8</v>
      </c>
      <c r="E29" s="3" t="s">
        <v>58</v>
      </c>
      <c r="F29" s="4">
        <v>49778088.545454554</v>
      </c>
      <c r="G29" s="4">
        <v>30860710.909090921</v>
      </c>
      <c r="H29" s="4">
        <v>18019555.63636364</v>
      </c>
      <c r="I29" s="4">
        <f t="shared" si="8"/>
        <v>32886118.363636371</v>
      </c>
      <c r="J29" s="4">
        <f t="shared" si="1"/>
        <v>36174730.20000001</v>
      </c>
      <c r="K29" s="4">
        <v>37000000</v>
      </c>
      <c r="L29" s="4">
        <f t="shared" si="2"/>
        <v>111000000</v>
      </c>
      <c r="M29" s="5">
        <v>0.04</v>
      </c>
      <c r="N29" s="12">
        <v>49778088.545454495</v>
      </c>
      <c r="O29" s="12">
        <v>30860710.909090921</v>
      </c>
      <c r="P29" s="12">
        <v>18019555.63636364</v>
      </c>
      <c r="Q29" s="12">
        <f t="shared" si="9"/>
        <v>32886118.363636348</v>
      </c>
      <c r="R29" s="13">
        <v>0.1</v>
      </c>
      <c r="S29" s="12">
        <f t="shared" si="10"/>
        <v>36174730.199999981</v>
      </c>
      <c r="T29" s="12">
        <f t="shared" si="11"/>
        <v>108524190.59999993</v>
      </c>
      <c r="U29" s="12">
        <f t="shared" si="12"/>
        <v>32589847.027027007</v>
      </c>
      <c r="V29" s="12">
        <f t="shared" si="13"/>
        <v>97769541.081081018</v>
      </c>
    </row>
    <row r="30" spans="1:22" x14ac:dyDescent="0.3">
      <c r="A30" s="3">
        <v>13</v>
      </c>
      <c r="B30" s="3" t="s">
        <v>90</v>
      </c>
      <c r="C30" s="3" t="s">
        <v>91</v>
      </c>
      <c r="D30" s="3" t="s">
        <v>8</v>
      </c>
      <c r="E30" s="3" t="s">
        <v>58</v>
      </c>
      <c r="F30" s="4">
        <v>28682661.818181813</v>
      </c>
      <c r="G30" s="4">
        <v>24424524.545454539</v>
      </c>
      <c r="H30" s="4">
        <v>36991424.181818195</v>
      </c>
      <c r="I30" s="4">
        <f t="shared" si="8"/>
        <v>30032870.181818184</v>
      </c>
      <c r="J30" s="4">
        <f t="shared" si="1"/>
        <v>33036157.200000003</v>
      </c>
      <c r="K30" s="4">
        <v>34000000</v>
      </c>
      <c r="L30" s="4">
        <f t="shared" si="2"/>
        <v>102000000</v>
      </c>
      <c r="M30" s="5">
        <v>0.04</v>
      </c>
      <c r="N30" s="12">
        <v>28682661.818181828</v>
      </c>
      <c r="O30" s="12">
        <v>24424524.545454539</v>
      </c>
      <c r="P30" s="12">
        <v>36991424.181818195</v>
      </c>
      <c r="Q30" s="12">
        <f t="shared" si="9"/>
        <v>30032870.181818187</v>
      </c>
      <c r="R30" s="13">
        <v>0.1</v>
      </c>
      <c r="S30" s="12">
        <f t="shared" si="10"/>
        <v>33036157.200000007</v>
      </c>
      <c r="T30" s="12">
        <f t="shared" si="11"/>
        <v>99108471.600000024</v>
      </c>
      <c r="U30" s="12">
        <f t="shared" si="12"/>
        <v>29762303.783783786</v>
      </c>
      <c r="V30" s="12">
        <f t="shared" si="13"/>
        <v>89286911.351351365</v>
      </c>
    </row>
    <row r="31" spans="1:22" x14ac:dyDescent="0.3">
      <c r="A31" s="3">
        <v>14</v>
      </c>
      <c r="B31" s="3" t="s">
        <v>96</v>
      </c>
      <c r="C31" s="3" t="s">
        <v>97</v>
      </c>
      <c r="D31" s="3" t="s">
        <v>8</v>
      </c>
      <c r="E31" s="3" t="s">
        <v>58</v>
      </c>
      <c r="F31" s="4">
        <v>22203711.13636364</v>
      </c>
      <c r="G31" s="4">
        <v>43988479.772727266</v>
      </c>
      <c r="H31" s="4">
        <v>20978608.909090914</v>
      </c>
      <c r="I31" s="4">
        <f t="shared" si="8"/>
        <v>29056933.27272727</v>
      </c>
      <c r="J31" s="4">
        <f t="shared" si="1"/>
        <v>31962626.599999998</v>
      </c>
      <c r="K31" s="4">
        <v>32000000</v>
      </c>
      <c r="L31" s="4">
        <f t="shared" si="2"/>
        <v>96000000</v>
      </c>
      <c r="M31" s="5">
        <v>0.04</v>
      </c>
      <c r="N31" s="12">
        <v>22203711.136363648</v>
      </c>
      <c r="O31" s="12">
        <v>43988479.772727266</v>
      </c>
      <c r="P31" s="12">
        <v>20978608.909090914</v>
      </c>
      <c r="Q31" s="12">
        <f t="shared" si="9"/>
        <v>29056933.272727277</v>
      </c>
      <c r="R31" s="13">
        <v>0.1</v>
      </c>
      <c r="S31" s="12">
        <f t="shared" si="10"/>
        <v>31962626.600000005</v>
      </c>
      <c r="T31" s="12">
        <f t="shared" si="11"/>
        <v>95887879.800000012</v>
      </c>
      <c r="U31" s="12">
        <f t="shared" si="12"/>
        <v>28795159.0990991</v>
      </c>
      <c r="V31" s="12">
        <f t="shared" si="13"/>
        <v>86385477.297297299</v>
      </c>
    </row>
    <row r="32" spans="1:22" x14ac:dyDescent="0.3">
      <c r="A32" s="3">
        <v>15</v>
      </c>
      <c r="B32" s="3" t="s">
        <v>67</v>
      </c>
      <c r="C32" s="3" t="s">
        <v>68</v>
      </c>
      <c r="D32" s="3" t="s">
        <v>8</v>
      </c>
      <c r="E32" s="3" t="s">
        <v>58</v>
      </c>
      <c r="F32" s="4">
        <v>25944979.09090909</v>
      </c>
      <c r="G32" s="4">
        <v>22121004.545454554</v>
      </c>
      <c r="H32" s="4">
        <v>36310416.81818182</v>
      </c>
      <c r="I32" s="4">
        <f t="shared" si="8"/>
        <v>28125466.818181824</v>
      </c>
      <c r="J32" s="4">
        <f t="shared" si="1"/>
        <v>30938013.500000007</v>
      </c>
      <c r="K32" s="4">
        <v>31000000</v>
      </c>
      <c r="L32" s="4">
        <f t="shared" si="2"/>
        <v>93000000</v>
      </c>
      <c r="M32" s="5">
        <v>0.04</v>
      </c>
      <c r="N32" s="12">
        <v>25944979.090909101</v>
      </c>
      <c r="O32" s="12">
        <v>22121004.545454554</v>
      </c>
      <c r="P32" s="12">
        <v>36310416.81818182</v>
      </c>
      <c r="Q32" s="12">
        <f t="shared" si="9"/>
        <v>28125466.818181824</v>
      </c>
      <c r="R32" s="13">
        <v>0.1</v>
      </c>
      <c r="S32" s="12">
        <f t="shared" si="10"/>
        <v>30938013.500000007</v>
      </c>
      <c r="T32" s="12">
        <f t="shared" si="11"/>
        <v>92814040.50000003</v>
      </c>
      <c r="U32" s="12">
        <f t="shared" si="12"/>
        <v>27872084.23423424</v>
      </c>
      <c r="V32" s="12">
        <f t="shared" si="13"/>
        <v>83616252.702702716</v>
      </c>
    </row>
    <row r="33" spans="1:22" x14ac:dyDescent="0.3">
      <c r="A33" s="3">
        <v>16</v>
      </c>
      <c r="B33" s="3" t="s">
        <v>80</v>
      </c>
      <c r="C33" s="3" t="s">
        <v>81</v>
      </c>
      <c r="D33" s="3" t="s">
        <v>8</v>
      </c>
      <c r="E33" s="3" t="s">
        <v>58</v>
      </c>
      <c r="F33" s="4">
        <v>9987510.0000000019</v>
      </c>
      <c r="G33" s="4">
        <v>40046296.363636352</v>
      </c>
      <c r="H33" s="4">
        <v>32811885.727272734</v>
      </c>
      <c r="I33" s="4">
        <f t="shared" si="8"/>
        <v>27615230.696969699</v>
      </c>
      <c r="J33" s="4">
        <f t="shared" si="1"/>
        <v>30376753.766666673</v>
      </c>
      <c r="K33" s="4">
        <v>31000000</v>
      </c>
      <c r="L33" s="4">
        <f t="shared" si="2"/>
        <v>93000000</v>
      </c>
      <c r="M33" s="5">
        <v>0.04</v>
      </c>
      <c r="N33" s="12">
        <v>9987510</v>
      </c>
      <c r="O33" s="12">
        <v>40046296.363636352</v>
      </c>
      <c r="P33" s="12">
        <v>32811885.727272734</v>
      </c>
      <c r="Q33" s="12">
        <f t="shared" si="9"/>
        <v>27615230.696969699</v>
      </c>
      <c r="R33" s="13">
        <v>0.1</v>
      </c>
      <c r="S33" s="12">
        <f t="shared" si="10"/>
        <v>30376753.766666669</v>
      </c>
      <c r="T33" s="12">
        <f t="shared" si="11"/>
        <v>91130261.300000012</v>
      </c>
      <c r="U33" s="12">
        <f t="shared" si="12"/>
        <v>27366444.834834836</v>
      </c>
      <c r="V33" s="12">
        <f t="shared" si="13"/>
        <v>82099334.504504502</v>
      </c>
    </row>
    <row r="34" spans="1:22" x14ac:dyDescent="0.3">
      <c r="A34" s="3">
        <v>17</v>
      </c>
      <c r="B34" s="3" t="s">
        <v>104</v>
      </c>
      <c r="C34" s="3" t="s">
        <v>105</v>
      </c>
      <c r="D34" s="3" t="s">
        <v>8</v>
      </c>
      <c r="E34" s="3" t="s">
        <v>58</v>
      </c>
      <c r="F34" s="4">
        <v>2957418.6818181821</v>
      </c>
      <c r="G34" s="4"/>
      <c r="H34" s="4">
        <v>59769975.409090891</v>
      </c>
      <c r="I34" s="4">
        <f t="shared" si="8"/>
        <v>20909131.363636356</v>
      </c>
      <c r="J34" s="4">
        <f t="shared" si="1"/>
        <v>23000044.499999993</v>
      </c>
      <c r="K34" s="4">
        <v>24000000</v>
      </c>
      <c r="L34" s="4">
        <f t="shared" si="2"/>
        <v>72000000</v>
      </c>
      <c r="M34" s="5">
        <v>0.04</v>
      </c>
      <c r="N34" s="12">
        <v>2957418.6818181816</v>
      </c>
      <c r="O34" s="12">
        <v>0</v>
      </c>
      <c r="P34" s="12">
        <v>59769975.409090891</v>
      </c>
      <c r="Q34" s="12">
        <f t="shared" si="9"/>
        <v>20909131.363636356</v>
      </c>
      <c r="R34" s="13">
        <v>0.1</v>
      </c>
      <c r="S34" s="12">
        <f t="shared" si="10"/>
        <v>23000044.499999993</v>
      </c>
      <c r="T34" s="12">
        <f t="shared" si="11"/>
        <v>69000133.49999997</v>
      </c>
      <c r="U34" s="12">
        <f t="shared" si="12"/>
        <v>20720760.810810801</v>
      </c>
      <c r="V34" s="12">
        <f t="shared" si="13"/>
        <v>62162282.432432398</v>
      </c>
    </row>
    <row r="35" spans="1:22" x14ac:dyDescent="0.3">
      <c r="A35" s="25" t="s">
        <v>160</v>
      </c>
      <c r="B35" s="25"/>
      <c r="C35" s="25"/>
      <c r="D35" s="25"/>
      <c r="E35" s="25"/>
      <c r="F35" s="8">
        <f>SUM(F18:F34)</f>
        <v>1854473887.2727273</v>
      </c>
      <c r="G35" s="8">
        <f t="shared" ref="G35:L35" si="14">SUM(G18:G34)</f>
        <v>1486834790.6818175</v>
      </c>
      <c r="H35" s="8">
        <f t="shared" si="14"/>
        <v>1626545775.227273</v>
      </c>
      <c r="I35" s="8">
        <f t="shared" si="14"/>
        <v>1655951484.3939388</v>
      </c>
      <c r="J35" s="8">
        <f t="shared" si="14"/>
        <v>1821546632.833333</v>
      </c>
      <c r="K35" s="8">
        <f t="shared" si="14"/>
        <v>1933000000</v>
      </c>
      <c r="L35" s="8">
        <f t="shared" si="14"/>
        <v>5799000000</v>
      </c>
      <c r="M35" s="9"/>
    </row>
    <row r="36" spans="1:22" x14ac:dyDescent="0.3">
      <c r="A36" s="6"/>
      <c r="B36" s="6"/>
      <c r="C36" s="6"/>
      <c r="D36" s="6"/>
      <c r="E36" s="6"/>
      <c r="F36" s="14"/>
      <c r="G36" s="14"/>
      <c r="H36" s="14"/>
      <c r="I36" s="14"/>
      <c r="J36" s="14"/>
      <c r="K36" s="14"/>
      <c r="L36" s="14"/>
      <c r="M36" s="15"/>
    </row>
    <row r="37" spans="1:22" x14ac:dyDescent="0.3">
      <c r="A37" s="6"/>
      <c r="B37" s="6"/>
      <c r="C37" s="6"/>
      <c r="D37" s="6"/>
      <c r="E37" s="6"/>
      <c r="F37" s="14"/>
      <c r="G37" s="14"/>
      <c r="H37" s="14"/>
      <c r="I37" s="14"/>
      <c r="J37" s="14"/>
      <c r="K37" s="14"/>
      <c r="L37" s="14"/>
      <c r="M37" s="15"/>
    </row>
    <row r="38" spans="1:22" x14ac:dyDescent="0.3">
      <c r="A38" s="6"/>
      <c r="B38" s="6"/>
      <c r="C38" s="6"/>
      <c r="D38" s="6"/>
      <c r="E38" s="6"/>
      <c r="F38" s="14"/>
      <c r="G38" s="14"/>
      <c r="H38" s="14"/>
      <c r="I38" s="14"/>
      <c r="J38" s="14"/>
      <c r="K38" s="14"/>
      <c r="L38" s="14"/>
      <c r="M38" s="15"/>
    </row>
    <row r="39" spans="1:22" x14ac:dyDescent="0.3">
      <c r="A39" s="6"/>
      <c r="B39" s="6"/>
      <c r="C39" s="6"/>
      <c r="D39" s="6"/>
      <c r="E39" s="6"/>
      <c r="F39" s="14"/>
      <c r="G39" s="14"/>
      <c r="H39" s="14"/>
      <c r="I39" s="14"/>
      <c r="J39" s="14"/>
      <c r="K39" s="14"/>
      <c r="L39" s="14"/>
      <c r="M39" s="15"/>
    </row>
    <row r="40" spans="1:22" x14ac:dyDescent="0.3">
      <c r="A40" s="6"/>
      <c r="B40" s="6"/>
      <c r="C40" s="6"/>
      <c r="D40" s="6"/>
      <c r="E40" s="6"/>
      <c r="F40" s="14"/>
      <c r="G40" s="14"/>
      <c r="H40" s="14"/>
      <c r="I40" s="14"/>
      <c r="J40" s="14"/>
      <c r="K40" s="14"/>
      <c r="L40" s="14"/>
      <c r="M40" s="15"/>
    </row>
    <row r="41" spans="1:22" x14ac:dyDescent="0.3">
      <c r="A41" s="6"/>
      <c r="B41" s="6"/>
      <c r="C41" s="6"/>
      <c r="D41" s="6"/>
      <c r="E41" s="6"/>
      <c r="F41" s="14"/>
      <c r="G41" s="14"/>
      <c r="H41" s="14"/>
      <c r="I41" s="14"/>
      <c r="J41" s="14"/>
      <c r="K41" s="14"/>
      <c r="L41" s="14"/>
      <c r="M41" s="15"/>
    </row>
    <row r="42" spans="1:22" x14ac:dyDescent="0.3">
      <c r="A42" s="6"/>
      <c r="B42" s="6"/>
      <c r="C42" s="6"/>
      <c r="D42" s="6"/>
      <c r="E42" s="6"/>
      <c r="F42" s="14"/>
      <c r="G42" s="14"/>
      <c r="H42" s="14"/>
      <c r="I42" s="14"/>
      <c r="J42" s="14"/>
      <c r="K42" s="14"/>
      <c r="L42" s="14"/>
      <c r="M42" s="15"/>
    </row>
    <row r="43" spans="1:22" x14ac:dyDescent="0.3">
      <c r="A43" s="6"/>
      <c r="B43" s="6"/>
      <c r="C43" s="6"/>
      <c r="D43" s="6"/>
      <c r="E43" s="6"/>
      <c r="F43" s="14"/>
      <c r="G43" s="14"/>
      <c r="H43" s="14"/>
      <c r="I43" s="14"/>
      <c r="J43" s="14"/>
      <c r="K43" s="14"/>
      <c r="L43" s="14"/>
      <c r="M43" s="15"/>
    </row>
    <row r="45" spans="1:22" ht="18" x14ac:dyDescent="0.35">
      <c r="A45" s="26" t="s">
        <v>159</v>
      </c>
      <c r="B45" s="26" t="s">
        <v>2</v>
      </c>
      <c r="C45" s="26" t="s">
        <v>3</v>
      </c>
      <c r="D45" s="26" t="s">
        <v>5</v>
      </c>
      <c r="E45" s="26" t="s">
        <v>1</v>
      </c>
      <c r="F45" s="24" t="s">
        <v>4</v>
      </c>
      <c r="G45" s="24"/>
      <c r="H45" s="24"/>
      <c r="I45" s="24"/>
      <c r="J45" s="24"/>
      <c r="K45" s="24"/>
      <c r="L45" s="24"/>
      <c r="M45" s="26" t="s">
        <v>161</v>
      </c>
      <c r="N45" s="23" t="s">
        <v>173</v>
      </c>
      <c r="O45" s="23"/>
      <c r="P45" s="23"/>
      <c r="Q45" s="23"/>
      <c r="R45" s="23"/>
      <c r="S45" s="23"/>
      <c r="T45" s="23"/>
      <c r="U45" s="23"/>
      <c r="V45" s="23"/>
    </row>
    <row r="46" spans="1:22" x14ac:dyDescent="0.3">
      <c r="A46" s="26"/>
      <c r="B46" s="26"/>
      <c r="C46" s="26"/>
      <c r="D46" s="26"/>
      <c r="E46" s="26"/>
      <c r="F46" s="7" t="s">
        <v>7</v>
      </c>
      <c r="G46" s="7" t="s">
        <v>137</v>
      </c>
      <c r="H46" s="7" t="s">
        <v>142</v>
      </c>
      <c r="I46" s="7" t="s">
        <v>155</v>
      </c>
      <c r="J46" s="7" t="s">
        <v>156</v>
      </c>
      <c r="K46" s="7" t="s">
        <v>157</v>
      </c>
      <c r="L46" s="7" t="s">
        <v>158</v>
      </c>
      <c r="M46" s="26"/>
      <c r="N46" s="10" t="s">
        <v>7</v>
      </c>
      <c r="O46" s="10" t="s">
        <v>174</v>
      </c>
      <c r="P46" s="10" t="s">
        <v>142</v>
      </c>
      <c r="Q46" s="10" t="s">
        <v>175</v>
      </c>
      <c r="R46" s="11" t="s">
        <v>176</v>
      </c>
      <c r="S46" s="10" t="s">
        <v>177</v>
      </c>
      <c r="T46" s="10" t="s">
        <v>178</v>
      </c>
      <c r="U46" s="10" t="s">
        <v>179</v>
      </c>
      <c r="V46" s="10" t="s">
        <v>180</v>
      </c>
    </row>
    <row r="47" spans="1:22" x14ac:dyDescent="0.3">
      <c r="A47" s="3">
        <v>1</v>
      </c>
      <c r="B47" s="3">
        <v>1052</v>
      </c>
      <c r="C47" s="3" t="s">
        <v>148</v>
      </c>
      <c r="D47" s="3" t="s">
        <v>8</v>
      </c>
      <c r="E47" s="3" t="s">
        <v>106</v>
      </c>
      <c r="F47" s="4">
        <v>593037609.40909088</v>
      </c>
      <c r="G47" s="4">
        <v>114769015.81818181</v>
      </c>
      <c r="H47" s="4">
        <v>720631064.72727275</v>
      </c>
      <c r="I47" s="4">
        <f t="shared" ref="I47:I67" si="15">(F47+G47+H47)/3</f>
        <v>476145896.65151519</v>
      </c>
      <c r="J47" s="4">
        <f t="shared" si="1"/>
        <v>523760486.31666672</v>
      </c>
      <c r="K47" s="4">
        <v>524000000</v>
      </c>
      <c r="L47" s="4">
        <f t="shared" si="2"/>
        <v>1572000000</v>
      </c>
      <c r="M47" s="5">
        <v>0.04</v>
      </c>
      <c r="N47" s="12">
        <v>593037609.40909088</v>
      </c>
      <c r="O47" s="12">
        <v>114769015.81818181</v>
      </c>
      <c r="P47" s="12">
        <f>VLOOKUP(B47,[1]PIVOT!$A:$C,3,0)</f>
        <v>720631064.72727275</v>
      </c>
      <c r="Q47" s="12">
        <f>AVERAGE(N47:P47)</f>
        <v>476145896.65151519</v>
      </c>
      <c r="R47" s="13">
        <v>0.1</v>
      </c>
      <c r="S47" s="12">
        <f>Q47+(Q47*R47)</f>
        <v>523760486.31666672</v>
      </c>
      <c r="T47" s="12">
        <f>S47*3</f>
        <v>1571281458.9500003</v>
      </c>
      <c r="U47" s="12">
        <f>S47/1.11</f>
        <v>471856293.97897899</v>
      </c>
      <c r="V47" s="12">
        <f>T47/1.11</f>
        <v>1415568881.9369371</v>
      </c>
    </row>
    <row r="48" spans="1:22" x14ac:dyDescent="0.3">
      <c r="A48" s="3">
        <v>2</v>
      </c>
      <c r="B48" s="3">
        <v>1224024</v>
      </c>
      <c r="C48" s="3" t="s">
        <v>118</v>
      </c>
      <c r="D48" s="3" t="s">
        <v>8</v>
      </c>
      <c r="E48" s="3" t="s">
        <v>106</v>
      </c>
      <c r="F48" s="4">
        <v>422633065.31818193</v>
      </c>
      <c r="G48" s="4">
        <v>356226395.63636363</v>
      </c>
      <c r="H48" s="4">
        <v>381784233.81818205</v>
      </c>
      <c r="I48" s="4">
        <f t="shared" si="15"/>
        <v>386881231.59090918</v>
      </c>
      <c r="J48" s="4">
        <f t="shared" si="1"/>
        <v>425569354.75000012</v>
      </c>
      <c r="K48" s="4">
        <v>426000000</v>
      </c>
      <c r="L48" s="4">
        <f t="shared" si="2"/>
        <v>1278000000</v>
      </c>
      <c r="M48" s="5">
        <v>0.04</v>
      </c>
      <c r="N48" s="12">
        <f>VLOOKUP(B48,[2]PIVOT!$A:$D,3,0)</f>
        <v>422633065.31818193</v>
      </c>
      <c r="O48" s="12">
        <f>VLOOKUP(B48,[2]PIVOT!$A:$D,4,0)</f>
        <v>356226395.63636363</v>
      </c>
      <c r="P48" s="12">
        <f>VLOOKUP(B48,[1]PIVOT!$A:$C,3,0)</f>
        <v>381784233.81818205</v>
      </c>
      <c r="Q48" s="12">
        <f t="shared" ref="Q48:Q67" si="16">AVERAGE(N48:P48)</f>
        <v>386881231.59090918</v>
      </c>
      <c r="R48" s="13">
        <v>0.1</v>
      </c>
      <c r="S48" s="12">
        <f t="shared" ref="S48:S67" si="17">Q48+(Q48*R48)</f>
        <v>425569354.75000012</v>
      </c>
      <c r="T48" s="12">
        <f t="shared" ref="T48:T67" si="18">S48*3</f>
        <v>1276708064.2500005</v>
      </c>
      <c r="U48" s="12">
        <f t="shared" ref="U48:U67" si="19">S48/1.11</f>
        <v>383395815.09009016</v>
      </c>
      <c r="V48" s="12">
        <f t="shared" ref="V48:V67" si="20">T48/1.11</f>
        <v>1150187445.2702706</v>
      </c>
    </row>
    <row r="49" spans="1:22" x14ac:dyDescent="0.3">
      <c r="A49" s="3">
        <v>3</v>
      </c>
      <c r="B49" s="3">
        <v>1431599</v>
      </c>
      <c r="C49" s="3" t="s">
        <v>119</v>
      </c>
      <c r="D49" s="3" t="s">
        <v>8</v>
      </c>
      <c r="E49" s="3" t="s">
        <v>106</v>
      </c>
      <c r="F49" s="4">
        <v>211040481.90909088</v>
      </c>
      <c r="G49" s="4">
        <v>271432014.31818181</v>
      </c>
      <c r="H49" s="4">
        <v>294262530.90909106</v>
      </c>
      <c r="I49" s="4">
        <f t="shared" si="15"/>
        <v>258911675.71212125</v>
      </c>
      <c r="J49" s="4">
        <f t="shared" si="1"/>
        <v>284802843.28333342</v>
      </c>
      <c r="K49" s="4">
        <v>285000000</v>
      </c>
      <c r="L49" s="4">
        <f t="shared" si="2"/>
        <v>855000000</v>
      </c>
      <c r="M49" s="5">
        <v>0.04</v>
      </c>
      <c r="N49" s="12">
        <f>VLOOKUP(B49,[2]PIVOT!$A:$D,3,0)</f>
        <v>211040481.90909088</v>
      </c>
      <c r="O49" s="12">
        <f>VLOOKUP(B49,[2]PIVOT!$A:$D,4,0)</f>
        <v>271432014.31818181</v>
      </c>
      <c r="P49" s="12">
        <f>VLOOKUP(B49,[1]PIVOT!$A:$C,3,0)</f>
        <v>294262530.90909106</v>
      </c>
      <c r="Q49" s="12">
        <f t="shared" si="16"/>
        <v>258911675.71212125</v>
      </c>
      <c r="R49" s="13">
        <v>0.1</v>
      </c>
      <c r="S49" s="12">
        <f t="shared" si="17"/>
        <v>284802843.28333336</v>
      </c>
      <c r="T49" s="12">
        <f t="shared" si="18"/>
        <v>854408529.85000014</v>
      </c>
      <c r="U49" s="12">
        <f t="shared" si="19"/>
        <v>256579138.0930931</v>
      </c>
      <c r="V49" s="12">
        <f t="shared" si="20"/>
        <v>769737414.27927935</v>
      </c>
    </row>
    <row r="50" spans="1:22" x14ac:dyDescent="0.3">
      <c r="A50" s="3">
        <v>4</v>
      </c>
      <c r="B50" s="3">
        <v>2530022</v>
      </c>
      <c r="C50" s="3" t="s">
        <v>107</v>
      </c>
      <c r="D50" s="3" t="s">
        <v>8</v>
      </c>
      <c r="E50" s="3" t="s">
        <v>106</v>
      </c>
      <c r="F50" s="4">
        <v>239474476.63636357</v>
      </c>
      <c r="G50" s="4">
        <v>29194800</v>
      </c>
      <c r="H50" s="4">
        <v>220343929.09090906</v>
      </c>
      <c r="I50" s="4">
        <f t="shared" si="15"/>
        <v>163004401.90909088</v>
      </c>
      <c r="J50" s="4">
        <f t="shared" si="1"/>
        <v>179304842.09999996</v>
      </c>
      <c r="K50" s="4">
        <v>180000000</v>
      </c>
      <c r="L50" s="4">
        <f t="shared" si="2"/>
        <v>540000000</v>
      </c>
      <c r="M50" s="5">
        <v>0.04</v>
      </c>
      <c r="N50" s="12">
        <f>VLOOKUP(B50,[2]PIVOT!$A:$D,3,0)</f>
        <v>239474476.63636363</v>
      </c>
      <c r="O50" s="12">
        <f>VLOOKUP(B50,[2]PIVOT!$A:$D,4,0)</f>
        <v>29194800</v>
      </c>
      <c r="P50" s="12">
        <f>VLOOKUP(B50,[1]PIVOT!$A:$C,3,0)</f>
        <v>220343929.09090906</v>
      </c>
      <c r="Q50" s="12">
        <f t="shared" si="16"/>
        <v>163004401.90909091</v>
      </c>
      <c r="R50" s="13">
        <v>0.1</v>
      </c>
      <c r="S50" s="12">
        <f t="shared" si="17"/>
        <v>179304842.09999999</v>
      </c>
      <c r="T50" s="12">
        <f t="shared" si="18"/>
        <v>537914526.29999995</v>
      </c>
      <c r="U50" s="12">
        <f t="shared" si="19"/>
        <v>161535893.78378376</v>
      </c>
      <c r="V50" s="12">
        <f t="shared" si="20"/>
        <v>484607681.35135126</v>
      </c>
    </row>
    <row r="51" spans="1:22" x14ac:dyDescent="0.3">
      <c r="A51" s="3">
        <v>5</v>
      </c>
      <c r="B51" s="3">
        <v>1130011</v>
      </c>
      <c r="C51" s="3" t="s">
        <v>117</v>
      </c>
      <c r="D51" s="3" t="s">
        <v>8</v>
      </c>
      <c r="E51" s="3" t="s">
        <v>106</v>
      </c>
      <c r="F51" s="4">
        <v>174847260.45454538</v>
      </c>
      <c r="G51" s="4">
        <v>106430203.63636358</v>
      </c>
      <c r="H51" s="4">
        <v>207170903</v>
      </c>
      <c r="I51" s="4">
        <f t="shared" si="15"/>
        <v>162816122.36363631</v>
      </c>
      <c r="J51" s="4">
        <f t="shared" si="1"/>
        <v>179097734.59999996</v>
      </c>
      <c r="K51" s="4">
        <v>180000000</v>
      </c>
      <c r="L51" s="4">
        <f t="shared" si="2"/>
        <v>540000000</v>
      </c>
      <c r="M51" s="5">
        <v>0.04</v>
      </c>
      <c r="N51" s="12">
        <f>VLOOKUP(B51,[2]PIVOT!$A:$D,3,0)</f>
        <v>174847260.45454538</v>
      </c>
      <c r="O51" s="12">
        <f>VLOOKUP(B51,[2]PIVOT!$A:$D,4,0)</f>
        <v>106430203.63636358</v>
      </c>
      <c r="P51" s="12">
        <f>VLOOKUP(B51,[1]PIVOT!$A:$C,3,0)</f>
        <v>207170903</v>
      </c>
      <c r="Q51" s="12">
        <f t="shared" si="16"/>
        <v>162816122.36363631</v>
      </c>
      <c r="R51" s="13">
        <v>0.1</v>
      </c>
      <c r="S51" s="12">
        <f t="shared" si="17"/>
        <v>179097734.59999993</v>
      </c>
      <c r="T51" s="12">
        <f t="shared" si="18"/>
        <v>537293203.79999983</v>
      </c>
      <c r="U51" s="12">
        <f t="shared" si="19"/>
        <v>161349310.45045039</v>
      </c>
      <c r="V51" s="12">
        <f t="shared" si="20"/>
        <v>484047931.35135114</v>
      </c>
    </row>
    <row r="52" spans="1:22" x14ac:dyDescent="0.3">
      <c r="A52" s="3">
        <v>6</v>
      </c>
      <c r="B52" s="3">
        <v>1431887</v>
      </c>
      <c r="C52" s="3" t="s">
        <v>121</v>
      </c>
      <c r="D52" s="3" t="s">
        <v>8</v>
      </c>
      <c r="E52" s="3" t="s">
        <v>106</v>
      </c>
      <c r="F52" s="4">
        <v>68897793.636363655</v>
      </c>
      <c r="G52" s="4">
        <v>149158472.36363637</v>
      </c>
      <c r="H52" s="4">
        <v>99867169.3636363</v>
      </c>
      <c r="I52" s="4">
        <f t="shared" si="15"/>
        <v>105974478.45454544</v>
      </c>
      <c r="J52" s="4">
        <f t="shared" si="1"/>
        <v>116571926.3</v>
      </c>
      <c r="K52" s="4">
        <v>117000000</v>
      </c>
      <c r="L52" s="4">
        <f t="shared" si="2"/>
        <v>351000000</v>
      </c>
      <c r="M52" s="5">
        <v>0.04</v>
      </c>
      <c r="N52" s="12">
        <f>VLOOKUP(B52,[2]PIVOT!$A:$D,3,0)</f>
        <v>68897793.636363655</v>
      </c>
      <c r="O52" s="12">
        <f>VLOOKUP(B52,[2]PIVOT!$A:$D,4,0)</f>
        <v>149158472.36363637</v>
      </c>
      <c r="P52" s="12">
        <f>VLOOKUP(B52,[1]PIVOT!$A:$C,3,0)</f>
        <v>99867169.3636363</v>
      </c>
      <c r="Q52" s="12">
        <f t="shared" si="16"/>
        <v>105974478.45454544</v>
      </c>
      <c r="R52" s="13">
        <v>0.1</v>
      </c>
      <c r="S52" s="12">
        <f t="shared" si="17"/>
        <v>116571926.29999998</v>
      </c>
      <c r="T52" s="12">
        <f t="shared" si="18"/>
        <v>349715778.89999998</v>
      </c>
      <c r="U52" s="12">
        <f t="shared" si="19"/>
        <v>105019753.42342339</v>
      </c>
      <c r="V52" s="12">
        <f t="shared" si="20"/>
        <v>315059260.27027023</v>
      </c>
    </row>
    <row r="53" spans="1:22" x14ac:dyDescent="0.3">
      <c r="A53" s="3">
        <v>7</v>
      </c>
      <c r="B53" s="3">
        <v>1150013</v>
      </c>
      <c r="C53" s="3" t="s">
        <v>133</v>
      </c>
      <c r="D53" s="3" t="s">
        <v>8</v>
      </c>
      <c r="E53" s="3" t="s">
        <v>106</v>
      </c>
      <c r="F53" s="4">
        <v>191580139.22727278</v>
      </c>
      <c r="G53" s="4"/>
      <c r="H53" s="4">
        <v>121839382.18181819</v>
      </c>
      <c r="I53" s="4">
        <f t="shared" si="15"/>
        <v>104473173.80303033</v>
      </c>
      <c r="J53" s="4">
        <f t="shared" si="1"/>
        <v>114920491.18333337</v>
      </c>
      <c r="K53" s="4">
        <v>115000000</v>
      </c>
      <c r="L53" s="4">
        <f t="shared" si="2"/>
        <v>345000000</v>
      </c>
      <c r="M53" s="5">
        <v>0.04</v>
      </c>
      <c r="N53" s="12">
        <f>VLOOKUP(B53,[2]PIVOT!$A:$D,3,0)</f>
        <v>191580139.22727278</v>
      </c>
      <c r="O53" s="12">
        <f>VLOOKUP(B53,[2]PIVOT!$A:$D,4,0)</f>
        <v>0</v>
      </c>
      <c r="P53" s="12">
        <f>VLOOKUP(B53,[1]PIVOT!$A:$C,3,0)</f>
        <v>121839382.18181819</v>
      </c>
      <c r="Q53" s="12">
        <f t="shared" si="16"/>
        <v>104473173.80303033</v>
      </c>
      <c r="R53" s="13">
        <v>0.1</v>
      </c>
      <c r="S53" s="12">
        <f t="shared" si="17"/>
        <v>114920491.18333337</v>
      </c>
      <c r="T53" s="12">
        <f t="shared" si="18"/>
        <v>344761473.55000007</v>
      </c>
      <c r="U53" s="12">
        <f t="shared" si="19"/>
        <v>103531974.03903906</v>
      </c>
      <c r="V53" s="12">
        <f t="shared" si="20"/>
        <v>310595922.11711717</v>
      </c>
    </row>
    <row r="54" spans="1:22" x14ac:dyDescent="0.3">
      <c r="A54" s="3">
        <v>8</v>
      </c>
      <c r="B54" s="3" t="s">
        <v>131</v>
      </c>
      <c r="C54" s="3" t="s">
        <v>132</v>
      </c>
      <c r="D54" s="3" t="s">
        <v>8</v>
      </c>
      <c r="E54" s="3" t="s">
        <v>106</v>
      </c>
      <c r="F54" s="4">
        <v>89089818.545454547</v>
      </c>
      <c r="G54" s="4">
        <v>81639785.454545468</v>
      </c>
      <c r="H54" s="4">
        <v>94819058.999999985</v>
      </c>
      <c r="I54" s="4">
        <f t="shared" si="15"/>
        <v>88516221</v>
      </c>
      <c r="J54" s="4">
        <f t="shared" si="1"/>
        <v>97367843.100000009</v>
      </c>
      <c r="K54" s="4">
        <v>98000000</v>
      </c>
      <c r="L54" s="4">
        <f t="shared" si="2"/>
        <v>294000000</v>
      </c>
      <c r="M54" s="5">
        <v>0.04</v>
      </c>
      <c r="N54" s="12">
        <f>VLOOKUP(B54,[2]PIVOT!$A:$D,3,0)</f>
        <v>89089818.545454547</v>
      </c>
      <c r="O54" s="12">
        <f>VLOOKUP(B54,[2]PIVOT!$A:$D,4,0)</f>
        <v>4314101.5909090908</v>
      </c>
      <c r="P54" s="12">
        <f>VLOOKUP(B54,[1]PIVOT!$A:$C,3,0)</f>
        <v>94819058.999999985</v>
      </c>
      <c r="Q54" s="12">
        <f t="shared" si="16"/>
        <v>62740993.045454539</v>
      </c>
      <c r="R54" s="13">
        <v>0.1</v>
      </c>
      <c r="S54" s="12">
        <f t="shared" si="17"/>
        <v>69015092.349999994</v>
      </c>
      <c r="T54" s="12">
        <f t="shared" si="18"/>
        <v>207045277.04999998</v>
      </c>
      <c r="U54" s="12">
        <f t="shared" si="19"/>
        <v>62175758.87387386</v>
      </c>
      <c r="V54" s="12">
        <f t="shared" si="20"/>
        <v>186527276.62162158</v>
      </c>
    </row>
    <row r="55" spans="1:22" x14ac:dyDescent="0.3">
      <c r="A55" s="3">
        <v>9</v>
      </c>
      <c r="B55" s="3">
        <v>1002</v>
      </c>
      <c r="C55" s="3" t="s">
        <v>147</v>
      </c>
      <c r="D55" s="3" t="s">
        <v>8</v>
      </c>
      <c r="E55" s="3" t="s">
        <v>106</v>
      </c>
      <c r="F55" s="4"/>
      <c r="G55" s="4"/>
      <c r="H55" s="4">
        <v>240678065.04545444</v>
      </c>
      <c r="I55" s="4">
        <f t="shared" si="15"/>
        <v>80226021.681818143</v>
      </c>
      <c r="J55" s="4">
        <f t="shared" si="1"/>
        <v>88248623.849999964</v>
      </c>
      <c r="K55" s="4">
        <v>90000000</v>
      </c>
      <c r="L55" s="4">
        <f t="shared" si="2"/>
        <v>270000000</v>
      </c>
      <c r="M55" s="5">
        <v>0.04</v>
      </c>
      <c r="N55" s="12">
        <v>0</v>
      </c>
      <c r="O55" s="12">
        <v>0</v>
      </c>
      <c r="P55" s="12">
        <f>VLOOKUP(B55,[1]PIVOT!$A:$C,3,0)</f>
        <v>240678065.04545444</v>
      </c>
      <c r="Q55" s="12">
        <f t="shared" si="16"/>
        <v>80226021.681818143</v>
      </c>
      <c r="R55" s="13">
        <v>0.1</v>
      </c>
      <c r="S55" s="12">
        <f t="shared" si="17"/>
        <v>88248623.849999964</v>
      </c>
      <c r="T55" s="12">
        <f t="shared" si="18"/>
        <v>264745871.54999989</v>
      </c>
      <c r="U55" s="12">
        <f t="shared" si="19"/>
        <v>79503264.729729697</v>
      </c>
      <c r="V55" s="12">
        <f t="shared" si="20"/>
        <v>238509794.18918908</v>
      </c>
    </row>
    <row r="56" spans="1:22" x14ac:dyDescent="0.3">
      <c r="A56" s="3">
        <v>10</v>
      </c>
      <c r="B56" s="3">
        <v>2130009</v>
      </c>
      <c r="C56" s="3" t="s">
        <v>111</v>
      </c>
      <c r="D56" s="3" t="s">
        <v>8</v>
      </c>
      <c r="E56" s="3" t="s">
        <v>106</v>
      </c>
      <c r="F56" s="4">
        <v>95029719.545454562</v>
      </c>
      <c r="G56" s="4">
        <v>19427443.63636364</v>
      </c>
      <c r="H56" s="4">
        <v>108195122.72727273</v>
      </c>
      <c r="I56" s="4">
        <f t="shared" si="15"/>
        <v>74217428.63636364</v>
      </c>
      <c r="J56" s="4">
        <f t="shared" si="1"/>
        <v>81639171.500000015</v>
      </c>
      <c r="K56" s="4">
        <v>82000000</v>
      </c>
      <c r="L56" s="4">
        <f t="shared" si="2"/>
        <v>246000000</v>
      </c>
      <c r="M56" s="5">
        <v>0.04</v>
      </c>
      <c r="N56" s="12">
        <f>VLOOKUP(B56,[2]PIVOT!$A:$D,3,0)</f>
        <v>95029719.545454562</v>
      </c>
      <c r="O56" s="12">
        <f>VLOOKUP(B56,[2]PIVOT!$A:$D,4,0)</f>
        <v>19427443.63636364</v>
      </c>
      <c r="P56" s="12">
        <f>VLOOKUP(B56,[1]PIVOT!$A:$C,3,0)</f>
        <v>108195122.72727273</v>
      </c>
      <c r="Q56" s="12">
        <f t="shared" si="16"/>
        <v>74217428.63636364</v>
      </c>
      <c r="R56" s="13">
        <v>0.1</v>
      </c>
      <c r="S56" s="12">
        <f t="shared" si="17"/>
        <v>81639171.5</v>
      </c>
      <c r="T56" s="12">
        <f t="shared" si="18"/>
        <v>244917514.5</v>
      </c>
      <c r="U56" s="12">
        <f t="shared" si="19"/>
        <v>73548803.153153151</v>
      </c>
      <c r="V56" s="12">
        <f t="shared" si="20"/>
        <v>220646409.45945945</v>
      </c>
    </row>
    <row r="57" spans="1:22" x14ac:dyDescent="0.3">
      <c r="A57" s="3">
        <v>11</v>
      </c>
      <c r="B57" s="3">
        <v>1122363</v>
      </c>
      <c r="C57" s="3" t="s">
        <v>125</v>
      </c>
      <c r="D57" s="3" t="s">
        <v>8</v>
      </c>
      <c r="E57" s="3" t="s">
        <v>106</v>
      </c>
      <c r="F57" s="4">
        <v>40297446.000000007</v>
      </c>
      <c r="G57" s="4">
        <v>149501305.4545455</v>
      </c>
      <c r="H57" s="4"/>
      <c r="I57" s="4">
        <f t="shared" si="15"/>
        <v>63266250.484848499</v>
      </c>
      <c r="J57" s="4">
        <f t="shared" si="1"/>
        <v>69592875.533333361</v>
      </c>
      <c r="K57" s="4">
        <v>70000000</v>
      </c>
      <c r="L57" s="4">
        <f t="shared" si="2"/>
        <v>210000000</v>
      </c>
      <c r="M57" s="5">
        <v>0.04</v>
      </c>
      <c r="N57" s="12">
        <f>VLOOKUP(B57,[2]PIVOT!$A:$D,3,0)</f>
        <v>40297446.000000007</v>
      </c>
      <c r="O57" s="12">
        <f>VLOOKUP(B57,[2]PIVOT!$A:$D,4,0)</f>
        <v>149501305.4545455</v>
      </c>
      <c r="P57" s="12">
        <v>0</v>
      </c>
      <c r="Q57" s="12">
        <f t="shared" si="16"/>
        <v>63266250.484848499</v>
      </c>
      <c r="R57" s="13">
        <v>0.1</v>
      </c>
      <c r="S57" s="12">
        <f t="shared" si="17"/>
        <v>69592875.533333346</v>
      </c>
      <c r="T57" s="12">
        <f t="shared" si="18"/>
        <v>208778626.60000002</v>
      </c>
      <c r="U57" s="12">
        <f t="shared" si="19"/>
        <v>62696284.264264271</v>
      </c>
      <c r="V57" s="12">
        <f t="shared" si="20"/>
        <v>188088852.7927928</v>
      </c>
    </row>
    <row r="58" spans="1:22" x14ac:dyDescent="0.3">
      <c r="A58" s="3">
        <v>12</v>
      </c>
      <c r="B58" s="3">
        <v>1144077</v>
      </c>
      <c r="C58" s="3" t="s">
        <v>115</v>
      </c>
      <c r="D58" s="3" t="s">
        <v>8</v>
      </c>
      <c r="E58" s="3" t="s">
        <v>106</v>
      </c>
      <c r="F58" s="4">
        <v>81906729.545454532</v>
      </c>
      <c r="G58" s="4">
        <v>26843000.000000004</v>
      </c>
      <c r="H58" s="4">
        <v>48874208.18181818</v>
      </c>
      <c r="I58" s="4">
        <f t="shared" si="15"/>
        <v>52541312.575757571</v>
      </c>
      <c r="J58" s="4">
        <f t="shared" si="1"/>
        <v>57795443.833333336</v>
      </c>
      <c r="K58" s="4">
        <v>58000000</v>
      </c>
      <c r="L58" s="4">
        <f t="shared" si="2"/>
        <v>174000000</v>
      </c>
      <c r="M58" s="5">
        <v>0.04</v>
      </c>
      <c r="N58" s="12">
        <f>VLOOKUP(B58,[2]PIVOT!$A:$D,3,0)</f>
        <v>81906729.545454532</v>
      </c>
      <c r="O58" s="12">
        <f>VLOOKUP(B58,[2]PIVOT!$A:$D,4,0)</f>
        <v>26843000.000000004</v>
      </c>
      <c r="P58" s="12">
        <f>VLOOKUP(B58,[1]PIVOT!$A:$C,3,0)</f>
        <v>48874208.18181818</v>
      </c>
      <c r="Q58" s="12">
        <f t="shared" si="16"/>
        <v>52541312.575757571</v>
      </c>
      <c r="R58" s="13">
        <v>0.1</v>
      </c>
      <c r="S58" s="12">
        <f t="shared" si="17"/>
        <v>57795443.833333328</v>
      </c>
      <c r="T58" s="12">
        <f t="shared" si="18"/>
        <v>173386331.5</v>
      </c>
      <c r="U58" s="12">
        <f t="shared" si="19"/>
        <v>52067967.417417407</v>
      </c>
      <c r="V58" s="12">
        <f t="shared" si="20"/>
        <v>156203902.25225225</v>
      </c>
    </row>
    <row r="59" spans="1:22" x14ac:dyDescent="0.3">
      <c r="A59" s="3">
        <v>13</v>
      </c>
      <c r="B59" s="3">
        <v>1402561</v>
      </c>
      <c r="C59" s="3" t="s">
        <v>134</v>
      </c>
      <c r="D59" s="3" t="s">
        <v>8</v>
      </c>
      <c r="E59" s="3" t="s">
        <v>106</v>
      </c>
      <c r="F59" s="4">
        <v>-14561257.842727274</v>
      </c>
      <c r="G59" s="4">
        <v>147585969.40909082</v>
      </c>
      <c r="H59" s="4"/>
      <c r="I59" s="4">
        <f t="shared" si="15"/>
        <v>44341570.522121184</v>
      </c>
      <c r="J59" s="4">
        <f t="shared" si="1"/>
        <v>48775727.574333303</v>
      </c>
      <c r="K59" s="4">
        <v>49000000</v>
      </c>
      <c r="L59" s="4">
        <f t="shared" si="2"/>
        <v>147000000</v>
      </c>
      <c r="M59" s="5">
        <v>0.04</v>
      </c>
      <c r="N59" s="12">
        <f>VLOOKUP(B59,[2]PIVOT!$A:$D,3,0)</f>
        <v>-14561257.842727274</v>
      </c>
      <c r="O59" s="12">
        <f>VLOOKUP(B59,[2]PIVOT!$A:$D,4,0)</f>
        <v>147585969.40909082</v>
      </c>
      <c r="P59" s="12">
        <v>0</v>
      </c>
      <c r="Q59" s="12">
        <f t="shared" si="16"/>
        <v>44341570.522121184</v>
      </c>
      <c r="R59" s="13">
        <v>0.1</v>
      </c>
      <c r="S59" s="12">
        <f t="shared" si="17"/>
        <v>48775727.574333303</v>
      </c>
      <c r="T59" s="12">
        <f t="shared" si="18"/>
        <v>146327182.7229999</v>
      </c>
      <c r="U59" s="12">
        <f t="shared" si="19"/>
        <v>43942096.913813785</v>
      </c>
      <c r="V59" s="12">
        <f t="shared" si="20"/>
        <v>131826290.74144134</v>
      </c>
    </row>
    <row r="60" spans="1:22" x14ac:dyDescent="0.3">
      <c r="A60" s="3">
        <v>14</v>
      </c>
      <c r="B60" s="3">
        <v>3431768</v>
      </c>
      <c r="C60" s="3" t="s">
        <v>129</v>
      </c>
      <c r="D60" s="3" t="s">
        <v>8</v>
      </c>
      <c r="E60" s="3" t="s">
        <v>106</v>
      </c>
      <c r="F60" s="4">
        <v>25269989.090909094</v>
      </c>
      <c r="G60" s="4">
        <v>69958059.090909079</v>
      </c>
      <c r="H60" s="4">
        <v>-234000</v>
      </c>
      <c r="I60" s="4">
        <f t="shared" si="15"/>
        <v>31664682.727272723</v>
      </c>
      <c r="J60" s="4">
        <f t="shared" si="1"/>
        <v>34831151</v>
      </c>
      <c r="K60" s="4">
        <v>35000000</v>
      </c>
      <c r="L60" s="4">
        <f t="shared" si="2"/>
        <v>105000000</v>
      </c>
      <c r="M60" s="5">
        <v>0.04</v>
      </c>
      <c r="N60" s="12">
        <f>VLOOKUP(B60,[2]PIVOT!$A:$D,3,0)</f>
        <v>25269989.090909094</v>
      </c>
      <c r="O60" s="12">
        <f>VLOOKUP(B60,[2]PIVOT!$A:$D,4,0)</f>
        <v>69958059.090909079</v>
      </c>
      <c r="P60" s="12">
        <f>VLOOKUP(B60,[1]PIVOT!$A:$C,3,0)</f>
        <v>-234000</v>
      </c>
      <c r="Q60" s="12">
        <f t="shared" si="16"/>
        <v>31664682.727272723</v>
      </c>
      <c r="R60" s="13">
        <v>0.1</v>
      </c>
      <c r="S60" s="12">
        <f t="shared" si="17"/>
        <v>34831150.999999993</v>
      </c>
      <c r="T60" s="12">
        <f t="shared" si="18"/>
        <v>104493452.99999997</v>
      </c>
      <c r="U60" s="12">
        <f t="shared" si="19"/>
        <v>31379415.315315306</v>
      </c>
      <c r="V60" s="12">
        <f t="shared" si="20"/>
        <v>94138245.945945904</v>
      </c>
    </row>
    <row r="61" spans="1:22" x14ac:dyDescent="0.3">
      <c r="A61" s="3">
        <v>15</v>
      </c>
      <c r="B61" s="3">
        <v>1102414</v>
      </c>
      <c r="C61" s="3" t="s">
        <v>126</v>
      </c>
      <c r="D61" s="3" t="s">
        <v>8</v>
      </c>
      <c r="E61" s="3" t="s">
        <v>106</v>
      </c>
      <c r="F61" s="4">
        <v>24786147.272727266</v>
      </c>
      <c r="G61" s="4">
        <v>44063638.181818172</v>
      </c>
      <c r="H61" s="4">
        <v>25073438.18181818</v>
      </c>
      <c r="I61" s="4">
        <f t="shared" si="15"/>
        <v>31307741.212121207</v>
      </c>
      <c r="J61" s="4">
        <f t="shared" si="1"/>
        <v>34438515.333333328</v>
      </c>
      <c r="K61" s="4">
        <v>35000000</v>
      </c>
      <c r="L61" s="4">
        <f t="shared" si="2"/>
        <v>105000000</v>
      </c>
      <c r="M61" s="5">
        <v>0.04</v>
      </c>
      <c r="N61" s="12">
        <f>VLOOKUP(B61,[2]PIVOT!$A:$D,3,0)</f>
        <v>24786147.272727266</v>
      </c>
      <c r="O61" s="12">
        <f>VLOOKUP(B61,[2]PIVOT!$A:$D,4,0)</f>
        <v>44063638.181818172</v>
      </c>
      <c r="P61" s="12">
        <f>VLOOKUP(B61,[1]PIVOT!$A:$C,3,0)</f>
        <v>25073438.18181818</v>
      </c>
      <c r="Q61" s="12">
        <f t="shared" si="16"/>
        <v>31307741.212121207</v>
      </c>
      <c r="R61" s="13">
        <v>0.1</v>
      </c>
      <c r="S61" s="12">
        <f t="shared" si="17"/>
        <v>34438515.333333328</v>
      </c>
      <c r="T61" s="12">
        <f t="shared" si="18"/>
        <v>103315545.99999999</v>
      </c>
      <c r="U61" s="12">
        <f t="shared" si="19"/>
        <v>31025689.489489481</v>
      </c>
      <c r="V61" s="12">
        <f t="shared" si="20"/>
        <v>93077068.468468443</v>
      </c>
    </row>
    <row r="62" spans="1:22" x14ac:dyDescent="0.3">
      <c r="A62" s="3">
        <v>16</v>
      </c>
      <c r="B62" s="3">
        <v>1431907</v>
      </c>
      <c r="C62" s="3" t="s">
        <v>114</v>
      </c>
      <c r="D62" s="3" t="s">
        <v>8</v>
      </c>
      <c r="E62" s="3" t="s">
        <v>106</v>
      </c>
      <c r="F62" s="4">
        <v>39010868.772727273</v>
      </c>
      <c r="G62" s="4">
        <v>24931848.000000004</v>
      </c>
      <c r="H62" s="4">
        <v>29933193.545454543</v>
      </c>
      <c r="I62" s="4">
        <f t="shared" si="15"/>
        <v>31291970.106060609</v>
      </c>
      <c r="J62" s="4">
        <f t="shared" si="1"/>
        <v>34421167.116666675</v>
      </c>
      <c r="K62" s="4">
        <v>35000000</v>
      </c>
      <c r="L62" s="4">
        <f t="shared" si="2"/>
        <v>105000000</v>
      </c>
      <c r="M62" s="5">
        <v>0.04</v>
      </c>
      <c r="N62" s="12">
        <f>VLOOKUP(B62,[2]PIVOT!$A:$D,3,0)</f>
        <v>39010868.772727273</v>
      </c>
      <c r="O62" s="12">
        <f>VLOOKUP(B62,[2]PIVOT!$A:$D,4,0)</f>
        <v>24931848.000000004</v>
      </c>
      <c r="P62" s="12">
        <f>VLOOKUP(B62,[1]PIVOT!$A:$C,3,0)</f>
        <v>29933193.545454543</v>
      </c>
      <c r="Q62" s="12">
        <f t="shared" si="16"/>
        <v>31291970.106060609</v>
      </c>
      <c r="R62" s="13">
        <v>0.1</v>
      </c>
      <c r="S62" s="12">
        <f t="shared" si="17"/>
        <v>34421167.116666667</v>
      </c>
      <c r="T62" s="12">
        <f t="shared" si="18"/>
        <v>103263501.34999999</v>
      </c>
      <c r="U62" s="12">
        <f t="shared" si="19"/>
        <v>31010060.465465464</v>
      </c>
      <c r="V62" s="12">
        <f t="shared" si="20"/>
        <v>93030181.396396384</v>
      </c>
    </row>
    <row r="63" spans="1:22" x14ac:dyDescent="0.3">
      <c r="A63" s="3">
        <v>17</v>
      </c>
      <c r="B63" s="3" t="s">
        <v>122</v>
      </c>
      <c r="C63" s="3" t="s">
        <v>123</v>
      </c>
      <c r="D63" s="3" t="s">
        <v>8</v>
      </c>
      <c r="E63" s="3" t="s">
        <v>106</v>
      </c>
      <c r="F63" s="4">
        <v>49313357.454545461</v>
      </c>
      <c r="G63" s="4"/>
      <c r="H63" s="4">
        <v>40592326.363636367</v>
      </c>
      <c r="I63" s="4">
        <f t="shared" si="15"/>
        <v>29968561.272727277</v>
      </c>
      <c r="J63" s="4">
        <f t="shared" si="1"/>
        <v>32965417.400000006</v>
      </c>
      <c r="K63" s="4">
        <v>33000000</v>
      </c>
      <c r="L63" s="4">
        <f t="shared" si="2"/>
        <v>99000000</v>
      </c>
      <c r="M63" s="5">
        <v>0.04</v>
      </c>
      <c r="N63" s="12">
        <f>VLOOKUP(B63,[2]PIVOT!$A:$D,3,0)</f>
        <v>49313357.454545461</v>
      </c>
      <c r="O63" s="12">
        <f>VLOOKUP(B63,[2]PIVOT!$A:$D,4,0)</f>
        <v>-2569397.7272727271</v>
      </c>
      <c r="P63" s="12">
        <f>VLOOKUP(B63,[1]PIVOT!$A:$C,3,0)</f>
        <v>40592326.363636367</v>
      </c>
      <c r="Q63" s="12">
        <f t="shared" si="16"/>
        <v>29112095.363636363</v>
      </c>
      <c r="R63" s="13">
        <v>0.1</v>
      </c>
      <c r="S63" s="12">
        <f t="shared" si="17"/>
        <v>32023304.899999999</v>
      </c>
      <c r="T63" s="12">
        <f t="shared" si="18"/>
        <v>96069914.699999988</v>
      </c>
      <c r="U63" s="12">
        <f t="shared" si="19"/>
        <v>28849824.234234229</v>
      </c>
      <c r="V63" s="12">
        <f t="shared" si="20"/>
        <v>86549472.702702686</v>
      </c>
    </row>
    <row r="64" spans="1:22" x14ac:dyDescent="0.3">
      <c r="A64" s="3">
        <v>18</v>
      </c>
      <c r="B64" s="3">
        <v>1431681</v>
      </c>
      <c r="C64" s="3" t="s">
        <v>141</v>
      </c>
      <c r="D64" s="3" t="s">
        <v>8</v>
      </c>
      <c r="E64" s="3" t="s">
        <v>106</v>
      </c>
      <c r="F64" s="4"/>
      <c r="G64" s="4">
        <v>25154070.272727273</v>
      </c>
      <c r="H64" s="4">
        <v>56148038.636363633</v>
      </c>
      <c r="I64" s="4">
        <f t="shared" si="15"/>
        <v>27100702.969696969</v>
      </c>
      <c r="J64" s="4">
        <f t="shared" si="1"/>
        <v>29810773.266666669</v>
      </c>
      <c r="K64" s="4">
        <v>30000000</v>
      </c>
      <c r="L64" s="4">
        <f t="shared" si="2"/>
        <v>90000000</v>
      </c>
      <c r="M64" s="5">
        <v>0.04</v>
      </c>
      <c r="N64" s="12">
        <f>VLOOKUP(B64,[2]PIVOT!$A:$D,3,0)</f>
        <v>0</v>
      </c>
      <c r="O64" s="12">
        <f>VLOOKUP(B64,[2]PIVOT!$A:$D,4,0)</f>
        <v>25154070.272727273</v>
      </c>
      <c r="P64" s="12">
        <f>VLOOKUP(B64,[1]PIVOT!$A:$C,3,0)</f>
        <v>56148038.636363633</v>
      </c>
      <c r="Q64" s="12">
        <f t="shared" si="16"/>
        <v>27100702.969696969</v>
      </c>
      <c r="R64" s="13">
        <v>0.1</v>
      </c>
      <c r="S64" s="12">
        <f t="shared" si="17"/>
        <v>29810773.266666666</v>
      </c>
      <c r="T64" s="12">
        <f t="shared" si="18"/>
        <v>89432319.799999997</v>
      </c>
      <c r="U64" s="12">
        <f t="shared" si="19"/>
        <v>26856552.49249249</v>
      </c>
      <c r="V64" s="12">
        <f t="shared" si="20"/>
        <v>80569657.477477461</v>
      </c>
    </row>
    <row r="65" spans="1:22" x14ac:dyDescent="0.3">
      <c r="A65" s="3">
        <v>19</v>
      </c>
      <c r="B65" s="3">
        <v>3431871</v>
      </c>
      <c r="C65" s="3" t="s">
        <v>140</v>
      </c>
      <c r="D65" s="3" t="s">
        <v>8</v>
      </c>
      <c r="E65" s="3" t="s">
        <v>106</v>
      </c>
      <c r="F65" s="4"/>
      <c r="G65" s="4">
        <v>53785430.909090929</v>
      </c>
      <c r="H65" s="4">
        <v>21759217.63636364</v>
      </c>
      <c r="I65" s="4">
        <f t="shared" si="15"/>
        <v>25181549.515151519</v>
      </c>
      <c r="J65" s="4">
        <f t="shared" si="1"/>
        <v>27699704.466666672</v>
      </c>
      <c r="K65" s="4">
        <v>28000000</v>
      </c>
      <c r="L65" s="4">
        <f t="shared" si="2"/>
        <v>84000000</v>
      </c>
      <c r="M65" s="5">
        <v>0.04</v>
      </c>
      <c r="N65" s="12">
        <f>VLOOKUP(B65,[2]PIVOT!$A:$D,3,0)</f>
        <v>0</v>
      </c>
      <c r="O65" s="12">
        <f>VLOOKUP(B65,[2]PIVOT!$A:$D,4,0)</f>
        <v>53785430.909090929</v>
      </c>
      <c r="P65" s="12">
        <f>VLOOKUP(B65,[1]PIVOT!$A:$C,3,0)</f>
        <v>21759217.63636364</v>
      </c>
      <c r="Q65" s="12">
        <f t="shared" si="16"/>
        <v>25181549.515151519</v>
      </c>
      <c r="R65" s="13">
        <v>0.1</v>
      </c>
      <c r="S65" s="12">
        <f t="shared" si="17"/>
        <v>27699704.466666672</v>
      </c>
      <c r="T65" s="12">
        <f t="shared" si="18"/>
        <v>83099113.400000021</v>
      </c>
      <c r="U65" s="12">
        <f t="shared" si="19"/>
        <v>24954688.708708711</v>
      </c>
      <c r="V65" s="12">
        <f t="shared" si="20"/>
        <v>74864066.12612614</v>
      </c>
    </row>
    <row r="66" spans="1:22" x14ac:dyDescent="0.3">
      <c r="A66" s="3">
        <v>20</v>
      </c>
      <c r="B66" s="3">
        <v>1432288</v>
      </c>
      <c r="C66" s="3" t="s">
        <v>130</v>
      </c>
      <c r="D66" s="3" t="s">
        <v>8</v>
      </c>
      <c r="E66" s="3" t="s">
        <v>106</v>
      </c>
      <c r="F66" s="4">
        <v>26078969.136363644</v>
      </c>
      <c r="G66" s="4">
        <v>20578380.272727273</v>
      </c>
      <c r="H66" s="4">
        <v>25068131</v>
      </c>
      <c r="I66" s="4">
        <f t="shared" si="15"/>
        <v>23908493.469696973</v>
      </c>
      <c r="J66" s="4">
        <f t="shared" si="1"/>
        <v>26299342.81666667</v>
      </c>
      <c r="K66" s="4">
        <v>27000000</v>
      </c>
      <c r="L66" s="4">
        <f t="shared" si="2"/>
        <v>81000000</v>
      </c>
      <c r="M66" s="5">
        <v>0.04</v>
      </c>
      <c r="N66" s="12">
        <f>VLOOKUP(B66,[2]PIVOT!$A:$D,3,0)</f>
        <v>26078969.136363644</v>
      </c>
      <c r="O66" s="12">
        <f>VLOOKUP(B66,[2]PIVOT!$A:$D,4,0)</f>
        <v>20578380.272727273</v>
      </c>
      <c r="P66" s="12">
        <f>VLOOKUP(B66,[1]PIVOT!$A:$C,3,0)</f>
        <v>25068131</v>
      </c>
      <c r="Q66" s="12">
        <f t="shared" si="16"/>
        <v>23908493.469696973</v>
      </c>
      <c r="R66" s="13">
        <v>0.1</v>
      </c>
      <c r="S66" s="12">
        <f t="shared" si="17"/>
        <v>26299342.81666667</v>
      </c>
      <c r="T66" s="12">
        <f t="shared" si="18"/>
        <v>78898028.450000018</v>
      </c>
      <c r="U66" s="12">
        <f t="shared" si="19"/>
        <v>23693101.636636637</v>
      </c>
      <c r="V66" s="12">
        <f t="shared" si="20"/>
        <v>71079304.909909919</v>
      </c>
    </row>
    <row r="67" spans="1:22" x14ac:dyDescent="0.3">
      <c r="A67" s="3">
        <v>21</v>
      </c>
      <c r="B67" s="3">
        <v>1432204</v>
      </c>
      <c r="C67" s="3" t="s">
        <v>128</v>
      </c>
      <c r="D67" s="3" t="s">
        <v>8</v>
      </c>
      <c r="E67" s="3" t="s">
        <v>106</v>
      </c>
      <c r="F67" s="4">
        <v>61107770.909090906</v>
      </c>
      <c r="G67" s="4"/>
      <c r="H67" s="4"/>
      <c r="I67" s="4">
        <f t="shared" si="15"/>
        <v>20369256.969696969</v>
      </c>
      <c r="J67" s="4">
        <f t="shared" si="1"/>
        <v>22406182.666666668</v>
      </c>
      <c r="K67" s="4">
        <v>23000000</v>
      </c>
      <c r="L67" s="4">
        <f t="shared" si="2"/>
        <v>69000000</v>
      </c>
      <c r="M67" s="5">
        <v>0.04</v>
      </c>
      <c r="N67" s="12">
        <f>VLOOKUP(B67,[2]PIVOT!$A:$D,3,0)</f>
        <v>61107770.909090906</v>
      </c>
      <c r="O67" s="12">
        <f>VLOOKUP(B67,[2]PIVOT!$A:$D,4,0)</f>
        <v>10174658.181818185</v>
      </c>
      <c r="P67" s="12">
        <v>0</v>
      </c>
      <c r="Q67" s="12">
        <f t="shared" si="16"/>
        <v>23760809.696969699</v>
      </c>
      <c r="R67" s="13">
        <v>0.1</v>
      </c>
      <c r="S67" s="12">
        <f t="shared" si="17"/>
        <v>26136890.666666668</v>
      </c>
      <c r="T67" s="12">
        <f t="shared" si="18"/>
        <v>78410672</v>
      </c>
      <c r="U67" s="12">
        <f t="shared" si="19"/>
        <v>23546748.348348346</v>
      </c>
      <c r="V67" s="12">
        <f t="shared" si="20"/>
        <v>70640245.045045033</v>
      </c>
    </row>
    <row r="68" spans="1:22" x14ac:dyDescent="0.3">
      <c r="A68" s="25" t="s">
        <v>160</v>
      </c>
      <c r="B68" s="25"/>
      <c r="C68" s="25"/>
      <c r="D68" s="25"/>
      <c r="E68" s="25"/>
      <c r="F68" s="8">
        <f>SUM(F47:F67)</f>
        <v>2418840385.0209093</v>
      </c>
      <c r="G68" s="8">
        <f t="shared" ref="G68:L68" si="21">SUM(G47:G67)</f>
        <v>1690679832.4545455</v>
      </c>
      <c r="H68" s="8">
        <f t="shared" si="21"/>
        <v>2736806013.40909</v>
      </c>
      <c r="I68" s="8">
        <f t="shared" si="21"/>
        <v>2282108743.6281824</v>
      </c>
      <c r="J68" s="8">
        <f t="shared" si="21"/>
        <v>2510319617.9910007</v>
      </c>
      <c r="K68" s="8">
        <f t="shared" si="21"/>
        <v>2520000000</v>
      </c>
      <c r="L68" s="8">
        <f t="shared" si="21"/>
        <v>7560000000</v>
      </c>
      <c r="M68" s="9"/>
      <c r="N68" s="12"/>
      <c r="O68" s="12"/>
      <c r="P68" s="12"/>
      <c r="Q68" s="12"/>
      <c r="R68" s="13"/>
      <c r="S68" s="12"/>
      <c r="T68" s="12"/>
      <c r="U68" s="12"/>
      <c r="V68" s="12"/>
    </row>
    <row r="70" spans="1:22" x14ac:dyDescent="0.3">
      <c r="A70" s="26" t="s">
        <v>159</v>
      </c>
      <c r="B70" s="26" t="s">
        <v>2</v>
      </c>
      <c r="C70" s="26" t="s">
        <v>3</v>
      </c>
      <c r="D70" s="26" t="s">
        <v>5</v>
      </c>
      <c r="E70" s="26" t="s">
        <v>1</v>
      </c>
      <c r="F70" s="24" t="s">
        <v>4</v>
      </c>
      <c r="G70" s="24"/>
      <c r="H70" s="24"/>
      <c r="I70" s="24"/>
      <c r="J70" s="24"/>
      <c r="K70" s="24"/>
      <c r="L70" s="24"/>
      <c r="M70" s="26" t="s">
        <v>161</v>
      </c>
    </row>
    <row r="71" spans="1:22" x14ac:dyDescent="0.3">
      <c r="A71" s="26"/>
      <c r="B71" s="26"/>
      <c r="C71" s="26"/>
      <c r="D71" s="26"/>
      <c r="E71" s="26"/>
      <c r="F71" s="7" t="s">
        <v>7</v>
      </c>
      <c r="G71" s="7" t="s">
        <v>137</v>
      </c>
      <c r="H71" s="7" t="s">
        <v>142</v>
      </c>
      <c r="I71" s="7" t="s">
        <v>155</v>
      </c>
      <c r="J71" s="7" t="s">
        <v>156</v>
      </c>
      <c r="K71" s="7" t="s">
        <v>157</v>
      </c>
      <c r="L71" s="7" t="s">
        <v>158</v>
      </c>
      <c r="M71" s="26"/>
    </row>
    <row r="72" spans="1:22" x14ac:dyDescent="0.3">
      <c r="A72" s="28" t="s">
        <v>165</v>
      </c>
      <c r="B72" s="28"/>
      <c r="C72" s="28"/>
      <c r="D72" s="3" t="s">
        <v>8</v>
      </c>
      <c r="E72" s="3" t="s">
        <v>14</v>
      </c>
      <c r="F72" s="4">
        <f>F14+F35+F68</f>
        <v>4924054219.8390903</v>
      </c>
      <c r="G72" s="4">
        <f t="shared" ref="G72:L72" si="22">G14+G35+G68</f>
        <v>3756662035.727272</v>
      </c>
      <c r="H72" s="4">
        <f t="shared" si="22"/>
        <v>5015151249.681818</v>
      </c>
      <c r="I72" s="4">
        <f t="shared" si="22"/>
        <v>4565289168.4160604</v>
      </c>
      <c r="J72" s="4">
        <f t="shared" si="22"/>
        <v>5021818085.2576675</v>
      </c>
      <c r="K72" s="4">
        <f t="shared" si="22"/>
        <v>5149000000</v>
      </c>
      <c r="L72" s="4">
        <f t="shared" si="22"/>
        <v>15447000000</v>
      </c>
      <c r="M72" s="5">
        <v>0.04</v>
      </c>
    </row>
    <row r="74" spans="1:22" x14ac:dyDescent="0.3">
      <c r="A74" s="27" t="s">
        <v>171</v>
      </c>
      <c r="B74" s="27"/>
      <c r="C74" s="27"/>
      <c r="F74"/>
      <c r="G74"/>
      <c r="H74"/>
      <c r="I74"/>
      <c r="J74"/>
      <c r="K74"/>
      <c r="L74"/>
    </row>
    <row r="75" spans="1:22" x14ac:dyDescent="0.3">
      <c r="A75" s="27" t="s">
        <v>169</v>
      </c>
      <c r="B75" s="27"/>
      <c r="C75" s="27"/>
      <c r="F75"/>
      <c r="G75"/>
      <c r="H75"/>
      <c r="I75"/>
      <c r="J75"/>
      <c r="K75"/>
      <c r="L75"/>
    </row>
    <row r="76" spans="1:22" x14ac:dyDescent="0.3">
      <c r="A76" s="6"/>
      <c r="F76"/>
      <c r="G76"/>
      <c r="H76"/>
      <c r="I76"/>
      <c r="J76"/>
      <c r="K76"/>
      <c r="L76"/>
    </row>
    <row r="77" spans="1:22" x14ac:dyDescent="0.3">
      <c r="A77" s="6"/>
      <c r="F77"/>
      <c r="G77"/>
      <c r="H77"/>
      <c r="I77"/>
      <c r="J77"/>
      <c r="K77"/>
      <c r="L77"/>
    </row>
    <row r="78" spans="1:22" x14ac:dyDescent="0.3">
      <c r="A78" s="6"/>
      <c r="F78"/>
      <c r="G78"/>
      <c r="H78"/>
      <c r="I78"/>
      <c r="J78"/>
      <c r="K78"/>
      <c r="L78"/>
    </row>
    <row r="79" spans="1:22" x14ac:dyDescent="0.3">
      <c r="A79" s="6"/>
      <c r="F79"/>
      <c r="G79"/>
      <c r="H79"/>
      <c r="I79"/>
      <c r="J79"/>
      <c r="K79"/>
      <c r="L79"/>
    </row>
    <row r="80" spans="1:22" x14ac:dyDescent="0.3">
      <c r="A80" s="27" t="s">
        <v>170</v>
      </c>
      <c r="B80" s="27"/>
      <c r="C80" s="27"/>
      <c r="F80"/>
      <c r="G80"/>
      <c r="H80"/>
      <c r="I80"/>
      <c r="J80"/>
      <c r="K80"/>
      <c r="L80"/>
    </row>
    <row r="81" spans="1:12" x14ac:dyDescent="0.3">
      <c r="A81" s="27" t="s">
        <v>172</v>
      </c>
      <c r="B81" s="27"/>
      <c r="C81" s="27"/>
      <c r="F81"/>
      <c r="G81"/>
      <c r="H81"/>
      <c r="I81"/>
      <c r="J81"/>
      <c r="K81"/>
      <c r="L81"/>
    </row>
  </sheetData>
  <sortState xmlns:xlrd2="http://schemas.microsoft.com/office/spreadsheetml/2017/richdata2" ref="B4:I19956">
    <sortCondition ref="E3:E19956"/>
  </sortState>
  <mergeCells count="39">
    <mergeCell ref="A74:C74"/>
    <mergeCell ref="A75:C75"/>
    <mergeCell ref="A80:C80"/>
    <mergeCell ref="A81:C81"/>
    <mergeCell ref="A72:C72"/>
    <mergeCell ref="A68:E68"/>
    <mergeCell ref="A45:A46"/>
    <mergeCell ref="B45:B46"/>
    <mergeCell ref="C45:C46"/>
    <mergeCell ref="D45:D46"/>
    <mergeCell ref="E45:E46"/>
    <mergeCell ref="F70:L70"/>
    <mergeCell ref="M70:M71"/>
    <mergeCell ref="M2:M3"/>
    <mergeCell ref="M16:M17"/>
    <mergeCell ref="M45:M46"/>
    <mergeCell ref="F16:L16"/>
    <mergeCell ref="F45:L45"/>
    <mergeCell ref="A70:A71"/>
    <mergeCell ref="B70:B71"/>
    <mergeCell ref="C70:C71"/>
    <mergeCell ref="D70:D71"/>
    <mergeCell ref="E70:E71"/>
    <mergeCell ref="N2:V2"/>
    <mergeCell ref="N16:V16"/>
    <mergeCell ref="N45:V45"/>
    <mergeCell ref="F2:L2"/>
    <mergeCell ref="A14:E14"/>
    <mergeCell ref="A16:A17"/>
    <mergeCell ref="B2:B3"/>
    <mergeCell ref="C2:C3"/>
    <mergeCell ref="D2:D3"/>
    <mergeCell ref="E2:E3"/>
    <mergeCell ref="A35:E35"/>
    <mergeCell ref="A2:A3"/>
    <mergeCell ref="B16:B17"/>
    <mergeCell ref="C16:C17"/>
    <mergeCell ref="D16:D17"/>
    <mergeCell ref="E16:E17"/>
  </mergeCells>
  <pageMargins left="0.25" right="0.25" top="0.75" bottom="1.02" header="0.3" footer="0.3"/>
  <pageSetup paperSize="9" scale="7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50AB-B8AB-48BD-B343-D1535F78AF74}">
  <sheetPr>
    <pageSetUpPr fitToPage="1"/>
  </sheetPr>
  <dimension ref="A1:V41"/>
  <sheetViews>
    <sheetView topLeftCell="A17" workbookViewId="0">
      <selection activeCell="V28" sqref="A1:V28"/>
    </sheetView>
  </sheetViews>
  <sheetFormatPr defaultRowHeight="14.4" x14ac:dyDescent="0.3"/>
  <cols>
    <col min="1" max="1" width="6.21875" bestFit="1" customWidth="1"/>
    <col min="2" max="2" width="25.77734375" bestFit="1" customWidth="1"/>
    <col min="3" max="3" width="8.77734375" bestFit="1" customWidth="1"/>
    <col min="4" max="4" width="12.88671875" bestFit="1" customWidth="1"/>
    <col min="5" max="8" width="12.21875" style="2" hidden="1" customWidth="1"/>
    <col min="9" max="9" width="12.5546875" style="2" hidden="1" customWidth="1"/>
    <col min="10" max="10" width="16.109375" style="2" hidden="1" customWidth="1"/>
    <col min="11" max="11" width="16.21875" style="2" hidden="1" customWidth="1"/>
    <col min="12" max="12" width="11" style="2" hidden="1" customWidth="1"/>
    <col min="13" max="14" width="12.21875" bestFit="1" customWidth="1"/>
    <col min="15" max="15" width="11.21875" bestFit="1" customWidth="1"/>
    <col min="16" max="16" width="12.218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18.5546875" bestFit="1" customWidth="1"/>
  </cols>
  <sheetData>
    <row r="1" spans="1:22" ht="21" x14ac:dyDescent="0.4">
      <c r="A1" s="16" t="s">
        <v>182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22" ht="18" x14ac:dyDescent="0.35">
      <c r="A2" s="26" t="s">
        <v>159</v>
      </c>
      <c r="B2" s="26" t="s">
        <v>163</v>
      </c>
      <c r="C2" s="26" t="s">
        <v>5</v>
      </c>
      <c r="D2" s="26" t="s">
        <v>1</v>
      </c>
      <c r="E2" s="24" t="s">
        <v>4</v>
      </c>
      <c r="F2" s="24"/>
      <c r="G2" s="24"/>
      <c r="H2" s="24"/>
      <c r="I2" s="24"/>
      <c r="J2" s="24"/>
      <c r="K2" s="24"/>
      <c r="L2" s="32" t="s">
        <v>161</v>
      </c>
      <c r="M2" s="29" t="s">
        <v>173</v>
      </c>
      <c r="N2" s="30"/>
      <c r="O2" s="30"/>
      <c r="P2" s="30"/>
      <c r="Q2" s="30"/>
      <c r="R2" s="30"/>
      <c r="S2" s="30"/>
      <c r="T2" s="30"/>
      <c r="U2" s="31"/>
    </row>
    <row r="3" spans="1:22" x14ac:dyDescent="0.3">
      <c r="A3" s="26"/>
      <c r="B3" s="26"/>
      <c r="C3" s="26"/>
      <c r="D3" s="26"/>
      <c r="E3" s="7" t="s">
        <v>7</v>
      </c>
      <c r="F3" s="7" t="s">
        <v>137</v>
      </c>
      <c r="G3" s="7" t="s">
        <v>142</v>
      </c>
      <c r="H3" s="7" t="s">
        <v>155</v>
      </c>
      <c r="I3" s="7" t="s">
        <v>156</v>
      </c>
      <c r="J3" s="7" t="s">
        <v>157</v>
      </c>
      <c r="K3" s="7" t="s">
        <v>158</v>
      </c>
      <c r="L3" s="32"/>
      <c r="M3" s="10" t="s">
        <v>7</v>
      </c>
      <c r="N3" s="10" t="s">
        <v>174</v>
      </c>
      <c r="O3" s="10" t="s">
        <v>142</v>
      </c>
      <c r="P3" s="10" t="s">
        <v>175</v>
      </c>
      <c r="Q3" s="11" t="s">
        <v>176</v>
      </c>
      <c r="R3" s="10" t="s">
        <v>177</v>
      </c>
      <c r="S3" s="10" t="s">
        <v>178</v>
      </c>
      <c r="T3" s="10" t="s">
        <v>179</v>
      </c>
      <c r="U3" s="10" t="s">
        <v>180</v>
      </c>
    </row>
    <row r="4" spans="1:22" x14ac:dyDescent="0.3">
      <c r="A4" s="3">
        <v>1</v>
      </c>
      <c r="B4" s="3" t="s">
        <v>22</v>
      </c>
      <c r="C4" s="3" t="s">
        <v>9</v>
      </c>
      <c r="D4" s="3" t="s">
        <v>15</v>
      </c>
      <c r="E4" s="4">
        <v>107715775.90909071</v>
      </c>
      <c r="F4" s="4">
        <v>226801777.95454472</v>
      </c>
      <c r="G4" s="4">
        <v>61762034.590909071</v>
      </c>
      <c r="H4" s="4">
        <f>(E4+F4+G4)/3</f>
        <v>132093196.15151483</v>
      </c>
      <c r="I4" s="4">
        <f>H4*110%</f>
        <v>145302515.76666632</v>
      </c>
      <c r="J4" s="4">
        <v>146000000</v>
      </c>
      <c r="K4" s="4">
        <f>J4*3</f>
        <v>438000000</v>
      </c>
      <c r="L4" s="5">
        <v>0.03</v>
      </c>
      <c r="M4" s="12">
        <v>107715775.90909076</v>
      </c>
      <c r="N4" s="12">
        <v>226801777.95454472</v>
      </c>
      <c r="O4" s="12">
        <v>61762034.590909071</v>
      </c>
      <c r="P4" s="12">
        <f>AVERAGE(M4:O4)</f>
        <v>132093196.15151484</v>
      </c>
      <c r="Q4" s="13">
        <v>0.1</v>
      </c>
      <c r="R4" s="12">
        <f>P4+(P4*Q4)</f>
        <v>145302515.76666632</v>
      </c>
      <c r="S4" s="12">
        <f>R4*3</f>
        <v>435907547.299999</v>
      </c>
      <c r="T4" s="12">
        <f>R4/1.11</f>
        <v>130903167.35735704</v>
      </c>
      <c r="U4" s="12">
        <f>S4/1.11</f>
        <v>392709502.07207114</v>
      </c>
    </row>
    <row r="5" spans="1:22" x14ac:dyDescent="0.3">
      <c r="A5" s="3">
        <v>2</v>
      </c>
      <c r="B5" s="3" t="s">
        <v>16</v>
      </c>
      <c r="C5" s="3" t="s">
        <v>9</v>
      </c>
      <c r="D5" s="3" t="s">
        <v>15</v>
      </c>
      <c r="E5" s="4">
        <v>86949622.136363581</v>
      </c>
      <c r="F5" s="4">
        <v>101519515.7272726</v>
      </c>
      <c r="G5" s="4">
        <v>77025240.863636374</v>
      </c>
      <c r="H5" s="4">
        <f>(E5+F5+G5)/3</f>
        <v>88498126.24242419</v>
      </c>
      <c r="I5" s="4">
        <f t="shared" ref="I5:I27" si="0">H5*110%</f>
        <v>97347938.866666615</v>
      </c>
      <c r="J5" s="4">
        <v>98000000</v>
      </c>
      <c r="K5" s="4">
        <f t="shared" ref="K5:K27" si="1">J5*3</f>
        <v>294000000</v>
      </c>
      <c r="L5" s="5">
        <v>0.03</v>
      </c>
      <c r="M5" s="12">
        <v>86949622.136363626</v>
      </c>
      <c r="N5" s="12">
        <v>101519515.7272726</v>
      </c>
      <c r="O5" s="12">
        <v>77025240.863636374</v>
      </c>
      <c r="P5" s="12">
        <f t="shared" ref="P5:P8" si="2">AVERAGE(M5:O5)</f>
        <v>88498126.242424205</v>
      </c>
      <c r="Q5" s="13">
        <v>0.1</v>
      </c>
      <c r="R5" s="12">
        <f t="shared" ref="R5:R8" si="3">P5+(P5*Q5)</f>
        <v>97347938.86666663</v>
      </c>
      <c r="S5" s="12">
        <f t="shared" ref="S5:S8" si="4">R5*3</f>
        <v>292043816.5999999</v>
      </c>
      <c r="T5" s="12">
        <f t="shared" ref="T5:T8" si="5">R5/1.11</f>
        <v>87700845.825825781</v>
      </c>
      <c r="U5" s="12">
        <f t="shared" ref="U5:U8" si="6">S5/1.11</f>
        <v>263102537.47747737</v>
      </c>
    </row>
    <row r="6" spans="1:22" x14ac:dyDescent="0.3">
      <c r="A6" s="3">
        <v>3</v>
      </c>
      <c r="B6" s="3" t="s">
        <v>19</v>
      </c>
      <c r="C6" s="3" t="s">
        <v>9</v>
      </c>
      <c r="D6" s="3" t="s">
        <v>15</v>
      </c>
      <c r="E6" s="4">
        <v>69686819.5877271</v>
      </c>
      <c r="F6" s="4">
        <v>54130481.136363573</v>
      </c>
      <c r="G6" s="4">
        <v>91131077.363636151</v>
      </c>
      <c r="H6" s="4">
        <f>(E6+F6+G6)/3</f>
        <v>71649459.362575606</v>
      </c>
      <c r="I6" s="4">
        <f t="shared" si="0"/>
        <v>78814405.298833176</v>
      </c>
      <c r="J6" s="4">
        <v>79000000</v>
      </c>
      <c r="K6" s="4">
        <f t="shared" si="1"/>
        <v>237000000</v>
      </c>
      <c r="L6" s="5">
        <v>0.03</v>
      </c>
      <c r="M6" s="12">
        <v>69686819.58772707</v>
      </c>
      <c r="N6" s="12">
        <v>54130481.136363573</v>
      </c>
      <c r="O6" s="12">
        <v>91131077.363636151</v>
      </c>
      <c r="P6" s="12">
        <f t="shared" si="2"/>
        <v>71649459.362575591</v>
      </c>
      <c r="Q6" s="13">
        <v>0.1</v>
      </c>
      <c r="R6" s="12">
        <f t="shared" si="3"/>
        <v>78814405.298833147</v>
      </c>
      <c r="S6" s="12">
        <f t="shared" si="4"/>
        <v>236443215.89649945</v>
      </c>
      <c r="T6" s="12">
        <f t="shared" si="5"/>
        <v>71003968.737687513</v>
      </c>
      <c r="U6" s="12">
        <f t="shared" si="6"/>
        <v>213011906.21306255</v>
      </c>
    </row>
    <row r="7" spans="1:22" s="22" customFormat="1" x14ac:dyDescent="0.3">
      <c r="A7" s="17">
        <v>4</v>
      </c>
      <c r="B7" s="17" t="s">
        <v>27</v>
      </c>
      <c r="C7" s="17" t="s">
        <v>9</v>
      </c>
      <c r="D7" s="17" t="s">
        <v>15</v>
      </c>
      <c r="E7" s="18">
        <v>9620119.9090909101</v>
      </c>
      <c r="F7" s="18">
        <v>12763375.90909091</v>
      </c>
      <c r="G7" s="18">
        <v>13448455.636363635</v>
      </c>
      <c r="H7" s="18">
        <f>(E7+F7+G7)/3</f>
        <v>11943983.818181818</v>
      </c>
      <c r="I7" s="18">
        <f t="shared" si="0"/>
        <v>13138382.200000001</v>
      </c>
      <c r="J7" s="18">
        <v>14000000</v>
      </c>
      <c r="K7" s="18">
        <f t="shared" si="1"/>
        <v>42000000</v>
      </c>
      <c r="L7" s="19">
        <v>0.03</v>
      </c>
      <c r="M7" s="20">
        <v>9620119.909090912</v>
      </c>
      <c r="N7" s="20">
        <v>12763375.90909091</v>
      </c>
      <c r="O7" s="20">
        <v>13448455.636363635</v>
      </c>
      <c r="P7" s="20">
        <f t="shared" si="2"/>
        <v>11943983.818181818</v>
      </c>
      <c r="Q7" s="21">
        <v>0.1</v>
      </c>
      <c r="R7" s="20">
        <f t="shared" si="3"/>
        <v>13138382.199999999</v>
      </c>
      <c r="S7" s="20">
        <f t="shared" si="4"/>
        <v>39415146.599999994</v>
      </c>
      <c r="T7" s="20">
        <f t="shared" si="5"/>
        <v>11836380.360360358</v>
      </c>
      <c r="U7" s="20">
        <f t="shared" si="6"/>
        <v>35509141.08108107</v>
      </c>
      <c r="V7" s="22" t="s">
        <v>181</v>
      </c>
    </row>
    <row r="8" spans="1:22" s="22" customFormat="1" x14ac:dyDescent="0.3">
      <c r="A8" s="17">
        <v>5</v>
      </c>
      <c r="B8" s="17" t="s">
        <v>42</v>
      </c>
      <c r="C8" s="17" t="s">
        <v>9</v>
      </c>
      <c r="D8" s="17" t="s">
        <v>15</v>
      </c>
      <c r="E8" s="18">
        <v>12996175.909090905</v>
      </c>
      <c r="F8" s="18">
        <v>-92099.318181818177</v>
      </c>
      <c r="G8" s="18">
        <v>20797020.818181816</v>
      </c>
      <c r="H8" s="18">
        <f>(E8+F8+G8)/3</f>
        <v>11233699.136363635</v>
      </c>
      <c r="I8" s="18">
        <f t="shared" si="0"/>
        <v>12357069.049999999</v>
      </c>
      <c r="J8" s="18">
        <v>13000000</v>
      </c>
      <c r="K8" s="18">
        <f t="shared" si="1"/>
        <v>39000000</v>
      </c>
      <c r="L8" s="19">
        <v>0.03</v>
      </c>
      <c r="M8" s="20">
        <v>12996175.909090908</v>
      </c>
      <c r="N8" s="20">
        <v>-92099.318181818177</v>
      </c>
      <c r="O8" s="20">
        <v>20797020.818181816</v>
      </c>
      <c r="P8" s="20">
        <f t="shared" si="2"/>
        <v>11233699.136363635</v>
      </c>
      <c r="Q8" s="21">
        <v>0.1</v>
      </c>
      <c r="R8" s="20">
        <f t="shared" si="3"/>
        <v>12357069.049999999</v>
      </c>
      <c r="S8" s="20">
        <f t="shared" si="4"/>
        <v>37071207.149999999</v>
      </c>
      <c r="T8" s="20">
        <f t="shared" si="5"/>
        <v>11132494.639639638</v>
      </c>
      <c r="U8" s="20">
        <f t="shared" si="6"/>
        <v>33397483.918918915</v>
      </c>
      <c r="V8" s="22" t="s">
        <v>181</v>
      </c>
    </row>
    <row r="9" spans="1:22" x14ac:dyDescent="0.3">
      <c r="A9" s="9" t="s">
        <v>160</v>
      </c>
      <c r="B9" s="9"/>
      <c r="C9" s="9"/>
      <c r="D9" s="9"/>
      <c r="E9" s="8">
        <f>SUM(E4:E8)</f>
        <v>286968513.45136321</v>
      </c>
      <c r="F9" s="8">
        <f t="shared" ref="F9:K9" si="7">SUM(F4:F8)</f>
        <v>395123051.40908998</v>
      </c>
      <c r="G9" s="8">
        <f t="shared" si="7"/>
        <v>264163829.27272701</v>
      </c>
      <c r="H9" s="8">
        <f t="shared" si="7"/>
        <v>315418464.71106005</v>
      </c>
      <c r="I9" s="8">
        <f t="shared" si="7"/>
        <v>346960311.1821661</v>
      </c>
      <c r="J9" s="8">
        <f t="shared" si="7"/>
        <v>350000000</v>
      </c>
      <c r="K9" s="8">
        <f t="shared" si="7"/>
        <v>1050000000</v>
      </c>
      <c r="L9" s="8"/>
      <c r="M9" s="3"/>
      <c r="N9" s="3"/>
      <c r="O9" s="3"/>
      <c r="P9" s="3"/>
      <c r="Q9" s="3"/>
      <c r="R9" s="3"/>
      <c r="S9" s="3"/>
      <c r="T9" s="3"/>
      <c r="U9" s="3"/>
    </row>
    <row r="10" spans="1:22" x14ac:dyDescent="0.3">
      <c r="I10" s="2">
        <f t="shared" si="0"/>
        <v>0</v>
      </c>
      <c r="K10" s="2">
        <f t="shared" si="1"/>
        <v>0</v>
      </c>
    </row>
    <row r="11" spans="1:22" ht="18" x14ac:dyDescent="0.35">
      <c r="A11" s="26" t="s">
        <v>159</v>
      </c>
      <c r="B11" s="26" t="s">
        <v>163</v>
      </c>
      <c r="C11" s="26" t="s">
        <v>5</v>
      </c>
      <c r="D11" s="26" t="s">
        <v>1</v>
      </c>
      <c r="E11" s="24" t="s">
        <v>4</v>
      </c>
      <c r="F11" s="24"/>
      <c r="G11" s="24"/>
      <c r="H11" s="24"/>
      <c r="I11" s="24"/>
      <c r="J11" s="24"/>
      <c r="K11" s="24"/>
      <c r="L11" s="32" t="s">
        <v>161</v>
      </c>
      <c r="M11" s="29" t="s">
        <v>173</v>
      </c>
      <c r="N11" s="30"/>
      <c r="O11" s="30"/>
      <c r="P11" s="30"/>
      <c r="Q11" s="30"/>
      <c r="R11" s="30"/>
      <c r="S11" s="30"/>
      <c r="T11" s="30"/>
      <c r="U11" s="31"/>
    </row>
    <row r="12" spans="1:22" x14ac:dyDescent="0.3">
      <c r="A12" s="26"/>
      <c r="B12" s="26"/>
      <c r="C12" s="26"/>
      <c r="D12" s="26"/>
      <c r="E12" s="7" t="s">
        <v>7</v>
      </c>
      <c r="F12" s="7" t="s">
        <v>137</v>
      </c>
      <c r="G12" s="7" t="s">
        <v>142</v>
      </c>
      <c r="H12" s="7" t="s">
        <v>155</v>
      </c>
      <c r="I12" s="7" t="s">
        <v>156</v>
      </c>
      <c r="J12" s="7" t="s">
        <v>157</v>
      </c>
      <c r="K12" s="7" t="s">
        <v>158</v>
      </c>
      <c r="L12" s="32"/>
      <c r="M12" s="10" t="s">
        <v>7</v>
      </c>
      <c r="N12" s="10" t="s">
        <v>174</v>
      </c>
      <c r="O12" s="10" t="s">
        <v>142</v>
      </c>
      <c r="P12" s="10" t="s">
        <v>175</v>
      </c>
      <c r="Q12" s="11" t="s">
        <v>176</v>
      </c>
      <c r="R12" s="10" t="s">
        <v>177</v>
      </c>
      <c r="S12" s="10" t="s">
        <v>178</v>
      </c>
      <c r="T12" s="10" t="s">
        <v>179</v>
      </c>
      <c r="U12" s="10" t="s">
        <v>180</v>
      </c>
    </row>
    <row r="13" spans="1:22" x14ac:dyDescent="0.3">
      <c r="A13" s="3">
        <v>1</v>
      </c>
      <c r="B13" s="3" t="s">
        <v>54</v>
      </c>
      <c r="C13" s="3" t="s">
        <v>9</v>
      </c>
      <c r="D13" s="3" t="s">
        <v>58</v>
      </c>
      <c r="E13" s="4">
        <v>63575691.741363555</v>
      </c>
      <c r="F13" s="4">
        <v>63791053.136363402</v>
      </c>
      <c r="G13" s="4">
        <v>63302437.454545371</v>
      </c>
      <c r="H13" s="4">
        <f>(E13+F13+G13)/3</f>
        <v>63556394.11075744</v>
      </c>
      <c r="I13" s="4">
        <f t="shared" si="0"/>
        <v>69912033.521833196</v>
      </c>
      <c r="J13" s="4">
        <v>70000000</v>
      </c>
      <c r="K13" s="4">
        <f t="shared" si="1"/>
        <v>210000000</v>
      </c>
      <c r="L13" s="5">
        <v>0.03</v>
      </c>
      <c r="M13" s="12">
        <v>63575691.741363451</v>
      </c>
      <c r="N13" s="12">
        <v>63791053.136363402</v>
      </c>
      <c r="O13" s="12">
        <v>63302437.454545371</v>
      </c>
      <c r="P13" s="12">
        <f>AVERAGE(M13:O13)</f>
        <v>63556394.110757411</v>
      </c>
      <c r="Q13" s="13">
        <v>0.1</v>
      </c>
      <c r="R13" s="12">
        <f>P13+(P13*Q13)</f>
        <v>69912033.521833152</v>
      </c>
      <c r="S13" s="12">
        <f>R13*3</f>
        <v>209736100.56549945</v>
      </c>
      <c r="T13" s="12">
        <f>R13/1.11</f>
        <v>62983813.983633466</v>
      </c>
      <c r="U13" s="12">
        <f>S13/1.11</f>
        <v>188951441.95090041</v>
      </c>
    </row>
    <row r="14" spans="1:22" x14ac:dyDescent="0.3">
      <c r="A14" s="3">
        <v>2</v>
      </c>
      <c r="B14" s="3" t="s">
        <v>82</v>
      </c>
      <c r="C14" s="3" t="s">
        <v>9</v>
      </c>
      <c r="D14" s="3" t="s">
        <v>58</v>
      </c>
      <c r="E14" s="4">
        <v>47561344.772727259</v>
      </c>
      <c r="F14" s="4">
        <v>41377883.18181818</v>
      </c>
      <c r="G14" s="4">
        <v>33418091.318181809</v>
      </c>
      <c r="H14" s="4">
        <f>(E14+F14+G14)/3</f>
        <v>40785773.090909086</v>
      </c>
      <c r="I14" s="4">
        <f t="shared" si="0"/>
        <v>44864350.399999999</v>
      </c>
      <c r="J14" s="4">
        <v>45000000</v>
      </c>
      <c r="K14" s="4">
        <f t="shared" si="1"/>
        <v>135000000</v>
      </c>
      <c r="L14" s="5">
        <v>0.03</v>
      </c>
      <c r="M14" s="12">
        <v>47561344.772727259</v>
      </c>
      <c r="N14" s="12">
        <v>41377883.18181818</v>
      </c>
      <c r="O14" s="12">
        <v>33418091.318181809</v>
      </c>
      <c r="P14" s="12">
        <f t="shared" ref="P14:P15" si="8">AVERAGE(M14:O14)</f>
        <v>40785773.090909086</v>
      </c>
      <c r="Q14" s="13">
        <v>0.1</v>
      </c>
      <c r="R14" s="12">
        <f t="shared" ref="R14:R16" si="9">P14+(P14*Q14)</f>
        <v>44864350.399999991</v>
      </c>
      <c r="S14" s="12">
        <f t="shared" ref="S14:S16" si="10">R14*3</f>
        <v>134593051.19999999</v>
      </c>
      <c r="T14" s="12">
        <f t="shared" ref="T14:T16" si="11">R14/1.11</f>
        <v>40418333.693693683</v>
      </c>
      <c r="U14" s="12">
        <f t="shared" ref="U14:U16" si="12">S14/1.11</f>
        <v>121255001.08108106</v>
      </c>
    </row>
    <row r="15" spans="1:22" x14ac:dyDescent="0.3">
      <c r="A15" s="3">
        <v>3</v>
      </c>
      <c r="B15" s="3" t="s">
        <v>75</v>
      </c>
      <c r="C15" s="3" t="s">
        <v>9</v>
      </c>
      <c r="D15" s="3" t="s">
        <v>58</v>
      </c>
      <c r="E15" s="4">
        <v>28326183.909090925</v>
      </c>
      <c r="F15" s="4">
        <v>34620663.81818191</v>
      </c>
      <c r="G15" s="4">
        <v>27671240.09090912</v>
      </c>
      <c r="H15" s="4">
        <f>(E15+F15+G15)/3</f>
        <v>30206029.272727322</v>
      </c>
      <c r="I15" s="4">
        <f t="shared" si="0"/>
        <v>33226632.200000055</v>
      </c>
      <c r="J15" s="4">
        <v>34000000</v>
      </c>
      <c r="K15" s="4">
        <f t="shared" si="1"/>
        <v>102000000</v>
      </c>
      <c r="L15" s="5">
        <v>0.03</v>
      </c>
      <c r="M15" s="12">
        <v>28326183.909090966</v>
      </c>
      <c r="N15" s="12">
        <v>34620663.81818191</v>
      </c>
      <c r="O15" s="12">
        <v>27671240.09090912</v>
      </c>
      <c r="P15" s="12">
        <f t="shared" si="8"/>
        <v>30206029.272727329</v>
      </c>
      <c r="Q15" s="13">
        <v>0.1</v>
      </c>
      <c r="R15" s="12">
        <f t="shared" si="9"/>
        <v>33226632.200000063</v>
      </c>
      <c r="S15" s="12">
        <f t="shared" si="10"/>
        <v>99679896.600000188</v>
      </c>
      <c r="T15" s="12">
        <f t="shared" si="11"/>
        <v>29933902.882882938</v>
      </c>
      <c r="U15" s="12">
        <f t="shared" si="12"/>
        <v>89801708.648648813</v>
      </c>
    </row>
    <row r="16" spans="1:22" s="22" customFormat="1" x14ac:dyDescent="0.3">
      <c r="A16" s="17">
        <v>4</v>
      </c>
      <c r="B16" s="17" t="s">
        <v>89</v>
      </c>
      <c r="C16" s="17" t="s">
        <v>9</v>
      </c>
      <c r="D16" s="17" t="s">
        <v>58</v>
      </c>
      <c r="E16" s="18">
        <v>11510975.454545457</v>
      </c>
      <c r="F16" s="18">
        <v>19681664.454545453</v>
      </c>
      <c r="G16" s="18">
        <v>11711408.63636364</v>
      </c>
      <c r="H16" s="18">
        <f>(E16+F16+G16)/3</f>
        <v>14301349.515151516</v>
      </c>
      <c r="I16" s="18">
        <f t="shared" si="0"/>
        <v>15731484.466666669</v>
      </c>
      <c r="J16" s="18">
        <v>16000000</v>
      </c>
      <c r="K16" s="18">
        <f t="shared" si="1"/>
        <v>48000000</v>
      </c>
      <c r="L16" s="19">
        <v>0.03</v>
      </c>
      <c r="M16" s="20">
        <v>11510975.454545457</v>
      </c>
      <c r="N16" s="20">
        <v>19681664.454545453</v>
      </c>
      <c r="O16" s="20">
        <v>11711408.63636364</v>
      </c>
      <c r="P16" s="20">
        <f>AVERAGE(M16:O16)</f>
        <v>14301349.515151516</v>
      </c>
      <c r="Q16" s="21">
        <v>0.1</v>
      </c>
      <c r="R16" s="20">
        <f t="shared" si="9"/>
        <v>15731484.466666667</v>
      </c>
      <c r="S16" s="20">
        <f t="shared" si="10"/>
        <v>47194453.399999999</v>
      </c>
      <c r="T16" s="20">
        <f t="shared" si="11"/>
        <v>14172508.528528528</v>
      </c>
      <c r="U16" s="20">
        <f t="shared" si="12"/>
        <v>42517525.585585579</v>
      </c>
      <c r="V16" s="22" t="s">
        <v>181</v>
      </c>
    </row>
    <row r="17" spans="1:22" x14ac:dyDescent="0.3">
      <c r="A17" s="9" t="s">
        <v>160</v>
      </c>
      <c r="B17" s="9"/>
      <c r="C17" s="9"/>
      <c r="D17" s="9"/>
      <c r="E17" s="8">
        <f>SUM(E13:E16)</f>
        <v>150974195.87772721</v>
      </c>
      <c r="F17" s="8">
        <f t="shared" ref="F17:K17" si="13">SUM(F13:F16)</f>
        <v>159471264.59090894</v>
      </c>
      <c r="G17" s="8">
        <f t="shared" si="13"/>
        <v>136103177.49999994</v>
      </c>
      <c r="H17" s="8">
        <f t="shared" si="13"/>
        <v>148849545.98954535</v>
      </c>
      <c r="I17" s="8">
        <f t="shared" si="13"/>
        <v>163734500.5884999</v>
      </c>
      <c r="J17" s="8">
        <f t="shared" si="13"/>
        <v>165000000</v>
      </c>
      <c r="K17" s="8">
        <f t="shared" si="13"/>
        <v>495000000</v>
      </c>
      <c r="L17" s="8"/>
      <c r="M17" s="3"/>
      <c r="N17" s="3"/>
      <c r="O17" s="3"/>
      <c r="P17" s="12"/>
      <c r="Q17" s="13"/>
      <c r="R17" s="12"/>
      <c r="S17" s="12"/>
      <c r="T17" s="12"/>
      <c r="U17" s="12"/>
    </row>
    <row r="19" spans="1:22" ht="18" x14ac:dyDescent="0.35">
      <c r="A19" s="26" t="s">
        <v>159</v>
      </c>
      <c r="B19" s="26" t="s">
        <v>163</v>
      </c>
      <c r="C19" s="26" t="s">
        <v>5</v>
      </c>
      <c r="D19" s="26" t="s">
        <v>1</v>
      </c>
      <c r="E19" s="24" t="s">
        <v>4</v>
      </c>
      <c r="F19" s="24"/>
      <c r="G19" s="24"/>
      <c r="H19" s="24"/>
      <c r="I19" s="24"/>
      <c r="J19" s="24"/>
      <c r="K19" s="24"/>
      <c r="L19" s="32" t="s">
        <v>161</v>
      </c>
      <c r="M19" s="29" t="s">
        <v>173</v>
      </c>
      <c r="N19" s="30"/>
      <c r="O19" s="30"/>
      <c r="P19" s="30"/>
      <c r="Q19" s="30"/>
      <c r="R19" s="30"/>
      <c r="S19" s="30"/>
      <c r="T19" s="30"/>
      <c r="U19" s="31"/>
    </row>
    <row r="20" spans="1:22" x14ac:dyDescent="0.3">
      <c r="A20" s="26"/>
      <c r="B20" s="26"/>
      <c r="C20" s="26"/>
      <c r="D20" s="26"/>
      <c r="E20" s="7" t="s">
        <v>7</v>
      </c>
      <c r="F20" s="7" t="s">
        <v>137</v>
      </c>
      <c r="G20" s="7" t="s">
        <v>142</v>
      </c>
      <c r="H20" s="7" t="s">
        <v>155</v>
      </c>
      <c r="I20" s="7" t="s">
        <v>156</v>
      </c>
      <c r="J20" s="7" t="s">
        <v>157</v>
      </c>
      <c r="K20" s="7" t="s">
        <v>158</v>
      </c>
      <c r="L20" s="32"/>
      <c r="M20" s="10" t="s">
        <v>7</v>
      </c>
      <c r="N20" s="10" t="s">
        <v>174</v>
      </c>
      <c r="O20" s="10" t="s">
        <v>142</v>
      </c>
      <c r="P20" s="10" t="s">
        <v>175</v>
      </c>
      <c r="Q20" s="11" t="s">
        <v>176</v>
      </c>
      <c r="R20" s="10" t="s">
        <v>177</v>
      </c>
      <c r="S20" s="10" t="s">
        <v>178</v>
      </c>
      <c r="T20" s="10" t="s">
        <v>179</v>
      </c>
      <c r="U20" s="10" t="s">
        <v>180</v>
      </c>
    </row>
    <row r="21" spans="1:22" x14ac:dyDescent="0.3">
      <c r="A21" s="3">
        <v>1</v>
      </c>
      <c r="B21" s="3" t="s">
        <v>120</v>
      </c>
      <c r="C21" s="3" t="s">
        <v>9</v>
      </c>
      <c r="D21" s="3" t="s">
        <v>106</v>
      </c>
      <c r="E21" s="4">
        <v>18312024.545454539</v>
      </c>
      <c r="F21" s="4">
        <v>24871767.227272719</v>
      </c>
      <c r="G21" s="4">
        <v>28281166.681818169</v>
      </c>
      <c r="H21" s="4">
        <f t="shared" ref="H21:H27" si="14">(E21+F21+G21)/3</f>
        <v>23821652.818181809</v>
      </c>
      <c r="I21" s="4">
        <f t="shared" si="0"/>
        <v>26203818.09999999</v>
      </c>
      <c r="J21" s="4">
        <v>27000000</v>
      </c>
      <c r="K21" s="4">
        <f t="shared" si="1"/>
        <v>81000000</v>
      </c>
      <c r="L21" s="5">
        <v>0.03</v>
      </c>
      <c r="M21" s="12">
        <v>18312024.545454539</v>
      </c>
      <c r="N21" s="12">
        <v>24871767.227272719</v>
      </c>
      <c r="O21" s="12">
        <v>28281166.681818169</v>
      </c>
      <c r="P21" s="12">
        <f>AVERAGE(M21:O21)</f>
        <v>23821652.818181809</v>
      </c>
      <c r="Q21" s="13">
        <v>0.1</v>
      </c>
      <c r="R21" s="12">
        <f>P21+(P21*Q21)</f>
        <v>26203818.09999999</v>
      </c>
      <c r="S21" s="12">
        <f>R21*3</f>
        <v>78611454.299999967</v>
      </c>
      <c r="T21" s="12">
        <f>R21/1.11</f>
        <v>23607043.333333321</v>
      </c>
      <c r="U21" s="12">
        <f>S21/1.11</f>
        <v>70821129.99999997</v>
      </c>
    </row>
    <row r="22" spans="1:22" x14ac:dyDescent="0.3">
      <c r="A22" s="3">
        <v>2</v>
      </c>
      <c r="B22" s="3" t="s">
        <v>116</v>
      </c>
      <c r="C22" s="3" t="s">
        <v>9</v>
      </c>
      <c r="D22" s="3" t="s">
        <v>106</v>
      </c>
      <c r="E22" s="4">
        <v>17422297.363636382</v>
      </c>
      <c r="F22" s="4">
        <v>21382756.090909097</v>
      </c>
      <c r="G22" s="4">
        <v>15210302.13636364</v>
      </c>
      <c r="H22" s="4">
        <f t="shared" si="14"/>
        <v>18005118.530303042</v>
      </c>
      <c r="I22" s="4">
        <f t="shared" si="0"/>
        <v>19805630.383333348</v>
      </c>
      <c r="J22" s="4">
        <v>20000000</v>
      </c>
      <c r="K22" s="4">
        <f t="shared" si="1"/>
        <v>60000000</v>
      </c>
      <c r="L22" s="5">
        <v>0.03</v>
      </c>
      <c r="M22" s="12">
        <v>17422297.363636382</v>
      </c>
      <c r="N22" s="12">
        <v>21382756.090909097</v>
      </c>
      <c r="O22" s="12">
        <v>15210302.13636364</v>
      </c>
      <c r="P22" s="12">
        <f t="shared" ref="P22:P27" si="15">AVERAGE(M22:O22)</f>
        <v>18005118.530303042</v>
      </c>
      <c r="Q22" s="13">
        <v>0.1</v>
      </c>
      <c r="R22" s="12">
        <f t="shared" ref="R22:R27" si="16">P22+(P22*Q22)</f>
        <v>19805630.383333348</v>
      </c>
      <c r="S22" s="12">
        <f t="shared" ref="S22:S27" si="17">R22*3</f>
        <v>59416891.150000043</v>
      </c>
      <c r="T22" s="12">
        <f t="shared" ref="T22:T27" si="18">R22/1.11</f>
        <v>17842910.255255267</v>
      </c>
      <c r="U22" s="12">
        <f t="shared" ref="U22:U27" si="19">S22/1.11</f>
        <v>53528730.765765801</v>
      </c>
    </row>
    <row r="23" spans="1:22" x14ac:dyDescent="0.3">
      <c r="A23" s="3">
        <v>3</v>
      </c>
      <c r="B23" s="3" t="s">
        <v>108</v>
      </c>
      <c r="C23" s="3" t="s">
        <v>9</v>
      </c>
      <c r="D23" s="3" t="s">
        <v>106</v>
      </c>
      <c r="E23" s="4">
        <v>11892344.318181818</v>
      </c>
      <c r="F23" s="4">
        <v>13670971.636363639</v>
      </c>
      <c r="G23" s="4">
        <v>23888782.909090918</v>
      </c>
      <c r="H23" s="4">
        <f t="shared" si="14"/>
        <v>16484032.954545459</v>
      </c>
      <c r="I23" s="4">
        <f t="shared" si="0"/>
        <v>18132436.250000007</v>
      </c>
      <c r="J23" s="4">
        <v>19000000</v>
      </c>
      <c r="K23" s="4">
        <f t="shared" si="1"/>
        <v>57000000</v>
      </c>
      <c r="L23" s="5">
        <v>0.03</v>
      </c>
      <c r="M23" s="12">
        <v>11892344.318181822</v>
      </c>
      <c r="N23" s="12">
        <v>13670971.636363639</v>
      </c>
      <c r="O23" s="12">
        <v>23888782.909090918</v>
      </c>
      <c r="P23" s="12">
        <f t="shared" si="15"/>
        <v>16484032.954545459</v>
      </c>
      <c r="Q23" s="13">
        <v>0.1</v>
      </c>
      <c r="R23" s="12">
        <f t="shared" si="16"/>
        <v>18132436.250000004</v>
      </c>
      <c r="S23" s="12">
        <f t="shared" si="17"/>
        <v>54397308.750000015</v>
      </c>
      <c r="T23" s="12">
        <f t="shared" si="18"/>
        <v>16335528.153153155</v>
      </c>
      <c r="U23" s="12">
        <f t="shared" si="19"/>
        <v>49006584.459459469</v>
      </c>
    </row>
    <row r="24" spans="1:22" x14ac:dyDescent="0.3">
      <c r="A24" s="3">
        <v>4</v>
      </c>
      <c r="B24" s="3" t="s">
        <v>127</v>
      </c>
      <c r="C24" s="3" t="s">
        <v>9</v>
      </c>
      <c r="D24" s="3" t="s">
        <v>106</v>
      </c>
      <c r="E24" s="4">
        <v>3184483.0454545459</v>
      </c>
      <c r="F24" s="4">
        <v>6627002.4545454541</v>
      </c>
      <c r="G24" s="4">
        <v>37925413.318181813</v>
      </c>
      <c r="H24" s="4">
        <f t="shared" si="14"/>
        <v>15912299.606060604</v>
      </c>
      <c r="I24" s="4">
        <f t="shared" si="0"/>
        <v>17503529.566666666</v>
      </c>
      <c r="J24" s="4">
        <v>18000000</v>
      </c>
      <c r="K24" s="4">
        <f t="shared" si="1"/>
        <v>54000000</v>
      </c>
      <c r="L24" s="5">
        <v>0.03</v>
      </c>
      <c r="M24" s="12">
        <v>3184483.0454545459</v>
      </c>
      <c r="N24" s="12">
        <v>6627002.4545454541</v>
      </c>
      <c r="O24" s="12">
        <v>37925413.318181813</v>
      </c>
      <c r="P24" s="12">
        <f t="shared" si="15"/>
        <v>15912299.606060604</v>
      </c>
      <c r="Q24" s="13">
        <v>0.1</v>
      </c>
      <c r="R24" s="12">
        <f t="shared" si="16"/>
        <v>17503529.566666663</v>
      </c>
      <c r="S24" s="12">
        <f t="shared" si="17"/>
        <v>52510588.699999988</v>
      </c>
      <c r="T24" s="12">
        <f t="shared" si="18"/>
        <v>15768945.55555555</v>
      </c>
      <c r="U24" s="12">
        <f t="shared" si="19"/>
        <v>47306836.666666649</v>
      </c>
    </row>
    <row r="25" spans="1:22" s="22" customFormat="1" x14ac:dyDescent="0.3">
      <c r="A25" s="17">
        <v>5</v>
      </c>
      <c r="B25" s="17" t="s">
        <v>109</v>
      </c>
      <c r="C25" s="17" t="s">
        <v>9</v>
      </c>
      <c r="D25" s="17" t="s">
        <v>106</v>
      </c>
      <c r="E25" s="18">
        <v>13398042.136363639</v>
      </c>
      <c r="F25" s="18">
        <v>11002992</v>
      </c>
      <c r="G25" s="18">
        <v>9551445.3636363652</v>
      </c>
      <c r="H25" s="18">
        <f t="shared" si="14"/>
        <v>11317493.16666667</v>
      </c>
      <c r="I25" s="18">
        <f t="shared" si="0"/>
        <v>12449242.483333338</v>
      </c>
      <c r="J25" s="18">
        <v>13000000</v>
      </c>
      <c r="K25" s="18">
        <f t="shared" si="1"/>
        <v>39000000</v>
      </c>
      <c r="L25" s="19">
        <v>0.03</v>
      </c>
      <c r="M25" s="20">
        <v>13398042.136363639</v>
      </c>
      <c r="N25" s="20">
        <v>11002992</v>
      </c>
      <c r="O25" s="20">
        <v>9551445.3636363652</v>
      </c>
      <c r="P25" s="20">
        <f t="shared" si="15"/>
        <v>11317493.16666667</v>
      </c>
      <c r="Q25" s="21">
        <v>0.1</v>
      </c>
      <c r="R25" s="20">
        <f t="shared" si="16"/>
        <v>12449242.483333336</v>
      </c>
      <c r="S25" s="20">
        <f t="shared" si="17"/>
        <v>37347727.45000001</v>
      </c>
      <c r="T25" s="20">
        <f t="shared" si="18"/>
        <v>11215533.768768771</v>
      </c>
      <c r="U25" s="20">
        <f t="shared" si="19"/>
        <v>33646601.30630631</v>
      </c>
      <c r="V25" s="22" t="s">
        <v>181</v>
      </c>
    </row>
    <row r="26" spans="1:22" s="22" customFormat="1" x14ac:dyDescent="0.3">
      <c r="A26" s="17">
        <v>6</v>
      </c>
      <c r="B26" s="17" t="s">
        <v>113</v>
      </c>
      <c r="C26" s="17" t="s">
        <v>9</v>
      </c>
      <c r="D26" s="17" t="s">
        <v>106</v>
      </c>
      <c r="E26" s="18">
        <v>8635858.0909090918</v>
      </c>
      <c r="F26" s="18">
        <v>5815463.1818181798</v>
      </c>
      <c r="G26" s="18">
        <v>17287428.13636364</v>
      </c>
      <c r="H26" s="18">
        <f t="shared" si="14"/>
        <v>10579583.136363639</v>
      </c>
      <c r="I26" s="18">
        <f t="shared" si="0"/>
        <v>11637541.450000003</v>
      </c>
      <c r="J26" s="18">
        <v>12000000</v>
      </c>
      <c r="K26" s="18">
        <f t="shared" si="1"/>
        <v>36000000</v>
      </c>
      <c r="L26" s="19">
        <v>0.03</v>
      </c>
      <c r="M26" s="20">
        <v>8635858.0909090918</v>
      </c>
      <c r="N26" s="20">
        <v>5815463.1818181835</v>
      </c>
      <c r="O26" s="20">
        <v>17287428.13636364</v>
      </c>
      <c r="P26" s="20">
        <f t="shared" si="15"/>
        <v>10579583.136363639</v>
      </c>
      <c r="Q26" s="21">
        <v>0.1</v>
      </c>
      <c r="R26" s="20">
        <f t="shared" si="16"/>
        <v>11637541.450000003</v>
      </c>
      <c r="S26" s="20">
        <f t="shared" si="17"/>
        <v>34912624.350000009</v>
      </c>
      <c r="T26" s="20">
        <f t="shared" si="18"/>
        <v>10484271.576576577</v>
      </c>
      <c r="U26" s="20">
        <f t="shared" si="19"/>
        <v>31452814.729729734</v>
      </c>
      <c r="V26" s="22" t="s">
        <v>181</v>
      </c>
    </row>
    <row r="27" spans="1:22" s="22" customFormat="1" x14ac:dyDescent="0.3">
      <c r="A27" s="17">
        <v>7</v>
      </c>
      <c r="B27" s="17" t="s">
        <v>112</v>
      </c>
      <c r="C27" s="17" t="s">
        <v>9</v>
      </c>
      <c r="D27" s="17" t="s">
        <v>106</v>
      </c>
      <c r="E27" s="18">
        <v>6847815.18181819</v>
      </c>
      <c r="F27" s="18">
        <v>18483836.227272745</v>
      </c>
      <c r="G27" s="18">
        <v>6331592.6818181891</v>
      </c>
      <c r="H27" s="18">
        <f t="shared" si="14"/>
        <v>10554414.696969708</v>
      </c>
      <c r="I27" s="18">
        <f t="shared" si="0"/>
        <v>11609856.166666681</v>
      </c>
      <c r="J27" s="18">
        <v>12000000</v>
      </c>
      <c r="K27" s="18">
        <f t="shared" si="1"/>
        <v>36000000</v>
      </c>
      <c r="L27" s="19">
        <v>0.03</v>
      </c>
      <c r="M27" s="20">
        <v>6847815.18181819</v>
      </c>
      <c r="N27" s="20">
        <v>18483836.227272745</v>
      </c>
      <c r="O27" s="20">
        <v>6331592.6818181891</v>
      </c>
      <c r="P27" s="20">
        <f t="shared" si="15"/>
        <v>10554414.696969708</v>
      </c>
      <c r="Q27" s="21">
        <v>0.1</v>
      </c>
      <c r="R27" s="20">
        <f t="shared" si="16"/>
        <v>11609856.166666679</v>
      </c>
      <c r="S27" s="20">
        <f t="shared" si="17"/>
        <v>34829568.500000037</v>
      </c>
      <c r="T27" s="20">
        <f t="shared" si="18"/>
        <v>10459329.87987989</v>
      </c>
      <c r="U27" s="20">
        <f t="shared" si="19"/>
        <v>31377989.639639672</v>
      </c>
      <c r="V27" s="22" t="s">
        <v>181</v>
      </c>
    </row>
    <row r="28" spans="1:22" x14ac:dyDescent="0.3">
      <c r="A28" s="9" t="s">
        <v>160</v>
      </c>
      <c r="B28" s="9"/>
      <c r="C28" s="9"/>
      <c r="D28" s="9"/>
      <c r="E28" s="8">
        <f>SUM(E21:E27)</f>
        <v>79692864.681818202</v>
      </c>
      <c r="F28" s="8">
        <f t="shared" ref="F28:K28" si="20">SUM(F21:F27)</f>
        <v>101854788.81818184</v>
      </c>
      <c r="G28" s="8">
        <f t="shared" si="20"/>
        <v>138476131.22727275</v>
      </c>
      <c r="H28" s="8">
        <f t="shared" si="20"/>
        <v>106674594.90909094</v>
      </c>
      <c r="I28" s="8">
        <f t="shared" si="20"/>
        <v>117342054.40000004</v>
      </c>
      <c r="J28" s="8">
        <f t="shared" si="20"/>
        <v>121000000</v>
      </c>
      <c r="K28" s="8">
        <f t="shared" si="20"/>
        <v>363000000</v>
      </c>
      <c r="L28" s="8"/>
      <c r="M28" s="3"/>
      <c r="N28" s="3"/>
      <c r="O28" s="3"/>
      <c r="P28" s="3"/>
      <c r="Q28" s="3"/>
      <c r="R28" s="3"/>
      <c r="S28" s="3"/>
      <c r="T28" s="3"/>
      <c r="U28" s="3"/>
    </row>
    <row r="30" spans="1:22" x14ac:dyDescent="0.3">
      <c r="A30" s="26" t="s">
        <v>159</v>
      </c>
      <c r="B30" s="26" t="s">
        <v>163</v>
      </c>
      <c r="C30" s="26" t="s">
        <v>5</v>
      </c>
      <c r="D30" s="26" t="s">
        <v>1</v>
      </c>
      <c r="E30" s="24" t="s">
        <v>4</v>
      </c>
      <c r="F30" s="24"/>
      <c r="G30" s="24"/>
      <c r="H30" s="24"/>
      <c r="I30" s="24"/>
      <c r="J30" s="24"/>
      <c r="K30" s="24"/>
      <c r="L30" s="32" t="s">
        <v>161</v>
      </c>
    </row>
    <row r="31" spans="1:22" x14ac:dyDescent="0.3">
      <c r="A31" s="26"/>
      <c r="B31" s="26"/>
      <c r="C31" s="26"/>
      <c r="D31" s="26"/>
      <c r="E31" s="7" t="s">
        <v>7</v>
      </c>
      <c r="F31" s="7" t="s">
        <v>137</v>
      </c>
      <c r="G31" s="7" t="s">
        <v>142</v>
      </c>
      <c r="H31" s="7" t="s">
        <v>155</v>
      </c>
      <c r="I31" s="7" t="s">
        <v>156</v>
      </c>
      <c r="J31" s="7" t="s">
        <v>157</v>
      </c>
      <c r="K31" s="7" t="s">
        <v>158</v>
      </c>
      <c r="L31" s="32"/>
    </row>
    <row r="32" spans="1:22" x14ac:dyDescent="0.3">
      <c r="A32" s="33" t="s">
        <v>165</v>
      </c>
      <c r="B32" s="34"/>
      <c r="C32" s="3" t="s">
        <v>9</v>
      </c>
      <c r="D32" s="3" t="s">
        <v>14</v>
      </c>
      <c r="E32" s="4">
        <f>E9+E17+E28</f>
        <v>517635574.0109086</v>
      </c>
      <c r="F32" s="4">
        <f t="shared" ref="F32:K32" si="21">F9+F17+F28</f>
        <v>656449104.8181808</v>
      </c>
      <c r="G32" s="4">
        <f t="shared" si="21"/>
        <v>538743137.99999976</v>
      </c>
      <c r="H32" s="4">
        <f t="shared" si="21"/>
        <v>570942605.60969639</v>
      </c>
      <c r="I32" s="4">
        <f t="shared" si="21"/>
        <v>628036866.17066598</v>
      </c>
      <c r="J32" s="4">
        <f t="shared" si="21"/>
        <v>636000000</v>
      </c>
      <c r="K32" s="4">
        <f t="shared" si="21"/>
        <v>1908000000</v>
      </c>
      <c r="L32" s="5">
        <v>0.04</v>
      </c>
    </row>
    <row r="34" spans="1:12" x14ac:dyDescent="0.3">
      <c r="A34" s="27" t="s">
        <v>171</v>
      </c>
      <c r="B34" s="27"/>
      <c r="C34" s="27"/>
      <c r="E34"/>
      <c r="F34"/>
      <c r="G34"/>
      <c r="H34"/>
      <c r="I34"/>
      <c r="J34"/>
      <c r="K34"/>
      <c r="L34"/>
    </row>
    <row r="35" spans="1:12" x14ac:dyDescent="0.3">
      <c r="A35" s="27" t="s">
        <v>169</v>
      </c>
      <c r="B35" s="27"/>
      <c r="C35" s="27"/>
      <c r="E35"/>
      <c r="F35"/>
      <c r="G35"/>
      <c r="H35"/>
      <c r="I35"/>
      <c r="J35"/>
      <c r="K35"/>
      <c r="L35"/>
    </row>
    <row r="36" spans="1:12" x14ac:dyDescent="0.3">
      <c r="A36" s="6"/>
      <c r="E36"/>
      <c r="F36"/>
      <c r="G36"/>
      <c r="H36"/>
      <c r="I36"/>
      <c r="J36"/>
      <c r="K36"/>
      <c r="L36"/>
    </row>
    <row r="37" spans="1:12" x14ac:dyDescent="0.3">
      <c r="A37" s="6"/>
      <c r="E37"/>
      <c r="F37"/>
      <c r="G37"/>
      <c r="H37"/>
      <c r="I37"/>
      <c r="J37"/>
      <c r="K37"/>
      <c r="L37"/>
    </row>
    <row r="38" spans="1:12" x14ac:dyDescent="0.3">
      <c r="A38" s="6"/>
      <c r="E38"/>
      <c r="F38"/>
      <c r="G38"/>
      <c r="H38"/>
      <c r="I38"/>
      <c r="J38"/>
      <c r="K38"/>
      <c r="L38"/>
    </row>
    <row r="39" spans="1:12" x14ac:dyDescent="0.3">
      <c r="A39" s="6"/>
      <c r="E39"/>
      <c r="F39"/>
      <c r="G39"/>
      <c r="H39"/>
      <c r="I39"/>
      <c r="J39"/>
      <c r="K39"/>
      <c r="L39"/>
    </row>
    <row r="40" spans="1:12" x14ac:dyDescent="0.3">
      <c r="A40" s="27" t="s">
        <v>170</v>
      </c>
      <c r="B40" s="27"/>
      <c r="C40" s="27"/>
      <c r="E40"/>
      <c r="F40"/>
      <c r="G40"/>
      <c r="H40"/>
      <c r="I40"/>
      <c r="J40"/>
      <c r="K40"/>
      <c r="L40"/>
    </row>
    <row r="41" spans="1:12" x14ac:dyDescent="0.3">
      <c r="A41" s="27" t="s">
        <v>172</v>
      </c>
      <c r="B41" s="27"/>
      <c r="C41" s="27"/>
      <c r="E41"/>
      <c r="F41"/>
      <c r="G41"/>
      <c r="H41"/>
      <c r="I41"/>
      <c r="J41"/>
      <c r="K41"/>
      <c r="L41"/>
    </row>
  </sheetData>
  <sortState xmlns:xlrd2="http://schemas.microsoft.com/office/spreadsheetml/2017/richdata2" ref="B4:H3415">
    <sortCondition ref="D4:D3415"/>
  </sortState>
  <mergeCells count="32">
    <mergeCell ref="A34:C34"/>
    <mergeCell ref="A35:C35"/>
    <mergeCell ref="A40:C40"/>
    <mergeCell ref="A41:C41"/>
    <mergeCell ref="L11:L12"/>
    <mergeCell ref="E11:K11"/>
    <mergeCell ref="A32:B32"/>
    <mergeCell ref="E30:K30"/>
    <mergeCell ref="L30:L31"/>
    <mergeCell ref="B2:B3"/>
    <mergeCell ref="C2:C3"/>
    <mergeCell ref="D2:D3"/>
    <mergeCell ref="A11:A12"/>
    <mergeCell ref="B11:B12"/>
    <mergeCell ref="C11:C12"/>
    <mergeCell ref="D11:D12"/>
    <mergeCell ref="M2:U2"/>
    <mergeCell ref="M11:U11"/>
    <mergeCell ref="M19:U19"/>
    <mergeCell ref="A30:A31"/>
    <mergeCell ref="B30:B31"/>
    <mergeCell ref="C30:C31"/>
    <mergeCell ref="D30:D31"/>
    <mergeCell ref="A19:A20"/>
    <mergeCell ref="B19:B20"/>
    <mergeCell ref="C19:C20"/>
    <mergeCell ref="D19:D20"/>
    <mergeCell ref="E19:K19"/>
    <mergeCell ref="L19:L20"/>
    <mergeCell ref="L2:L3"/>
    <mergeCell ref="E2:K2"/>
    <mergeCell ref="A2:A3"/>
  </mergeCells>
  <pageMargins left="0.25" right="0.25" top="0.75" bottom="0.75" header="0.3" footer="0.3"/>
  <pageSetup paperSize="9" scale="72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D98D-D212-45BD-AF90-9BD677D18C2D}">
  <sheetPr>
    <pageSetUpPr fitToPage="1"/>
  </sheetPr>
  <dimension ref="A1:X35"/>
  <sheetViews>
    <sheetView tabSelected="1" zoomScale="85" zoomScaleNormal="85" workbookViewId="0">
      <pane xSplit="7" ySplit="2" topLeftCell="R3" activePane="bottomRight" state="frozen"/>
      <selection pane="topRight" activeCell="H1" sqref="H1"/>
      <selection pane="bottomLeft" activeCell="A2" sqref="A2"/>
      <selection pane="bottomRight" activeCell="C18" sqref="C18"/>
    </sheetView>
  </sheetViews>
  <sheetFormatPr defaultRowHeight="14.4" x14ac:dyDescent="0.3"/>
  <cols>
    <col min="1" max="1" width="3.44140625" bestFit="1" customWidth="1"/>
    <col min="2" max="2" width="11.33203125" bestFit="1" customWidth="1"/>
    <col min="3" max="3" width="50.77734375" bestFit="1" customWidth="1"/>
    <col min="4" max="4" width="17" bestFit="1" customWidth="1"/>
    <col min="6" max="6" width="15.77734375" bestFit="1" customWidth="1"/>
    <col min="7" max="7" width="12.88671875" bestFit="1" customWidth="1"/>
    <col min="8" max="11" width="14.33203125" style="2" hidden="1" customWidth="1"/>
    <col min="12" max="12" width="14.77734375" style="2" hidden="1" customWidth="1"/>
    <col min="13" max="13" width="17.33203125" style="2" hidden="1" customWidth="1"/>
    <col min="14" max="14" width="17.44140625" style="2" hidden="1" customWidth="1"/>
    <col min="15" max="15" width="11.6640625" style="2" hidden="1" customWidth="1"/>
    <col min="16" max="16" width="13.5546875" customWidth="1"/>
    <col min="17" max="18" width="12.6640625" bestFit="1" customWidth="1"/>
    <col min="19" max="19" width="13.109375" customWidth="1"/>
    <col min="20" max="20" width="7.109375" bestFit="1" customWidth="1"/>
    <col min="21" max="21" width="16.5546875" bestFit="1" customWidth="1"/>
    <col min="22" max="22" width="17.77734375" bestFit="1" customWidth="1"/>
    <col min="23" max="23" width="16.5546875" bestFit="1" customWidth="1"/>
    <col min="24" max="24" width="17.77734375" bestFit="1" customWidth="1"/>
  </cols>
  <sheetData>
    <row r="1" spans="1:24" ht="21" x14ac:dyDescent="0.4">
      <c r="A1" s="35" t="s">
        <v>183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29" t="s">
        <v>173</v>
      </c>
      <c r="Q1" s="30"/>
      <c r="R1" s="30"/>
      <c r="S1" s="30"/>
      <c r="T1" s="30"/>
      <c r="U1" s="30"/>
      <c r="V1" s="30"/>
      <c r="W1" s="30"/>
      <c r="X1" s="31"/>
    </row>
    <row r="2" spans="1:24" x14ac:dyDescent="0.3">
      <c r="A2" s="9" t="s">
        <v>159</v>
      </c>
      <c r="B2" s="9" t="s">
        <v>2</v>
      </c>
      <c r="C2" s="9" t="s">
        <v>3</v>
      </c>
      <c r="D2" s="9" t="s">
        <v>6</v>
      </c>
      <c r="E2" s="9" t="s">
        <v>5</v>
      </c>
      <c r="F2" s="9" t="s">
        <v>1</v>
      </c>
      <c r="G2" s="9" t="s">
        <v>0</v>
      </c>
      <c r="H2" s="8" t="s">
        <v>7</v>
      </c>
      <c r="I2" s="8" t="s">
        <v>137</v>
      </c>
      <c r="J2" s="8" t="s">
        <v>142</v>
      </c>
      <c r="K2" s="8" t="s">
        <v>162</v>
      </c>
      <c r="L2" s="8" t="s">
        <v>168</v>
      </c>
      <c r="M2" s="8" t="s">
        <v>157</v>
      </c>
      <c r="N2" s="8" t="s">
        <v>158</v>
      </c>
      <c r="O2" s="8" t="s">
        <v>161</v>
      </c>
      <c r="P2" s="10" t="s">
        <v>7</v>
      </c>
      <c r="Q2" s="10" t="s">
        <v>174</v>
      </c>
      <c r="R2" s="10" t="s">
        <v>142</v>
      </c>
      <c r="S2" s="10" t="s">
        <v>175</v>
      </c>
      <c r="T2" s="11" t="s">
        <v>176</v>
      </c>
      <c r="U2" s="10" t="s">
        <v>177</v>
      </c>
      <c r="V2" s="10" t="s">
        <v>178</v>
      </c>
      <c r="W2" s="10" t="s">
        <v>179</v>
      </c>
      <c r="X2" s="10" t="s">
        <v>180</v>
      </c>
    </row>
    <row r="3" spans="1:24" x14ac:dyDescent="0.3">
      <c r="A3" s="3">
        <v>1</v>
      </c>
      <c r="B3" s="3" t="s">
        <v>57</v>
      </c>
      <c r="C3" s="3" t="s">
        <v>153</v>
      </c>
      <c r="D3" s="3" t="s">
        <v>13</v>
      </c>
      <c r="E3" s="3" t="s">
        <v>9</v>
      </c>
      <c r="F3" s="3" t="s">
        <v>56</v>
      </c>
      <c r="G3" s="3" t="s">
        <v>10</v>
      </c>
      <c r="H3" s="4">
        <v>44323077.280000009</v>
      </c>
      <c r="I3" s="4">
        <v>41272069.363636374</v>
      </c>
      <c r="J3" s="4">
        <v>17350800.181818184</v>
      </c>
      <c r="K3" s="4">
        <v>34315315.608484857</v>
      </c>
      <c r="L3" s="4">
        <v>37746847.169333346</v>
      </c>
      <c r="M3" s="4">
        <v>38000000</v>
      </c>
      <c r="N3" s="4">
        <v>114000000</v>
      </c>
      <c r="O3" s="5">
        <v>0.03</v>
      </c>
      <c r="P3" s="12">
        <v>44323077.280000009</v>
      </c>
      <c r="Q3" s="12">
        <v>41272069.363636374</v>
      </c>
      <c r="R3" s="12">
        <v>17350800.181818184</v>
      </c>
      <c r="S3" s="12">
        <f>AVERAGE(P3:R3)</f>
        <v>34315315.608484857</v>
      </c>
      <c r="T3" s="13">
        <v>0.1</v>
      </c>
      <c r="U3" s="12">
        <f>S3+(S3*T3)</f>
        <v>37746847.169333339</v>
      </c>
      <c r="V3" s="12">
        <f>U3*3</f>
        <v>113240541.50800002</v>
      </c>
      <c r="W3" s="12">
        <f>U3/1.11</f>
        <v>34006168.621021025</v>
      </c>
      <c r="X3" s="12">
        <f>V3/1.11</f>
        <v>102018505.86306307</v>
      </c>
    </row>
    <row r="4" spans="1:24" x14ac:dyDescent="0.3">
      <c r="A4" s="3">
        <v>2</v>
      </c>
      <c r="B4" s="3" t="s">
        <v>12</v>
      </c>
      <c r="C4" s="3" t="s">
        <v>152</v>
      </c>
      <c r="D4" s="3" t="s">
        <v>13</v>
      </c>
      <c r="E4" s="3" t="s">
        <v>9</v>
      </c>
      <c r="F4" s="3" t="s">
        <v>11</v>
      </c>
      <c r="G4" s="3" t="s">
        <v>10</v>
      </c>
      <c r="H4" s="4">
        <v>12915480.636363635</v>
      </c>
      <c r="I4" s="4">
        <v>15122028.454545457</v>
      </c>
      <c r="J4" s="4">
        <v>21089643.000000004</v>
      </c>
      <c r="K4" s="4">
        <v>16375717.363636365</v>
      </c>
      <c r="L4" s="4">
        <v>18013289.100000001</v>
      </c>
      <c r="M4" s="4">
        <v>20000000</v>
      </c>
      <c r="N4" s="4">
        <v>60000000</v>
      </c>
      <c r="O4" s="5">
        <v>0.03</v>
      </c>
      <c r="P4" s="12">
        <v>12915480.63636364</v>
      </c>
      <c r="Q4" s="12">
        <v>15122028.454545457</v>
      </c>
      <c r="R4" s="12">
        <v>21089643.000000004</v>
      </c>
      <c r="S4" s="12">
        <f t="shared" ref="S4:S25" si="0">AVERAGE(P4:R4)</f>
        <v>16375717.363636367</v>
      </c>
      <c r="T4" s="13">
        <v>0.1</v>
      </c>
      <c r="U4" s="12">
        <f t="shared" ref="U4:U25" si="1">S4+(S4*T4)</f>
        <v>18013289.100000005</v>
      </c>
      <c r="V4" s="12">
        <f t="shared" ref="V4:V25" si="2">U4*3</f>
        <v>54039867.300000012</v>
      </c>
      <c r="W4" s="12">
        <f t="shared" ref="W4:W25" si="3">U4/1.11</f>
        <v>16228188.378378382</v>
      </c>
      <c r="X4" s="12">
        <f t="shared" ref="X4:X25" si="4">V4/1.11</f>
        <v>48684565.135135144</v>
      </c>
    </row>
    <row r="5" spans="1:24" x14ac:dyDescent="0.3">
      <c r="A5" s="3">
        <v>3</v>
      </c>
      <c r="B5" s="3">
        <v>8010801301</v>
      </c>
      <c r="C5" s="3" t="s">
        <v>53</v>
      </c>
      <c r="D5" s="3" t="s">
        <v>13</v>
      </c>
      <c r="E5" s="3" t="s">
        <v>9</v>
      </c>
      <c r="F5" s="3" t="s">
        <v>52</v>
      </c>
      <c r="G5" s="3" t="s">
        <v>10</v>
      </c>
      <c r="H5" s="4">
        <v>48888932.772727296</v>
      </c>
      <c r="I5" s="4">
        <v>35960181.045454599</v>
      </c>
      <c r="J5" s="4">
        <v>16939120.409090914</v>
      </c>
      <c r="K5" s="4">
        <v>33929411.409090936</v>
      </c>
      <c r="L5" s="4">
        <v>37322352.550000034</v>
      </c>
      <c r="M5" s="4">
        <v>38000000</v>
      </c>
      <c r="N5" s="4">
        <v>114000000</v>
      </c>
      <c r="O5" s="5">
        <v>0.03</v>
      </c>
      <c r="P5" s="12">
        <v>48888932.772727296</v>
      </c>
      <c r="Q5" s="12">
        <v>35960181.045454599</v>
      </c>
      <c r="R5" s="12">
        <v>16939120.409090914</v>
      </c>
      <c r="S5" s="12">
        <f t="shared" si="0"/>
        <v>33929411.409090936</v>
      </c>
      <c r="T5" s="13">
        <v>0.1</v>
      </c>
      <c r="U5" s="12">
        <f t="shared" si="1"/>
        <v>37322352.550000027</v>
      </c>
      <c r="V5" s="12">
        <f t="shared" si="2"/>
        <v>111967057.65000008</v>
      </c>
      <c r="W5" s="12">
        <f t="shared" si="3"/>
        <v>33623741.036036059</v>
      </c>
      <c r="X5" s="12">
        <f t="shared" si="4"/>
        <v>100871223.10810818</v>
      </c>
    </row>
    <row r="6" spans="1:24" x14ac:dyDescent="0.3">
      <c r="A6" s="3">
        <v>4</v>
      </c>
      <c r="B6" s="3">
        <v>8010884561</v>
      </c>
      <c r="C6" s="3" t="s">
        <v>55</v>
      </c>
      <c r="D6" s="3" t="s">
        <v>13</v>
      </c>
      <c r="E6" s="3" t="s">
        <v>9</v>
      </c>
      <c r="F6" s="3" t="s">
        <v>52</v>
      </c>
      <c r="G6" s="3" t="s">
        <v>10</v>
      </c>
      <c r="H6" s="4">
        <v>46112248.909090959</v>
      </c>
      <c r="I6" s="4">
        <v>36951137.500000037</v>
      </c>
      <c r="J6" s="4">
        <v>19511222.454545457</v>
      </c>
      <c r="K6" s="4">
        <v>34191536.287878819</v>
      </c>
      <c r="L6" s="4">
        <v>37610689.916666701</v>
      </c>
      <c r="M6" s="4">
        <v>38000000</v>
      </c>
      <c r="N6" s="4">
        <v>114000000</v>
      </c>
      <c r="O6" s="5">
        <v>0.03</v>
      </c>
      <c r="P6" s="12">
        <v>46112248.909090959</v>
      </c>
      <c r="Q6" s="12">
        <v>36951137.500000037</v>
      </c>
      <c r="R6" s="12">
        <v>19511222.454545457</v>
      </c>
      <c r="S6" s="12">
        <f t="shared" si="0"/>
        <v>34191536.287878819</v>
      </c>
      <c r="T6" s="13">
        <v>0.1</v>
      </c>
      <c r="U6" s="12">
        <f t="shared" si="1"/>
        <v>37610689.916666701</v>
      </c>
      <c r="V6" s="12">
        <f t="shared" si="2"/>
        <v>112832069.7500001</v>
      </c>
      <c r="W6" s="12">
        <f t="shared" si="3"/>
        <v>33883504.429429457</v>
      </c>
      <c r="X6" s="12">
        <f t="shared" si="4"/>
        <v>101650513.28828837</v>
      </c>
    </row>
    <row r="7" spans="1:24" x14ac:dyDescent="0.3">
      <c r="A7" s="3">
        <v>5</v>
      </c>
      <c r="B7" s="3" t="s">
        <v>143</v>
      </c>
      <c r="C7" s="3" t="s">
        <v>74</v>
      </c>
      <c r="D7" s="3" t="s">
        <v>13</v>
      </c>
      <c r="E7" s="3" t="s">
        <v>9</v>
      </c>
      <c r="F7" s="3" t="s">
        <v>135</v>
      </c>
      <c r="G7" s="3" t="s">
        <v>10</v>
      </c>
      <c r="H7" s="4">
        <v>66923906.045454554</v>
      </c>
      <c r="I7" s="4">
        <v>48135863.136363633</v>
      </c>
      <c r="J7" s="4">
        <v>42508927.909090906</v>
      </c>
      <c r="K7" s="4">
        <v>52522899.030303031</v>
      </c>
      <c r="L7" s="4">
        <v>57775188.933333337</v>
      </c>
      <c r="M7" s="4">
        <v>58000000</v>
      </c>
      <c r="N7" s="4">
        <v>174000000</v>
      </c>
      <c r="O7" s="5">
        <v>0.03</v>
      </c>
      <c r="P7" s="12">
        <v>66923906.045454554</v>
      </c>
      <c r="Q7" s="12">
        <v>48135863.136363633</v>
      </c>
      <c r="R7" s="12">
        <v>42508927.909090906</v>
      </c>
      <c r="S7" s="12">
        <f t="shared" si="0"/>
        <v>52522899.030303031</v>
      </c>
      <c r="T7" s="13">
        <v>0.1</v>
      </c>
      <c r="U7" s="12">
        <f t="shared" si="1"/>
        <v>57775188.933333337</v>
      </c>
      <c r="V7" s="12">
        <f t="shared" si="2"/>
        <v>173325566.80000001</v>
      </c>
      <c r="W7" s="12">
        <f t="shared" si="3"/>
        <v>52049719.759759761</v>
      </c>
      <c r="X7" s="12">
        <f t="shared" si="4"/>
        <v>156149159.27927926</v>
      </c>
    </row>
    <row r="8" spans="1:24" s="41" customFormat="1" x14ac:dyDescent="0.3">
      <c r="A8" s="36">
        <v>6</v>
      </c>
      <c r="B8" s="36" t="s">
        <v>144</v>
      </c>
      <c r="C8" s="36" t="s">
        <v>136</v>
      </c>
      <c r="D8" s="36" t="s">
        <v>13</v>
      </c>
      <c r="E8" s="36" t="s">
        <v>9</v>
      </c>
      <c r="F8" s="36" t="s">
        <v>135</v>
      </c>
      <c r="G8" s="36" t="s">
        <v>10</v>
      </c>
      <c r="H8" s="37">
        <v>47175457.18181818</v>
      </c>
      <c r="I8" s="37">
        <v>42991216.954545438</v>
      </c>
      <c r="J8" s="37">
        <v>39400032.136363626</v>
      </c>
      <c r="K8" s="37">
        <v>43188902.090909086</v>
      </c>
      <c r="L8" s="37">
        <v>47507792.299999997</v>
      </c>
      <c r="M8" s="37">
        <v>48000000</v>
      </c>
      <c r="N8" s="37">
        <v>144000000</v>
      </c>
      <c r="O8" s="38">
        <v>0.03</v>
      </c>
      <c r="P8" s="39">
        <v>47175457.18181818</v>
      </c>
      <c r="Q8" s="39">
        <v>42991216.954545438</v>
      </c>
      <c r="R8" s="39">
        <v>39400032.136363626</v>
      </c>
      <c r="S8" s="39">
        <f t="shared" si="0"/>
        <v>43188902.090909086</v>
      </c>
      <c r="T8" s="40">
        <v>0.1</v>
      </c>
      <c r="U8" s="39">
        <f t="shared" si="1"/>
        <v>47507792.299999997</v>
      </c>
      <c r="V8" s="39">
        <f t="shared" si="2"/>
        <v>142523376.89999998</v>
      </c>
      <c r="W8" s="39">
        <f t="shared" si="3"/>
        <v>42799812.882882878</v>
      </c>
      <c r="X8" s="39">
        <f t="shared" si="4"/>
        <v>128399438.64864862</v>
      </c>
    </row>
    <row r="9" spans="1:24" x14ac:dyDescent="0.3">
      <c r="A9" s="3">
        <v>7</v>
      </c>
      <c r="B9" s="3" t="s">
        <v>32</v>
      </c>
      <c r="C9" s="3" t="s">
        <v>33</v>
      </c>
      <c r="D9" s="3" t="s">
        <v>13</v>
      </c>
      <c r="E9" s="3" t="s">
        <v>9</v>
      </c>
      <c r="F9" s="3" t="s">
        <v>15</v>
      </c>
      <c r="G9" s="3" t="s">
        <v>14</v>
      </c>
      <c r="H9" s="4">
        <v>80296003.909090906</v>
      </c>
      <c r="I9" s="4">
        <v>51209788.227272734</v>
      </c>
      <c r="J9" s="4">
        <v>83008089.409090936</v>
      </c>
      <c r="K9" s="4">
        <v>71504627.181818187</v>
      </c>
      <c r="L9" s="4">
        <v>78655089.900000006</v>
      </c>
      <c r="M9" s="4">
        <v>79000000</v>
      </c>
      <c r="N9" s="4">
        <v>237000000</v>
      </c>
      <c r="O9" s="5">
        <v>0.03</v>
      </c>
      <c r="P9" s="12">
        <v>80296003.909090906</v>
      </c>
      <c r="Q9" s="12">
        <v>51209788.227272734</v>
      </c>
      <c r="R9" s="12">
        <v>83008089.409090936</v>
      </c>
      <c r="S9" s="12">
        <f t="shared" si="0"/>
        <v>71504627.181818187</v>
      </c>
      <c r="T9" s="13">
        <v>0.1</v>
      </c>
      <c r="U9" s="12">
        <f t="shared" si="1"/>
        <v>78655089.900000006</v>
      </c>
      <c r="V9" s="12">
        <f t="shared" si="2"/>
        <v>235965269.70000002</v>
      </c>
      <c r="W9" s="12">
        <f t="shared" si="3"/>
        <v>70860441.351351351</v>
      </c>
      <c r="X9" s="12">
        <f t="shared" si="4"/>
        <v>212581324.05405405</v>
      </c>
    </row>
    <row r="10" spans="1:24" x14ac:dyDescent="0.3">
      <c r="A10" s="3">
        <v>8</v>
      </c>
      <c r="B10" s="3" t="s">
        <v>34</v>
      </c>
      <c r="C10" s="3" t="s">
        <v>35</v>
      </c>
      <c r="D10" s="3" t="s">
        <v>13</v>
      </c>
      <c r="E10" s="3" t="s">
        <v>9</v>
      </c>
      <c r="F10" s="3" t="s">
        <v>15</v>
      </c>
      <c r="G10" s="3" t="s">
        <v>14</v>
      </c>
      <c r="H10" s="4">
        <v>65061084.272727281</v>
      </c>
      <c r="I10" s="4">
        <v>54338994.454545446</v>
      </c>
      <c r="J10" s="4">
        <v>21242268.954545449</v>
      </c>
      <c r="K10" s="4">
        <v>46880782.560606055</v>
      </c>
      <c r="L10" s="4">
        <v>51568860.816666663</v>
      </c>
      <c r="M10" s="4">
        <v>52000000</v>
      </c>
      <c r="N10" s="4">
        <v>156000000</v>
      </c>
      <c r="O10" s="5">
        <v>0.03</v>
      </c>
      <c r="P10" s="12">
        <v>65061084.272727281</v>
      </c>
      <c r="Q10" s="12">
        <v>54338994.454545446</v>
      </c>
      <c r="R10" s="12">
        <v>21242268.954545449</v>
      </c>
      <c r="S10" s="12">
        <f t="shared" si="0"/>
        <v>46880782.560606055</v>
      </c>
      <c r="T10" s="13">
        <v>0.1</v>
      </c>
      <c r="U10" s="12">
        <f t="shared" si="1"/>
        <v>51568860.816666663</v>
      </c>
      <c r="V10" s="12">
        <f t="shared" si="2"/>
        <v>154706582.44999999</v>
      </c>
      <c r="W10" s="12">
        <f t="shared" si="3"/>
        <v>46458433.168168157</v>
      </c>
      <c r="X10" s="12">
        <f t="shared" si="4"/>
        <v>139375299.50450447</v>
      </c>
    </row>
    <row r="11" spans="1:24" x14ac:dyDescent="0.3">
      <c r="A11" s="3">
        <v>9</v>
      </c>
      <c r="B11" s="3" t="s">
        <v>73</v>
      </c>
      <c r="C11" s="3" t="s">
        <v>74</v>
      </c>
      <c r="D11" s="3" t="s">
        <v>13</v>
      </c>
      <c r="E11" s="3" t="s">
        <v>9</v>
      </c>
      <c r="F11" s="3" t="s">
        <v>58</v>
      </c>
      <c r="G11" s="3" t="s">
        <v>14</v>
      </c>
      <c r="H11" s="4">
        <v>216422448.49999982</v>
      </c>
      <c r="I11" s="4">
        <v>109277920.90909088</v>
      </c>
      <c r="J11" s="4">
        <v>154706026.22727269</v>
      </c>
      <c r="K11" s="4">
        <v>160135465.21212113</v>
      </c>
      <c r="L11" s="4">
        <v>176149011.73333326</v>
      </c>
      <c r="M11" s="4">
        <v>177000000</v>
      </c>
      <c r="N11" s="4">
        <v>531000000</v>
      </c>
      <c r="O11" s="5">
        <v>0.03</v>
      </c>
      <c r="P11" s="12">
        <v>216422448.49999982</v>
      </c>
      <c r="Q11" s="12">
        <v>109277920.90909088</v>
      </c>
      <c r="R11" s="12">
        <v>154706026.22727269</v>
      </c>
      <c r="S11" s="12">
        <f t="shared" si="0"/>
        <v>160135465.21212113</v>
      </c>
      <c r="T11" s="13">
        <v>0.1</v>
      </c>
      <c r="U11" s="12">
        <f t="shared" si="1"/>
        <v>176149011.73333323</v>
      </c>
      <c r="V11" s="12">
        <f t="shared" si="2"/>
        <v>528447035.19999969</v>
      </c>
      <c r="W11" s="12">
        <f t="shared" si="3"/>
        <v>158692803.36336327</v>
      </c>
      <c r="X11" s="12">
        <f t="shared" si="4"/>
        <v>476078410.0900898</v>
      </c>
    </row>
    <row r="12" spans="1:24" x14ac:dyDescent="0.3">
      <c r="A12" s="3">
        <v>10</v>
      </c>
      <c r="B12" s="3" t="s">
        <v>59</v>
      </c>
      <c r="C12" s="3" t="s">
        <v>60</v>
      </c>
      <c r="D12" s="3" t="s">
        <v>13</v>
      </c>
      <c r="E12" s="3" t="s">
        <v>9</v>
      </c>
      <c r="F12" s="3" t="s">
        <v>58</v>
      </c>
      <c r="G12" s="3" t="s">
        <v>14</v>
      </c>
      <c r="H12" s="4">
        <v>119480473.77272725</v>
      </c>
      <c r="I12" s="4">
        <v>43196923.81818182</v>
      </c>
      <c r="J12" s="4">
        <v>79250383.954545408</v>
      </c>
      <c r="K12" s="4">
        <v>80642593.848484829</v>
      </c>
      <c r="L12" s="4">
        <v>88706853.233333319</v>
      </c>
      <c r="M12" s="4">
        <v>89000000</v>
      </c>
      <c r="N12" s="4">
        <v>267000000</v>
      </c>
      <c r="O12" s="5">
        <v>0.03</v>
      </c>
      <c r="P12" s="12">
        <v>119480473.77272725</v>
      </c>
      <c r="Q12" s="12">
        <v>43196923.81818182</v>
      </c>
      <c r="R12" s="12">
        <v>79250383.954545408</v>
      </c>
      <c r="S12" s="12">
        <f t="shared" si="0"/>
        <v>80642593.848484829</v>
      </c>
      <c r="T12" s="13">
        <v>0.1</v>
      </c>
      <c r="U12" s="12">
        <f t="shared" si="1"/>
        <v>88706853.233333319</v>
      </c>
      <c r="V12" s="12">
        <f t="shared" si="2"/>
        <v>266120559.69999996</v>
      </c>
      <c r="W12" s="12">
        <f t="shared" si="3"/>
        <v>79916083.993993968</v>
      </c>
      <c r="X12" s="12">
        <f t="shared" si="4"/>
        <v>239748251.98198193</v>
      </c>
    </row>
    <row r="13" spans="1:24" x14ac:dyDescent="0.3">
      <c r="A13" s="3">
        <v>11</v>
      </c>
      <c r="B13" s="3" t="s">
        <v>76</v>
      </c>
      <c r="C13" s="3" t="s">
        <v>77</v>
      </c>
      <c r="D13" s="3" t="s">
        <v>13</v>
      </c>
      <c r="E13" s="3" t="s">
        <v>9</v>
      </c>
      <c r="F13" s="3" t="s">
        <v>58</v>
      </c>
      <c r="G13" s="3" t="s">
        <v>14</v>
      </c>
      <c r="H13" s="4">
        <v>173970755.13636363</v>
      </c>
      <c r="I13" s="4">
        <v>95846919.272727221</v>
      </c>
      <c r="J13" s="4">
        <v>116816917.1818182</v>
      </c>
      <c r="K13" s="4">
        <v>128878197.19696969</v>
      </c>
      <c r="L13" s="4">
        <v>141766016.91666666</v>
      </c>
      <c r="M13" s="4">
        <v>142000000</v>
      </c>
      <c r="N13" s="4">
        <v>426000000</v>
      </c>
      <c r="O13" s="5">
        <v>0.03</v>
      </c>
      <c r="P13" s="12">
        <v>173970755.13636363</v>
      </c>
      <c r="Q13" s="12">
        <v>95846919.272727221</v>
      </c>
      <c r="R13" s="12">
        <v>116816917.1818182</v>
      </c>
      <c r="S13" s="12">
        <f t="shared" si="0"/>
        <v>128878197.19696969</v>
      </c>
      <c r="T13" s="13">
        <v>0.1</v>
      </c>
      <c r="U13" s="12">
        <f t="shared" si="1"/>
        <v>141766016.91666666</v>
      </c>
      <c r="V13" s="12">
        <f t="shared" si="2"/>
        <v>425298050.75</v>
      </c>
      <c r="W13" s="12">
        <f t="shared" si="3"/>
        <v>127717132.35735734</v>
      </c>
      <c r="X13" s="12">
        <f t="shared" si="4"/>
        <v>383151397.07207203</v>
      </c>
    </row>
    <row r="14" spans="1:24" x14ac:dyDescent="0.3">
      <c r="A14" s="3">
        <v>12</v>
      </c>
      <c r="B14" s="3" t="s">
        <v>94</v>
      </c>
      <c r="C14" s="3" t="s">
        <v>95</v>
      </c>
      <c r="D14" s="3" t="s">
        <v>13</v>
      </c>
      <c r="E14" s="3" t="s">
        <v>9</v>
      </c>
      <c r="F14" s="3" t="s">
        <v>58</v>
      </c>
      <c r="G14" s="3" t="s">
        <v>14</v>
      </c>
      <c r="H14" s="4">
        <v>73483648.772727266</v>
      </c>
      <c r="I14" s="4">
        <v>51126838.318181813</v>
      </c>
      <c r="J14" s="4">
        <v>88082346.818181798</v>
      </c>
      <c r="K14" s="4">
        <v>70897611.303030297</v>
      </c>
      <c r="L14" s="4">
        <v>77987372.433333337</v>
      </c>
      <c r="M14" s="4">
        <v>78000000</v>
      </c>
      <c r="N14" s="4">
        <v>234000000</v>
      </c>
      <c r="O14" s="5">
        <v>0.03</v>
      </c>
      <c r="P14" s="12">
        <v>73483648.772727266</v>
      </c>
      <c r="Q14" s="12">
        <v>51126838.318181813</v>
      </c>
      <c r="R14" s="12">
        <v>88082346.818181798</v>
      </c>
      <c r="S14" s="12">
        <f t="shared" si="0"/>
        <v>70897611.303030297</v>
      </c>
      <c r="T14" s="13">
        <v>0.1</v>
      </c>
      <c r="U14" s="12">
        <f t="shared" si="1"/>
        <v>77987372.433333322</v>
      </c>
      <c r="V14" s="12">
        <f t="shared" si="2"/>
        <v>233962117.29999995</v>
      </c>
      <c r="W14" s="12">
        <f t="shared" si="3"/>
        <v>70258894.084084064</v>
      </c>
      <c r="X14" s="12">
        <f t="shared" si="4"/>
        <v>210776682.25225219</v>
      </c>
    </row>
    <row r="15" spans="1:24" x14ac:dyDescent="0.3">
      <c r="A15" s="3">
        <v>13</v>
      </c>
      <c r="B15" s="3" t="s">
        <v>83</v>
      </c>
      <c r="C15" s="3" t="s">
        <v>84</v>
      </c>
      <c r="D15" s="3" t="s">
        <v>13</v>
      </c>
      <c r="E15" s="3" t="s">
        <v>9</v>
      </c>
      <c r="F15" s="3" t="s">
        <v>58</v>
      </c>
      <c r="G15" s="3" t="s">
        <v>14</v>
      </c>
      <c r="H15" s="4">
        <v>78404835.681818187</v>
      </c>
      <c r="I15" s="4">
        <v>50639230.590909064</v>
      </c>
      <c r="J15" s="4">
        <v>47280131.727272727</v>
      </c>
      <c r="K15" s="4">
        <v>58774732.666666657</v>
      </c>
      <c r="L15" s="4">
        <v>64652205.93333333</v>
      </c>
      <c r="M15" s="4">
        <v>65000000</v>
      </c>
      <c r="N15" s="4">
        <v>195000000</v>
      </c>
      <c r="O15" s="5">
        <v>0.03</v>
      </c>
      <c r="P15" s="12">
        <v>78404835.681818187</v>
      </c>
      <c r="Q15" s="12">
        <v>50639230.590909064</v>
      </c>
      <c r="R15" s="12">
        <v>47280131.727272727</v>
      </c>
      <c r="S15" s="12">
        <f t="shared" si="0"/>
        <v>58774732.666666657</v>
      </c>
      <c r="T15" s="13">
        <v>0.1</v>
      </c>
      <c r="U15" s="12">
        <f t="shared" si="1"/>
        <v>64652205.933333322</v>
      </c>
      <c r="V15" s="12">
        <f t="shared" si="2"/>
        <v>193956617.79999995</v>
      </c>
      <c r="W15" s="12">
        <f t="shared" si="3"/>
        <v>58245230.570570558</v>
      </c>
      <c r="X15" s="12">
        <f t="shared" si="4"/>
        <v>174735691.71171165</v>
      </c>
    </row>
    <row r="16" spans="1:24" x14ac:dyDescent="0.3">
      <c r="A16" s="3">
        <v>14</v>
      </c>
      <c r="B16" s="3" t="s">
        <v>138</v>
      </c>
      <c r="C16" s="3" t="s">
        <v>139</v>
      </c>
      <c r="D16" s="3" t="s">
        <v>13</v>
      </c>
      <c r="E16" s="3" t="s">
        <v>9</v>
      </c>
      <c r="F16" s="3" t="s">
        <v>58</v>
      </c>
      <c r="G16" s="3" t="s">
        <v>14</v>
      </c>
      <c r="H16" s="4"/>
      <c r="I16" s="4">
        <v>34412896.500000007</v>
      </c>
      <c r="J16" s="4">
        <v>113994256.54545455</v>
      </c>
      <c r="K16" s="4">
        <v>49469051.015151523</v>
      </c>
      <c r="L16" s="4">
        <v>54415956.116666682</v>
      </c>
      <c r="M16" s="4">
        <v>55000000</v>
      </c>
      <c r="N16" s="4">
        <v>165000000</v>
      </c>
      <c r="O16" s="5">
        <v>0.03</v>
      </c>
      <c r="P16" s="12">
        <v>0</v>
      </c>
      <c r="Q16" s="12">
        <v>34412896.500000007</v>
      </c>
      <c r="R16" s="12">
        <v>113994256.54545455</v>
      </c>
      <c r="S16" s="12">
        <f t="shared" si="0"/>
        <v>49469051.015151523</v>
      </c>
      <c r="T16" s="13">
        <v>0.1</v>
      </c>
      <c r="U16" s="12">
        <f t="shared" si="1"/>
        <v>54415956.116666675</v>
      </c>
      <c r="V16" s="12">
        <f t="shared" si="2"/>
        <v>163247868.35000002</v>
      </c>
      <c r="W16" s="12">
        <f t="shared" si="3"/>
        <v>49023383.888888888</v>
      </c>
      <c r="X16" s="12">
        <f t="shared" si="4"/>
        <v>147070151.66666669</v>
      </c>
    </row>
    <row r="17" spans="1:24" x14ac:dyDescent="0.3">
      <c r="A17" s="3">
        <v>15</v>
      </c>
      <c r="B17" s="3" t="s">
        <v>145</v>
      </c>
      <c r="C17" s="3" t="s">
        <v>146</v>
      </c>
      <c r="D17" s="3" t="s">
        <v>13</v>
      </c>
      <c r="E17" s="3" t="s">
        <v>9</v>
      </c>
      <c r="F17" s="3" t="s">
        <v>58</v>
      </c>
      <c r="G17" s="3" t="s">
        <v>14</v>
      </c>
      <c r="H17" s="4"/>
      <c r="I17" s="4"/>
      <c r="J17" s="4">
        <v>63153489.636363648</v>
      </c>
      <c r="K17" s="4">
        <v>21051163.212121215</v>
      </c>
      <c r="L17" s="4">
        <v>23156279.533333339</v>
      </c>
      <c r="M17" s="4">
        <v>40000000</v>
      </c>
      <c r="N17" s="4">
        <v>120000000</v>
      </c>
      <c r="O17" s="5">
        <v>0.03</v>
      </c>
      <c r="P17" s="12">
        <v>0</v>
      </c>
      <c r="Q17" s="12">
        <v>0</v>
      </c>
      <c r="R17" s="12">
        <v>63153489.636363648</v>
      </c>
      <c r="S17" s="12">
        <f t="shared" si="0"/>
        <v>21051163.212121215</v>
      </c>
      <c r="T17" s="13">
        <v>0.1</v>
      </c>
      <c r="U17" s="12">
        <f t="shared" si="1"/>
        <v>23156279.533333335</v>
      </c>
      <c r="V17" s="12">
        <f t="shared" si="2"/>
        <v>69468838.600000009</v>
      </c>
      <c r="W17" s="12">
        <f t="shared" si="3"/>
        <v>20861513.093093093</v>
      </c>
      <c r="X17" s="12">
        <f t="shared" si="4"/>
        <v>62584539.279279284</v>
      </c>
    </row>
    <row r="18" spans="1:24" x14ac:dyDescent="0.3">
      <c r="A18" s="3">
        <v>16</v>
      </c>
      <c r="B18" s="3">
        <v>1431623</v>
      </c>
      <c r="C18" s="3" t="s">
        <v>166</v>
      </c>
      <c r="D18" s="3" t="s">
        <v>13</v>
      </c>
      <c r="E18" s="3" t="s">
        <v>9</v>
      </c>
      <c r="F18" s="3" t="s">
        <v>106</v>
      </c>
      <c r="G18" s="3" t="s">
        <v>14</v>
      </c>
      <c r="H18" s="4">
        <v>132503091.95454544</v>
      </c>
      <c r="I18" s="4">
        <v>71076731.818181828</v>
      </c>
      <c r="J18" s="4">
        <v>71391519.136363611</v>
      </c>
      <c r="K18" s="4">
        <v>91657114.303030297</v>
      </c>
      <c r="L18" s="4">
        <v>100822825.73333333</v>
      </c>
      <c r="M18" s="4">
        <v>101000000</v>
      </c>
      <c r="N18" s="4">
        <v>303000000</v>
      </c>
      <c r="O18" s="5">
        <v>0.03</v>
      </c>
      <c r="P18" s="12">
        <v>132503091.95454544</v>
      </c>
      <c r="Q18" s="12">
        <v>71076731.818181828</v>
      </c>
      <c r="R18" s="12">
        <v>71391519.136363611</v>
      </c>
      <c r="S18" s="12">
        <f t="shared" si="0"/>
        <v>91657114.303030297</v>
      </c>
      <c r="T18" s="13">
        <v>0.1</v>
      </c>
      <c r="U18" s="12">
        <f t="shared" si="1"/>
        <v>100822825.73333332</v>
      </c>
      <c r="V18" s="12">
        <f t="shared" si="2"/>
        <v>302468477.19999993</v>
      </c>
      <c r="W18" s="12">
        <f t="shared" si="3"/>
        <v>90831374.534534514</v>
      </c>
      <c r="X18" s="12">
        <f t="shared" si="4"/>
        <v>272494123.60360354</v>
      </c>
    </row>
    <row r="19" spans="1:24" x14ac:dyDescent="0.3">
      <c r="A19" s="3">
        <v>17</v>
      </c>
      <c r="B19" s="3">
        <v>1432476</v>
      </c>
      <c r="C19" s="3" t="s">
        <v>124</v>
      </c>
      <c r="D19" s="3" t="s">
        <v>13</v>
      </c>
      <c r="E19" s="3" t="s">
        <v>9</v>
      </c>
      <c r="F19" s="3" t="s">
        <v>106</v>
      </c>
      <c r="G19" s="3" t="s">
        <v>14</v>
      </c>
      <c r="H19" s="4">
        <v>25776245.5</v>
      </c>
      <c r="I19" s="4">
        <v>25447664.818181828</v>
      </c>
      <c r="J19" s="4">
        <v>37875726.13636364</v>
      </c>
      <c r="K19" s="4">
        <v>29699878.818181824</v>
      </c>
      <c r="L19" s="4">
        <v>32669866.70000001</v>
      </c>
      <c r="M19" s="4">
        <v>35000000</v>
      </c>
      <c r="N19" s="4">
        <v>105000000</v>
      </c>
      <c r="O19" s="5">
        <v>0.03</v>
      </c>
      <c r="P19" s="12">
        <v>25776245.5</v>
      </c>
      <c r="Q19" s="12">
        <v>25447664.818181828</v>
      </c>
      <c r="R19" s="12">
        <v>37875726.13636364</v>
      </c>
      <c r="S19" s="12">
        <f t="shared" si="0"/>
        <v>29699878.818181824</v>
      </c>
      <c r="T19" s="13">
        <v>0.1</v>
      </c>
      <c r="U19" s="12">
        <f t="shared" si="1"/>
        <v>32669866.700000007</v>
      </c>
      <c r="V19" s="12">
        <f t="shared" si="2"/>
        <v>98009600.100000024</v>
      </c>
      <c r="W19" s="12">
        <f t="shared" si="3"/>
        <v>29432312.342342347</v>
      </c>
      <c r="X19" s="12">
        <f t="shared" si="4"/>
        <v>88296937.027027041</v>
      </c>
    </row>
    <row r="20" spans="1:24" x14ac:dyDescent="0.3">
      <c r="A20" s="3">
        <v>18</v>
      </c>
      <c r="B20" s="3">
        <v>1560041</v>
      </c>
      <c r="C20" s="3" t="s">
        <v>167</v>
      </c>
      <c r="D20" s="3" t="s">
        <v>13</v>
      </c>
      <c r="E20" s="3" t="s">
        <v>9</v>
      </c>
      <c r="F20" s="3" t="s">
        <v>106</v>
      </c>
      <c r="G20" s="3" t="s">
        <v>14</v>
      </c>
      <c r="H20" s="4">
        <v>130737450.86363634</v>
      </c>
      <c r="I20" s="4">
        <v>106571874.18181819</v>
      </c>
      <c r="J20" s="4">
        <v>72959385.818181798</v>
      </c>
      <c r="K20" s="4">
        <v>103422903.62121211</v>
      </c>
      <c r="L20" s="4">
        <v>113765193.98333333</v>
      </c>
      <c r="M20" s="4">
        <v>114000000</v>
      </c>
      <c r="N20" s="4">
        <v>342000000</v>
      </c>
      <c r="O20" s="5">
        <v>0.03</v>
      </c>
      <c r="P20" s="12">
        <v>130737450.86363634</v>
      </c>
      <c r="Q20" s="12">
        <v>106571874.18181819</v>
      </c>
      <c r="R20" s="12">
        <v>72959385.818181798</v>
      </c>
      <c r="S20" s="12">
        <f t="shared" si="0"/>
        <v>103422903.62121211</v>
      </c>
      <c r="T20" s="13">
        <v>0.1</v>
      </c>
      <c r="U20" s="12">
        <f t="shared" si="1"/>
        <v>113765193.98333332</v>
      </c>
      <c r="V20" s="12">
        <f t="shared" si="2"/>
        <v>341295581.94999993</v>
      </c>
      <c r="W20" s="12">
        <f t="shared" si="3"/>
        <v>102491165.75075074</v>
      </c>
      <c r="X20" s="12">
        <f t="shared" si="4"/>
        <v>307473497.25225216</v>
      </c>
    </row>
    <row r="21" spans="1:24" x14ac:dyDescent="0.3">
      <c r="A21" s="3">
        <v>19</v>
      </c>
      <c r="B21" s="3">
        <v>2241057</v>
      </c>
      <c r="C21" s="3" t="s">
        <v>110</v>
      </c>
      <c r="D21" s="3" t="s">
        <v>13</v>
      </c>
      <c r="E21" s="3" t="s">
        <v>9</v>
      </c>
      <c r="F21" s="3" t="s">
        <v>106</v>
      </c>
      <c r="G21" s="3" t="s">
        <v>14</v>
      </c>
      <c r="H21" s="4">
        <v>52744786.545454532</v>
      </c>
      <c r="I21" s="4">
        <v>19784994.045454547</v>
      </c>
      <c r="J21" s="4">
        <v>43871674.954545468</v>
      </c>
      <c r="K21" s="4">
        <v>38800485.18181818</v>
      </c>
      <c r="L21" s="4">
        <v>42680533.700000003</v>
      </c>
      <c r="M21" s="4">
        <v>43000000</v>
      </c>
      <c r="N21" s="4">
        <v>129000000</v>
      </c>
      <c r="O21" s="5">
        <v>0.03</v>
      </c>
      <c r="P21" s="12">
        <v>52744786.545454532</v>
      </c>
      <c r="Q21" s="12">
        <v>19784994.045454547</v>
      </c>
      <c r="R21" s="12">
        <v>43871674.954545468</v>
      </c>
      <c r="S21" s="12">
        <f t="shared" si="0"/>
        <v>38800485.18181818</v>
      </c>
      <c r="T21" s="13">
        <v>0.1</v>
      </c>
      <c r="U21" s="12">
        <f t="shared" si="1"/>
        <v>42680533.699999996</v>
      </c>
      <c r="V21" s="12">
        <f t="shared" si="2"/>
        <v>128041601.09999999</v>
      </c>
      <c r="W21" s="12">
        <f t="shared" si="3"/>
        <v>38450931.261261255</v>
      </c>
      <c r="X21" s="12">
        <f t="shared" si="4"/>
        <v>115352793.78378376</v>
      </c>
    </row>
    <row r="22" spans="1:24" x14ac:dyDescent="0.3">
      <c r="A22" s="3">
        <v>20</v>
      </c>
      <c r="B22" s="3" t="s">
        <v>149</v>
      </c>
      <c r="C22" s="3" t="s">
        <v>47</v>
      </c>
      <c r="D22" s="3" t="s">
        <v>13</v>
      </c>
      <c r="E22" s="3" t="s">
        <v>9</v>
      </c>
      <c r="F22" s="3" t="s">
        <v>46</v>
      </c>
      <c r="G22" s="3" t="s">
        <v>45</v>
      </c>
      <c r="H22" s="4">
        <v>120126899.54545453</v>
      </c>
      <c r="I22" s="4">
        <v>105784242.68181811</v>
      </c>
      <c r="J22" s="4">
        <v>53782649.772727288</v>
      </c>
      <c r="K22" s="4">
        <v>93231263.999999985</v>
      </c>
      <c r="L22" s="4">
        <v>102554390.39999999</v>
      </c>
      <c r="M22" s="4">
        <v>122000000</v>
      </c>
      <c r="N22" s="4">
        <v>309000000</v>
      </c>
      <c r="O22" s="5">
        <v>0.03</v>
      </c>
      <c r="P22" s="4">
        <v>120126899.54545453</v>
      </c>
      <c r="Q22" s="4">
        <v>105784242.68181811</v>
      </c>
      <c r="R22" s="12">
        <v>52723049.772727288</v>
      </c>
      <c r="S22" s="12">
        <f t="shared" si="0"/>
        <v>92878063.999999985</v>
      </c>
      <c r="T22" s="13">
        <v>0.1</v>
      </c>
      <c r="U22" s="12">
        <f t="shared" si="1"/>
        <v>102165870.39999998</v>
      </c>
      <c r="V22" s="12">
        <f t="shared" si="2"/>
        <v>306497611.19999993</v>
      </c>
      <c r="W22" s="12">
        <f t="shared" si="3"/>
        <v>92041324.684684649</v>
      </c>
      <c r="X22" s="12">
        <f t="shared" si="4"/>
        <v>276123974.05405396</v>
      </c>
    </row>
    <row r="23" spans="1:24" x14ac:dyDescent="0.3">
      <c r="A23" s="3">
        <v>21</v>
      </c>
      <c r="B23" s="3" t="s">
        <v>150</v>
      </c>
      <c r="C23" s="3" t="s">
        <v>151</v>
      </c>
      <c r="D23" s="3" t="s">
        <v>13</v>
      </c>
      <c r="E23" s="3" t="s">
        <v>9</v>
      </c>
      <c r="F23" s="3" t="s">
        <v>46</v>
      </c>
      <c r="G23" s="3" t="s">
        <v>45</v>
      </c>
      <c r="H23" s="4"/>
      <c r="I23" s="4"/>
      <c r="J23" s="4">
        <v>65821037.272727281</v>
      </c>
      <c r="K23" s="4">
        <v>21940345.757575762</v>
      </c>
      <c r="L23" s="4">
        <v>24134380.33333334</v>
      </c>
      <c r="M23" s="4">
        <v>75000000</v>
      </c>
      <c r="N23" s="4">
        <v>150000000</v>
      </c>
      <c r="O23" s="5">
        <v>0.03</v>
      </c>
      <c r="P23" s="12">
        <v>0</v>
      </c>
      <c r="Q23" s="12">
        <v>0</v>
      </c>
      <c r="R23" s="12">
        <v>65821037.272727281</v>
      </c>
      <c r="S23" s="12">
        <f t="shared" si="0"/>
        <v>21940345.757575762</v>
      </c>
      <c r="T23" s="13">
        <v>0.1</v>
      </c>
      <c r="U23" s="12">
        <f t="shared" si="1"/>
        <v>24134380.333333336</v>
      </c>
      <c r="V23" s="12">
        <f t="shared" si="2"/>
        <v>72403141</v>
      </c>
      <c r="W23" s="12">
        <f t="shared" si="3"/>
        <v>21742684.984984986</v>
      </c>
      <c r="X23" s="12">
        <f t="shared" si="4"/>
        <v>65228054.954954952</v>
      </c>
    </row>
    <row r="24" spans="1:24" x14ac:dyDescent="0.3">
      <c r="A24" s="3">
        <v>22</v>
      </c>
      <c r="B24" s="3" t="s">
        <v>48</v>
      </c>
      <c r="C24" s="3" t="s">
        <v>49</v>
      </c>
      <c r="D24" s="3" t="s">
        <v>13</v>
      </c>
      <c r="E24" s="3" t="s">
        <v>9</v>
      </c>
      <c r="F24" s="3" t="s">
        <v>46</v>
      </c>
      <c r="G24" s="3" t="s">
        <v>45</v>
      </c>
      <c r="H24" s="4">
        <v>59057881.000000015</v>
      </c>
      <c r="I24" s="4">
        <v>49012413.227272704</v>
      </c>
      <c r="J24" s="4">
        <v>16617808.454545459</v>
      </c>
      <c r="K24" s="4">
        <v>41562700.893939391</v>
      </c>
      <c r="L24" s="4">
        <v>45718970.983333334</v>
      </c>
      <c r="M24" s="4">
        <v>55000000</v>
      </c>
      <c r="N24" s="4">
        <v>138000000</v>
      </c>
      <c r="O24" s="5">
        <v>0.03</v>
      </c>
      <c r="P24" s="12">
        <v>59057881.000000015</v>
      </c>
      <c r="Q24" s="12">
        <v>49012413.227272704</v>
      </c>
      <c r="R24" s="12">
        <v>16617808.454545459</v>
      </c>
      <c r="S24" s="12">
        <f t="shared" si="0"/>
        <v>41562700.893939391</v>
      </c>
      <c r="T24" s="13">
        <v>0.1</v>
      </c>
      <c r="U24" s="12">
        <f t="shared" si="1"/>
        <v>45718970.983333327</v>
      </c>
      <c r="V24" s="12">
        <f t="shared" si="2"/>
        <v>137156912.94999999</v>
      </c>
      <c r="W24" s="12">
        <f t="shared" si="3"/>
        <v>41188262.147147141</v>
      </c>
      <c r="X24" s="12">
        <f t="shared" si="4"/>
        <v>123564786.44144142</v>
      </c>
    </row>
    <row r="25" spans="1:24" x14ac:dyDescent="0.3">
      <c r="A25" s="3">
        <v>23</v>
      </c>
      <c r="B25" s="3" t="s">
        <v>51</v>
      </c>
      <c r="C25" s="3" t="s">
        <v>152</v>
      </c>
      <c r="D25" s="3" t="s">
        <v>13</v>
      </c>
      <c r="E25" s="3" t="s">
        <v>9</v>
      </c>
      <c r="F25" s="3" t="s">
        <v>50</v>
      </c>
      <c r="G25" s="3" t="s">
        <v>45</v>
      </c>
      <c r="H25" s="4">
        <v>39159441.545454562</v>
      </c>
      <c r="I25" s="4">
        <v>5406095.0000000009</v>
      </c>
      <c r="J25" s="4">
        <v>53468807.363636345</v>
      </c>
      <c r="K25" s="4">
        <v>32678114.636363637</v>
      </c>
      <c r="L25" s="4">
        <v>35945926.100000001</v>
      </c>
      <c r="M25" s="4">
        <v>40000000</v>
      </c>
      <c r="N25" s="4">
        <v>120000000</v>
      </c>
      <c r="O25" s="5">
        <v>0.03</v>
      </c>
      <c r="P25" s="12">
        <v>39159441.545454562</v>
      </c>
      <c r="Q25" s="12">
        <v>5406095.0000000009</v>
      </c>
      <c r="R25" s="12">
        <v>53468807.363636345</v>
      </c>
      <c r="S25" s="12">
        <f t="shared" si="0"/>
        <v>32678114.636363637</v>
      </c>
      <c r="T25" s="13">
        <v>0.1</v>
      </c>
      <c r="U25" s="12">
        <f t="shared" si="1"/>
        <v>35945926.100000001</v>
      </c>
      <c r="V25" s="12">
        <f t="shared" si="2"/>
        <v>107837778.30000001</v>
      </c>
      <c r="W25" s="12">
        <f t="shared" si="3"/>
        <v>32383717.207207207</v>
      </c>
      <c r="X25" s="12">
        <f t="shared" si="4"/>
        <v>97151151.621621624</v>
      </c>
    </row>
    <row r="26" spans="1:24" x14ac:dyDescent="0.3">
      <c r="A26" s="25" t="s">
        <v>154</v>
      </c>
      <c r="B26" s="25"/>
      <c r="C26" s="25"/>
      <c r="D26" s="25"/>
      <c r="E26" s="25"/>
      <c r="F26" s="25"/>
      <c r="G26" s="25"/>
      <c r="H26" s="8">
        <f>SUM(H3:H25)</f>
        <v>1633564149.8254542</v>
      </c>
      <c r="I26" s="8">
        <f t="shared" ref="I26:N26" si="5">SUM(I3:I25)</f>
        <v>1093566024.3181818</v>
      </c>
      <c r="J26" s="8">
        <f t="shared" si="5"/>
        <v>1340122265.4545453</v>
      </c>
      <c r="K26" s="8">
        <f t="shared" si="5"/>
        <v>1355750813.199394</v>
      </c>
      <c r="L26" s="8">
        <f t="shared" si="5"/>
        <v>1491325894.5193334</v>
      </c>
      <c r="M26" s="8">
        <f t="shared" si="5"/>
        <v>1602000000</v>
      </c>
      <c r="N26" s="8">
        <f t="shared" si="5"/>
        <v>4647000000</v>
      </c>
      <c r="O26" s="8"/>
    </row>
    <row r="28" spans="1:24" x14ac:dyDescent="0.3">
      <c r="A28" s="27" t="s">
        <v>171</v>
      </c>
      <c r="B28" s="27"/>
      <c r="C28" s="27"/>
      <c r="H28"/>
      <c r="I28"/>
      <c r="J28"/>
      <c r="K28"/>
      <c r="L28"/>
      <c r="M28"/>
      <c r="N28"/>
      <c r="O28"/>
    </row>
    <row r="29" spans="1:24" x14ac:dyDescent="0.3">
      <c r="A29" s="27" t="s">
        <v>169</v>
      </c>
      <c r="B29" s="27"/>
      <c r="C29" s="27"/>
      <c r="H29"/>
      <c r="I29"/>
      <c r="J29"/>
      <c r="K29"/>
      <c r="L29"/>
      <c r="M29"/>
      <c r="N29"/>
      <c r="O29"/>
    </row>
    <row r="30" spans="1:24" x14ac:dyDescent="0.3">
      <c r="A30" s="6"/>
      <c r="H30"/>
      <c r="I30"/>
      <c r="J30"/>
      <c r="K30"/>
      <c r="L30"/>
      <c r="M30"/>
      <c r="N30"/>
      <c r="O30"/>
    </row>
    <row r="31" spans="1:24" x14ac:dyDescent="0.3">
      <c r="A31" s="6"/>
      <c r="H31"/>
      <c r="I31"/>
      <c r="J31"/>
      <c r="K31"/>
      <c r="L31"/>
      <c r="M31"/>
      <c r="N31"/>
      <c r="O31"/>
    </row>
    <row r="32" spans="1:24" x14ac:dyDescent="0.3">
      <c r="A32" s="6"/>
      <c r="H32"/>
      <c r="I32"/>
      <c r="J32"/>
      <c r="K32"/>
      <c r="L32"/>
      <c r="M32"/>
      <c r="N32"/>
      <c r="O32"/>
    </row>
    <row r="33" spans="1:15" x14ac:dyDescent="0.3">
      <c r="A33" s="6"/>
      <c r="H33"/>
      <c r="I33"/>
      <c r="J33"/>
      <c r="K33"/>
      <c r="L33"/>
      <c r="M33"/>
      <c r="N33"/>
      <c r="O33"/>
    </row>
    <row r="34" spans="1:15" x14ac:dyDescent="0.3">
      <c r="A34" s="27" t="s">
        <v>170</v>
      </c>
      <c r="B34" s="27"/>
      <c r="C34" s="27"/>
      <c r="H34"/>
      <c r="I34"/>
      <c r="J34"/>
      <c r="K34"/>
      <c r="L34"/>
      <c r="M34"/>
      <c r="N34"/>
      <c r="O34"/>
    </row>
    <row r="35" spans="1:15" x14ac:dyDescent="0.3">
      <c r="A35" s="27" t="s">
        <v>172</v>
      </c>
      <c r="B35" s="27"/>
      <c r="C35" s="27"/>
      <c r="H35"/>
      <c r="I35"/>
      <c r="J35"/>
      <c r="K35"/>
      <c r="L35"/>
      <c r="M35"/>
      <c r="N35"/>
      <c r="O35"/>
    </row>
  </sheetData>
  <sortState xmlns:xlrd2="http://schemas.microsoft.com/office/spreadsheetml/2017/richdata2" ref="A3:N6766">
    <sortCondition ref="G2:G6766"/>
  </sortState>
  <mergeCells count="7">
    <mergeCell ref="P1:X1"/>
    <mergeCell ref="A35:C35"/>
    <mergeCell ref="A26:G26"/>
    <mergeCell ref="A1:O1"/>
    <mergeCell ref="A28:C28"/>
    <mergeCell ref="A29:C29"/>
    <mergeCell ref="A34:C34"/>
  </mergeCells>
  <pageMargins left="0.25" right="0.25" top="0.75" bottom="0.75" header="0.3" footer="0.3"/>
  <pageSetup paperSize="9" scale="5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GT</vt:lpstr>
      <vt:lpstr>MT</vt:lpstr>
      <vt:lpstr>MISS GLAM</vt:lpstr>
      <vt:lpstr>GT!Print_Area</vt:lpstr>
      <vt:lpstr>'MISS GLAM'!Print_Area</vt:lpstr>
      <vt:lpstr>MT!Print_Area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Azhar</dc:creator>
  <cp:lastModifiedBy>Lenovo</cp:lastModifiedBy>
  <cp:lastPrinted>2025-03-12T07:53:28Z</cp:lastPrinted>
  <dcterms:created xsi:type="dcterms:W3CDTF">2025-03-05T16:13:56Z</dcterms:created>
  <dcterms:modified xsi:type="dcterms:W3CDTF">2025-07-04T02:40:44Z</dcterms:modified>
</cp:coreProperties>
</file>