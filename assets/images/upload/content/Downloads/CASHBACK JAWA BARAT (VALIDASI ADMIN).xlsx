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EJI 2025\07. SPV OPERASIONAL\CASHBACK MAR-MEI 2025\VALIDASI ADMIN\"/>
    </mc:Choice>
  </mc:AlternateContent>
  <xr:revisionPtr revIDLastSave="0" documentId="13_ncr:1_{3FFACDC5-73D5-454A-82DE-CA2C6828E5F3}" xr6:coauthVersionLast="47" xr6:coauthVersionMax="47" xr10:uidLastSave="{00000000-0000-0000-0000-000000000000}"/>
  <bookViews>
    <workbookView xWindow="-108" yWindow="-108" windowWidth="23256" windowHeight="12456" activeTab="4" xr2:uid="{072F5A3E-891E-4FA4-93DA-D90B5A67AC4C}"/>
  </bookViews>
  <sheets>
    <sheet name="BANDUNG" sheetId="1" r:id="rId1"/>
    <sheet name="CIREBON" sheetId="2" r:id="rId2"/>
    <sheet name="GARUT" sheetId="4" r:id="rId3"/>
    <sheet name="TASIKMALAYA" sheetId="5" r:id="rId4"/>
    <sheet name="SUKABUMI" sheetId="6" r:id="rId5"/>
  </sheets>
  <definedNames>
    <definedName name="_xlnm.Print_Area" localSheetId="0">BANDUNG!$A$1:$U$28</definedName>
    <definedName name="_xlnm.Print_Area" localSheetId="1">CIREBON!$A$1:$V$26</definedName>
    <definedName name="_xlnm.Print_Area" localSheetId="4">SUKABUMI!$A$1:$V$16</definedName>
    <definedName name="_xlnm.Print_Area" localSheetId="3">TASIKMALAYA!$A$1:$V$14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4" i="6" l="1"/>
  <c r="Q13" i="6"/>
  <c r="P13" i="6"/>
  <c r="P14" i="6"/>
  <c r="R13" i="5"/>
  <c r="Q13" i="5"/>
  <c r="U25" i="2"/>
  <c r="T25" i="2"/>
  <c r="V25" i="2" s="1"/>
  <c r="U24" i="2"/>
  <c r="T24" i="2"/>
  <c r="V24" i="2" s="1"/>
  <c r="R25" i="2"/>
  <c r="R24" i="2"/>
  <c r="Q24" i="2"/>
  <c r="Q25" i="2"/>
  <c r="S14" i="6" l="1"/>
  <c r="U14" i="6" s="1"/>
  <c r="T14" i="6"/>
  <c r="S13" i="6"/>
  <c r="U13" i="6" s="1"/>
  <c r="T13" i="6"/>
  <c r="T13" i="5"/>
  <c r="V13" i="5" s="1"/>
  <c r="U13" i="5"/>
  <c r="P10" i="6"/>
  <c r="R10" i="6" s="1"/>
  <c r="P11" i="6"/>
  <c r="R11" i="6" s="1"/>
  <c r="P12" i="6"/>
  <c r="R12" i="6" s="1"/>
  <c r="Q12" i="5"/>
  <c r="S12" i="5" s="1"/>
  <c r="Q11" i="5"/>
  <c r="Q10" i="5"/>
  <c r="S10" i="5" s="1"/>
  <c r="Q8" i="5"/>
  <c r="S8" i="5" s="1"/>
  <c r="Q7" i="5"/>
  <c r="S7" i="5" s="1"/>
  <c r="Q6" i="5"/>
  <c r="S6" i="5" s="1"/>
  <c r="P12" i="4"/>
  <c r="R12" i="4" s="1"/>
  <c r="P11" i="4"/>
  <c r="R11" i="4" s="1"/>
  <c r="P10" i="4"/>
  <c r="R10" i="4" s="1"/>
  <c r="P9" i="4"/>
  <c r="R9" i="4" s="1"/>
  <c r="P8" i="4"/>
  <c r="R8" i="4" s="1"/>
  <c r="P7" i="4"/>
  <c r="R7" i="4" s="1"/>
  <c r="P6" i="4"/>
  <c r="R6" i="4" s="1"/>
  <c r="Q21" i="2"/>
  <c r="S21" i="2" s="1"/>
  <c r="Q20" i="2"/>
  <c r="S20" i="2" s="1"/>
  <c r="Q17" i="2"/>
  <c r="S17" i="2" s="1"/>
  <c r="Q16" i="2"/>
  <c r="S16" i="2" s="1"/>
  <c r="Q15" i="2"/>
  <c r="S15" i="2" s="1"/>
  <c r="Q12" i="2"/>
  <c r="S12" i="2" s="1"/>
  <c r="Q10" i="2"/>
  <c r="S10" i="2" s="1"/>
  <c r="Q9" i="2"/>
  <c r="S9" i="2" s="1"/>
  <c r="Q8" i="2"/>
  <c r="S8" i="2" s="1"/>
  <c r="P7" i="6" l="1"/>
  <c r="R7" i="6" s="1"/>
  <c r="T7" i="6" s="1"/>
  <c r="P6" i="6"/>
  <c r="R6" i="6" s="1"/>
  <c r="T6" i="6" s="1"/>
  <c r="P8" i="6"/>
  <c r="R8" i="6" s="1"/>
  <c r="S8" i="6" s="1"/>
  <c r="U8" i="6" s="1"/>
  <c r="P9" i="6"/>
  <c r="R9" i="6" s="1"/>
  <c r="T9" i="6" s="1"/>
  <c r="P15" i="6"/>
  <c r="R15" i="6" s="1"/>
  <c r="S15" i="6" s="1"/>
  <c r="U15" i="6" s="1"/>
  <c r="T10" i="6"/>
  <c r="S10" i="6"/>
  <c r="U10" i="6" s="1"/>
  <c r="S11" i="6"/>
  <c r="U11" i="6" s="1"/>
  <c r="T11" i="6"/>
  <c r="T12" i="6"/>
  <c r="S12" i="6"/>
  <c r="U12" i="6" s="1"/>
  <c r="Q9" i="5"/>
  <c r="S9" i="5" s="1"/>
  <c r="U9" i="5" s="1"/>
  <c r="S11" i="5"/>
  <c r="U6" i="5"/>
  <c r="T6" i="5"/>
  <c r="V6" i="5" s="1"/>
  <c r="U10" i="5"/>
  <c r="T10" i="5"/>
  <c r="V10" i="5" s="1"/>
  <c r="U7" i="5"/>
  <c r="T7" i="5"/>
  <c r="V7" i="5" s="1"/>
  <c r="T11" i="5"/>
  <c r="V11" i="5" s="1"/>
  <c r="U11" i="5"/>
  <c r="T8" i="5"/>
  <c r="V8" i="5" s="1"/>
  <c r="U8" i="5"/>
  <c r="U12" i="5"/>
  <c r="T12" i="5"/>
  <c r="V12" i="5" s="1"/>
  <c r="T9" i="4"/>
  <c r="S9" i="4"/>
  <c r="U9" i="4" s="1"/>
  <c r="T10" i="4"/>
  <c r="S10" i="4"/>
  <c r="U10" i="4" s="1"/>
  <c r="T6" i="4"/>
  <c r="S6" i="4"/>
  <c r="U6" i="4" s="1"/>
  <c r="T11" i="4"/>
  <c r="S11" i="4"/>
  <c r="U11" i="4" s="1"/>
  <c r="T7" i="4"/>
  <c r="S7" i="4"/>
  <c r="U7" i="4" s="1"/>
  <c r="T12" i="4"/>
  <c r="S12" i="4"/>
  <c r="U12" i="4" s="1"/>
  <c r="S8" i="4"/>
  <c r="U8" i="4" s="1"/>
  <c r="T8" i="4"/>
  <c r="Q7" i="2"/>
  <c r="S7" i="2" s="1"/>
  <c r="U7" i="2" s="1"/>
  <c r="Q11" i="2"/>
  <c r="S11" i="2" s="1"/>
  <c r="T11" i="2" s="1"/>
  <c r="V11" i="2" s="1"/>
  <c r="Q13" i="2"/>
  <c r="S13" i="2" s="1"/>
  <c r="U13" i="2" s="1"/>
  <c r="Q6" i="2"/>
  <c r="S6" i="2" s="1"/>
  <c r="T6" i="2" s="1"/>
  <c r="V6" i="2" s="1"/>
  <c r="Q14" i="2"/>
  <c r="S14" i="2" s="1"/>
  <c r="U14" i="2" s="1"/>
  <c r="Q23" i="2"/>
  <c r="S23" i="2" s="1"/>
  <c r="U23" i="2" s="1"/>
  <c r="Q19" i="2"/>
  <c r="S19" i="2" s="1"/>
  <c r="U19" i="2" s="1"/>
  <c r="Q22" i="2"/>
  <c r="S22" i="2" s="1"/>
  <c r="U22" i="2" s="1"/>
  <c r="Q18" i="2"/>
  <c r="S18" i="2" s="1"/>
  <c r="T18" i="2" s="1"/>
  <c r="V18" i="2" s="1"/>
  <c r="U10" i="2"/>
  <c r="T10" i="2"/>
  <c r="V10" i="2" s="1"/>
  <c r="U15" i="2"/>
  <c r="T15" i="2"/>
  <c r="V15" i="2" s="1"/>
  <c r="U20" i="2"/>
  <c r="T20" i="2"/>
  <c r="V20" i="2" s="1"/>
  <c r="U8" i="2"/>
  <c r="T8" i="2"/>
  <c r="V8" i="2" s="1"/>
  <c r="U16" i="2"/>
  <c r="T16" i="2"/>
  <c r="V16" i="2" s="1"/>
  <c r="U21" i="2"/>
  <c r="T21" i="2"/>
  <c r="V21" i="2" s="1"/>
  <c r="U12" i="2"/>
  <c r="T12" i="2"/>
  <c r="V12" i="2" s="1"/>
  <c r="U17" i="2"/>
  <c r="T17" i="2"/>
  <c r="V17" i="2" s="1"/>
  <c r="T9" i="2"/>
  <c r="V9" i="2" s="1"/>
  <c r="U9" i="2"/>
  <c r="P26" i="1"/>
  <c r="R26" i="1" s="1"/>
  <c r="T26" i="1" s="1"/>
  <c r="P20" i="1"/>
  <c r="R20" i="1" s="1"/>
  <c r="T20" i="1" s="1"/>
  <c r="P19" i="1"/>
  <c r="R19" i="1" s="1"/>
  <c r="T19" i="1" s="1"/>
  <c r="P11" i="1"/>
  <c r="R11" i="1" s="1"/>
  <c r="T11" i="1" s="1"/>
  <c r="P8" i="1"/>
  <c r="R8" i="1" s="1"/>
  <c r="T8" i="1" s="1"/>
  <c r="T7" i="2" l="1"/>
  <c r="V7" i="2" s="1"/>
  <c r="U11" i="2"/>
  <c r="T22" i="2"/>
  <c r="V22" i="2" s="1"/>
  <c r="T19" i="2"/>
  <c r="V19" i="2" s="1"/>
  <c r="T23" i="2"/>
  <c r="V23" i="2" s="1"/>
  <c r="T14" i="2"/>
  <c r="V14" i="2" s="1"/>
  <c r="S6" i="6"/>
  <c r="U6" i="6" s="1"/>
  <c r="T15" i="6"/>
  <c r="T8" i="6"/>
  <c r="S9" i="6"/>
  <c r="U9" i="6" s="1"/>
  <c r="S7" i="6"/>
  <c r="U7" i="6" s="1"/>
  <c r="T9" i="5"/>
  <c r="V9" i="5" s="1"/>
  <c r="U18" i="2"/>
  <c r="U6" i="2"/>
  <c r="T13" i="2"/>
  <c r="V13" i="2" s="1"/>
  <c r="P24" i="1"/>
  <c r="R24" i="1" s="1"/>
  <c r="T24" i="1" s="1"/>
  <c r="P9" i="1"/>
  <c r="R9" i="1" s="1"/>
  <c r="T9" i="1" s="1"/>
  <c r="P7" i="1"/>
  <c r="R7" i="1" s="1"/>
  <c r="T7" i="1" s="1"/>
  <c r="P17" i="1"/>
  <c r="R17" i="1" s="1"/>
  <c r="S17" i="1" s="1"/>
  <c r="U17" i="1" s="1"/>
  <c r="P25" i="1"/>
  <c r="R25" i="1" s="1"/>
  <c r="T25" i="1" s="1"/>
  <c r="P21" i="1"/>
  <c r="R21" i="1" s="1"/>
  <c r="T21" i="1" s="1"/>
  <c r="P14" i="1"/>
  <c r="R14" i="1" s="1"/>
  <c r="S14" i="1" s="1"/>
  <c r="U14" i="1" s="1"/>
  <c r="P23" i="1"/>
  <c r="R23" i="1" s="1"/>
  <c r="T23" i="1" s="1"/>
  <c r="P13" i="1"/>
  <c r="R13" i="1" s="1"/>
  <c r="T13" i="1" s="1"/>
  <c r="P18" i="1"/>
  <c r="R18" i="1" s="1"/>
  <c r="T18" i="1" s="1"/>
  <c r="P10" i="1"/>
  <c r="R10" i="1" s="1"/>
  <c r="T10" i="1" s="1"/>
  <c r="P22" i="1"/>
  <c r="R22" i="1" s="1"/>
  <c r="T22" i="1" s="1"/>
  <c r="P15" i="1"/>
  <c r="R15" i="1" s="1"/>
  <c r="T15" i="1" s="1"/>
  <c r="P27" i="1"/>
  <c r="R27" i="1" s="1"/>
  <c r="S27" i="1" s="1"/>
  <c r="U27" i="1" s="1"/>
  <c r="P12" i="1"/>
  <c r="R12" i="1" s="1"/>
  <c r="S12" i="1" s="1"/>
  <c r="U12" i="1" s="1"/>
  <c r="P16" i="1"/>
  <c r="R16" i="1" s="1"/>
  <c r="T16" i="1" s="1"/>
  <c r="P6" i="1"/>
  <c r="R6" i="1" s="1"/>
  <c r="S6" i="1" s="1"/>
  <c r="U6" i="1" s="1"/>
  <c r="S26" i="1"/>
  <c r="U26" i="1" s="1"/>
  <c r="S20" i="1"/>
  <c r="U20" i="1" s="1"/>
  <c r="S8" i="1"/>
  <c r="U8" i="1" s="1"/>
  <c r="S11" i="1"/>
  <c r="U11" i="1" s="1"/>
  <c r="S19" i="1"/>
  <c r="U19" i="1" s="1"/>
  <c r="S7" i="1" l="1"/>
  <c r="U7" i="1" s="1"/>
  <c r="S9" i="1"/>
  <c r="U9" i="1" s="1"/>
  <c r="S15" i="1"/>
  <c r="U15" i="1" s="1"/>
  <c r="T12" i="1"/>
  <c r="S24" i="1"/>
  <c r="U24" i="1" s="1"/>
  <c r="S18" i="1"/>
  <c r="U18" i="1" s="1"/>
  <c r="S25" i="1"/>
  <c r="U25" i="1" s="1"/>
  <c r="T14" i="1"/>
  <c r="T17" i="1"/>
  <c r="T27" i="1"/>
  <c r="S22" i="1"/>
  <c r="U22" i="1" s="1"/>
  <c r="S23" i="1"/>
  <c r="U23" i="1" s="1"/>
  <c r="S21" i="1"/>
  <c r="U21" i="1" s="1"/>
  <c r="S13" i="1"/>
  <c r="U13" i="1" s="1"/>
  <c r="S16" i="1"/>
  <c r="U16" i="1" s="1"/>
  <c r="S10" i="1"/>
  <c r="U10" i="1" s="1"/>
  <c r="T6" i="1"/>
  <c r="E16" i="6" l="1"/>
  <c r="D16" i="6"/>
  <c r="C16" i="6"/>
  <c r="G15" i="6"/>
  <c r="H15" i="6" s="1"/>
  <c r="F15" i="6"/>
  <c r="G12" i="6"/>
  <c r="H12" i="6" s="1"/>
  <c r="F12" i="6"/>
  <c r="G11" i="6"/>
  <c r="H11" i="6" s="1"/>
  <c r="F11" i="6"/>
  <c r="G10" i="6"/>
  <c r="H10" i="6" s="1"/>
  <c r="F10" i="6"/>
  <c r="G9" i="6"/>
  <c r="H9" i="6" s="1"/>
  <c r="F9" i="6"/>
  <c r="G8" i="6"/>
  <c r="H8" i="6" s="1"/>
  <c r="F8" i="6"/>
  <c r="G7" i="6"/>
  <c r="H7" i="6" s="1"/>
  <c r="F7" i="6"/>
  <c r="G6" i="6"/>
  <c r="H6" i="6" s="1"/>
  <c r="F6" i="6"/>
  <c r="L12" i="5"/>
  <c r="L11" i="5"/>
  <c r="L10" i="5"/>
  <c r="L9" i="5"/>
  <c r="L8" i="5"/>
  <c r="J11" i="5"/>
  <c r="M11" i="5" s="1"/>
  <c r="J10" i="5"/>
  <c r="M10" i="5" s="1"/>
  <c r="J9" i="5"/>
  <c r="M9" i="5" s="1"/>
  <c r="J8" i="5"/>
  <c r="M8" i="5" s="1"/>
  <c r="J12" i="5"/>
  <c r="M12" i="5" s="1"/>
  <c r="K9" i="4"/>
  <c r="F14" i="5"/>
  <c r="E14" i="5"/>
  <c r="D14" i="5"/>
  <c r="H12" i="5"/>
  <c r="G12" i="5"/>
  <c r="H11" i="5"/>
  <c r="G11" i="5"/>
  <c r="H10" i="5"/>
  <c r="G10" i="5"/>
  <c r="H9" i="5"/>
  <c r="K9" i="5" s="1"/>
  <c r="G9" i="5"/>
  <c r="H8" i="5"/>
  <c r="G8" i="5"/>
  <c r="H7" i="5"/>
  <c r="G7" i="5"/>
  <c r="H6" i="5"/>
  <c r="I6" i="5" s="1"/>
  <c r="J6" i="5" s="1"/>
  <c r="M6" i="5" s="1"/>
  <c r="G6" i="5"/>
  <c r="E13" i="4"/>
  <c r="D13" i="4"/>
  <c r="C13" i="4"/>
  <c r="G12" i="4"/>
  <c r="F12" i="4"/>
  <c r="G11" i="4"/>
  <c r="F11" i="4"/>
  <c r="G10" i="4"/>
  <c r="F10" i="4"/>
  <c r="G9" i="4"/>
  <c r="H9" i="4" s="1"/>
  <c r="I9" i="4" s="1"/>
  <c r="L9" i="4" s="1"/>
  <c r="F9" i="4"/>
  <c r="G8" i="4"/>
  <c r="F8" i="4"/>
  <c r="G7" i="4"/>
  <c r="F7" i="4"/>
  <c r="G6" i="4"/>
  <c r="F6" i="4"/>
  <c r="H26" i="2"/>
  <c r="I26" i="2" s="1"/>
  <c r="K26" i="2" s="1"/>
  <c r="G26" i="2"/>
  <c r="H23" i="2"/>
  <c r="I23" i="2" s="1"/>
  <c r="J23" i="2" s="1"/>
  <c r="M23" i="2" s="1"/>
  <c r="G23" i="2"/>
  <c r="H22" i="2"/>
  <c r="G22" i="2"/>
  <c r="H21" i="2"/>
  <c r="G21" i="2"/>
  <c r="H20" i="2"/>
  <c r="I20" i="2" s="1"/>
  <c r="L20" i="2" s="1"/>
  <c r="G20" i="2"/>
  <c r="H19" i="2"/>
  <c r="I19" i="2" s="1"/>
  <c r="J19" i="2" s="1"/>
  <c r="M19" i="2" s="1"/>
  <c r="G19" i="2"/>
  <c r="H18" i="2"/>
  <c r="I18" i="2" s="1"/>
  <c r="L18" i="2" s="1"/>
  <c r="G18" i="2"/>
  <c r="H17" i="2"/>
  <c r="I17" i="2" s="1"/>
  <c r="J17" i="2" s="1"/>
  <c r="M17" i="2" s="1"/>
  <c r="G17" i="2"/>
  <c r="H16" i="2"/>
  <c r="I16" i="2" s="1"/>
  <c r="J16" i="2" s="1"/>
  <c r="M16" i="2" s="1"/>
  <c r="G16" i="2"/>
  <c r="H15" i="2"/>
  <c r="I15" i="2" s="1"/>
  <c r="J15" i="2" s="1"/>
  <c r="M15" i="2" s="1"/>
  <c r="G15" i="2"/>
  <c r="H14" i="2"/>
  <c r="I14" i="2" s="1"/>
  <c r="K14" i="2" s="1"/>
  <c r="G14" i="2"/>
  <c r="H13" i="2"/>
  <c r="I13" i="2" s="1"/>
  <c r="L13" i="2" s="1"/>
  <c r="G13" i="2"/>
  <c r="H12" i="2"/>
  <c r="I12" i="2" s="1"/>
  <c r="K12" i="2" s="1"/>
  <c r="G12" i="2"/>
  <c r="H11" i="2"/>
  <c r="I11" i="2" s="1"/>
  <c r="L11" i="2" s="1"/>
  <c r="G11" i="2"/>
  <c r="H10" i="2"/>
  <c r="I10" i="2" s="1"/>
  <c r="K10" i="2" s="1"/>
  <c r="G10" i="2"/>
  <c r="H9" i="2"/>
  <c r="G9" i="2"/>
  <c r="H8" i="2"/>
  <c r="I8" i="2" s="1"/>
  <c r="J8" i="2" s="1"/>
  <c r="M8" i="2" s="1"/>
  <c r="G8" i="2"/>
  <c r="H7" i="2"/>
  <c r="I7" i="2" s="1"/>
  <c r="K7" i="2" s="1"/>
  <c r="G7" i="2"/>
  <c r="H6" i="2"/>
  <c r="I6" i="2" s="1"/>
  <c r="K6" i="2" s="1"/>
  <c r="G6" i="2"/>
  <c r="G26" i="1"/>
  <c r="H26" i="1" s="1"/>
  <c r="J26" i="1" s="1"/>
  <c r="G7" i="1"/>
  <c r="H7" i="1" s="1"/>
  <c r="K7" i="1" s="1"/>
  <c r="G20" i="1"/>
  <c r="H20" i="1" s="1"/>
  <c r="J20" i="1" s="1"/>
  <c r="G25" i="1"/>
  <c r="H25" i="1" s="1"/>
  <c r="J25" i="1" s="1"/>
  <c r="G13" i="1"/>
  <c r="H13" i="1" s="1"/>
  <c r="K13" i="1" s="1"/>
  <c r="G23" i="1"/>
  <c r="H23" i="1" s="1"/>
  <c r="J23" i="1" s="1"/>
  <c r="G10" i="1"/>
  <c r="H10" i="1" s="1"/>
  <c r="J10" i="1" s="1"/>
  <c r="G19" i="1"/>
  <c r="G12" i="1"/>
  <c r="H12" i="1" s="1"/>
  <c r="J12" i="1" s="1"/>
  <c r="G27" i="1"/>
  <c r="H27" i="1" s="1"/>
  <c r="J27" i="1" s="1"/>
  <c r="G18" i="1"/>
  <c r="H18" i="1" s="1"/>
  <c r="G11" i="1"/>
  <c r="H11" i="1" s="1"/>
  <c r="K11" i="1" s="1"/>
  <c r="G21" i="1"/>
  <c r="H21" i="1" s="1"/>
  <c r="K21" i="1" s="1"/>
  <c r="G9" i="1"/>
  <c r="G14" i="1"/>
  <c r="H14" i="1" s="1"/>
  <c r="K14" i="1" s="1"/>
  <c r="G6" i="1"/>
  <c r="G16" i="1"/>
  <c r="G22" i="1"/>
  <c r="H22" i="1" s="1"/>
  <c r="K22" i="1" s="1"/>
  <c r="G8" i="1"/>
  <c r="H8" i="1" s="1"/>
  <c r="K8" i="1" s="1"/>
  <c r="G15" i="1"/>
  <c r="H15" i="1" s="1"/>
  <c r="K15" i="1" s="1"/>
  <c r="G17" i="1"/>
  <c r="H17" i="1" s="1"/>
  <c r="K17" i="1" s="1"/>
  <c r="G24" i="1"/>
  <c r="H24" i="1" s="1"/>
  <c r="J24" i="1" s="1"/>
  <c r="F26" i="1"/>
  <c r="F7" i="1"/>
  <c r="F20" i="1"/>
  <c r="F25" i="1"/>
  <c r="F13" i="1"/>
  <c r="F23" i="1"/>
  <c r="F10" i="1"/>
  <c r="F19" i="1"/>
  <c r="F12" i="1"/>
  <c r="F27" i="1"/>
  <c r="F18" i="1"/>
  <c r="F11" i="1"/>
  <c r="F21" i="1"/>
  <c r="F9" i="1"/>
  <c r="F14" i="1"/>
  <c r="F6" i="1"/>
  <c r="F16" i="1"/>
  <c r="F22" i="1"/>
  <c r="F8" i="1"/>
  <c r="F15" i="1"/>
  <c r="F17" i="1"/>
  <c r="F24" i="1"/>
  <c r="L6" i="5" l="1"/>
  <c r="L19" i="2"/>
  <c r="J10" i="2"/>
  <c r="M10" i="2" s="1"/>
  <c r="L15" i="2"/>
  <c r="I8" i="1"/>
  <c r="L8" i="1" s="1"/>
  <c r="I14" i="1"/>
  <c r="L14" i="1" s="1"/>
  <c r="I22" i="1"/>
  <c r="L22" i="1" s="1"/>
  <c r="L23" i="2"/>
  <c r="I21" i="1"/>
  <c r="L21" i="1" s="1"/>
  <c r="J11" i="2"/>
  <c r="M11" i="2" s="1"/>
  <c r="J18" i="2"/>
  <c r="M18" i="2" s="1"/>
  <c r="L7" i="2"/>
  <c r="F16" i="6"/>
  <c r="H16" i="6"/>
  <c r="G16" i="6"/>
  <c r="K15" i="6"/>
  <c r="I15" i="6"/>
  <c r="L15" i="6" s="1"/>
  <c r="J15" i="6"/>
  <c r="I7" i="6"/>
  <c r="L7" i="6" s="1"/>
  <c r="K7" i="6"/>
  <c r="J7" i="6"/>
  <c r="K11" i="6"/>
  <c r="J11" i="6"/>
  <c r="I11" i="6"/>
  <c r="L11" i="6" s="1"/>
  <c r="K10" i="6"/>
  <c r="J10" i="6"/>
  <c r="I10" i="6"/>
  <c r="J8" i="6"/>
  <c r="I8" i="6"/>
  <c r="L8" i="6" s="1"/>
  <c r="K8" i="6"/>
  <c r="K12" i="6"/>
  <c r="J12" i="6"/>
  <c r="I12" i="6"/>
  <c r="L12" i="6" s="1"/>
  <c r="J6" i="6"/>
  <c r="I6" i="6"/>
  <c r="K6" i="6"/>
  <c r="K9" i="6"/>
  <c r="J9" i="6"/>
  <c r="I9" i="6"/>
  <c r="L9" i="6" s="1"/>
  <c r="G14" i="5"/>
  <c r="K18" i="1"/>
  <c r="I18" i="1"/>
  <c r="L18" i="1" s="1"/>
  <c r="I23" i="1"/>
  <c r="L23" i="1" s="1"/>
  <c r="K23" i="1"/>
  <c r="I7" i="1"/>
  <c r="L7" i="1" s="1"/>
  <c r="I10" i="1"/>
  <c r="L10" i="1" s="1"/>
  <c r="I17" i="1"/>
  <c r="L17" i="1" s="1"/>
  <c r="I24" i="1"/>
  <c r="L24" i="1" s="1"/>
  <c r="K10" i="1"/>
  <c r="K24" i="1"/>
  <c r="I15" i="1"/>
  <c r="L15" i="1" s="1"/>
  <c r="I11" i="1"/>
  <c r="L11" i="1" s="1"/>
  <c r="I25" i="1"/>
  <c r="L25" i="1" s="1"/>
  <c r="K25" i="1"/>
  <c r="I12" i="1"/>
  <c r="L12" i="1" s="1"/>
  <c r="I26" i="1"/>
  <c r="L26" i="1" s="1"/>
  <c r="K12" i="1"/>
  <c r="K26" i="1"/>
  <c r="I27" i="1"/>
  <c r="L27" i="1" s="1"/>
  <c r="I20" i="1"/>
  <c r="L20" i="1" s="1"/>
  <c r="K20" i="1"/>
  <c r="K27" i="1"/>
  <c r="I13" i="1"/>
  <c r="L13" i="1" s="1"/>
  <c r="J12" i="2"/>
  <c r="M12" i="2" s="1"/>
  <c r="J20" i="2"/>
  <c r="M20" i="2" s="1"/>
  <c r="L8" i="2"/>
  <c r="L12" i="2"/>
  <c r="L16" i="2"/>
  <c r="J13" i="2"/>
  <c r="M13" i="2" s="1"/>
  <c r="J6" i="2"/>
  <c r="M6" i="2" s="1"/>
  <c r="J14" i="2"/>
  <c r="M14" i="2" s="1"/>
  <c r="L17" i="2"/>
  <c r="J7" i="2"/>
  <c r="M7" i="2" s="1"/>
  <c r="J26" i="2"/>
  <c r="L6" i="2"/>
  <c r="L10" i="2"/>
  <c r="L14" i="2"/>
  <c r="F13" i="4"/>
  <c r="G13" i="4"/>
  <c r="J13" i="1"/>
  <c r="H16" i="1"/>
  <c r="H6" i="1"/>
  <c r="H9" i="1"/>
  <c r="J8" i="1"/>
  <c r="H19" i="1"/>
  <c r="J7" i="1"/>
  <c r="H14" i="5"/>
  <c r="I7" i="5"/>
  <c r="K11" i="5"/>
  <c r="K6" i="5"/>
  <c r="K10" i="5"/>
  <c r="J9" i="4"/>
  <c r="H8" i="4"/>
  <c r="H12" i="4"/>
  <c r="H7" i="4"/>
  <c r="H11" i="4"/>
  <c r="H6" i="4"/>
  <c r="H10" i="4"/>
  <c r="I9" i="2"/>
  <c r="K17" i="2"/>
  <c r="I21" i="2"/>
  <c r="I22" i="2"/>
  <c r="K23" i="2"/>
  <c r="K20" i="2"/>
  <c r="K19" i="2"/>
  <c r="K18" i="2"/>
  <c r="K16" i="2"/>
  <c r="K15" i="2"/>
  <c r="J22" i="1"/>
  <c r="J21" i="1"/>
  <c r="J18" i="1"/>
  <c r="J17" i="1"/>
  <c r="J15" i="1"/>
  <c r="J14" i="1"/>
  <c r="J11" i="1"/>
  <c r="G28" i="1"/>
  <c r="K13" i="2"/>
  <c r="K11" i="2"/>
  <c r="K8" i="2"/>
  <c r="F28" i="1"/>
  <c r="J16" i="6" l="1"/>
  <c r="K7" i="5"/>
  <c r="L7" i="5"/>
  <c r="L14" i="5" s="1"/>
  <c r="J7" i="5"/>
  <c r="K16" i="6"/>
  <c r="L10" i="6"/>
  <c r="I16" i="6"/>
  <c r="L6" i="6"/>
  <c r="K19" i="1"/>
  <c r="I19" i="1"/>
  <c r="L19" i="1" s="1"/>
  <c r="K9" i="1"/>
  <c r="I9" i="1"/>
  <c r="L9" i="1" s="1"/>
  <c r="K6" i="1"/>
  <c r="I6" i="1"/>
  <c r="K16" i="1"/>
  <c r="I16" i="1"/>
  <c r="L16" i="1" s="1"/>
  <c r="J9" i="1"/>
  <c r="K22" i="2"/>
  <c r="L22" i="2"/>
  <c r="J22" i="2"/>
  <c r="M22" i="2" s="1"/>
  <c r="K9" i="2"/>
  <c r="J9" i="2"/>
  <c r="M9" i="2" s="1"/>
  <c r="L9" i="2"/>
  <c r="K21" i="2"/>
  <c r="L21" i="2"/>
  <c r="J21" i="2"/>
  <c r="M21" i="2" s="1"/>
  <c r="I7" i="4"/>
  <c r="L7" i="4" s="1"/>
  <c r="K7" i="4"/>
  <c r="H13" i="4"/>
  <c r="K6" i="4"/>
  <c r="I6" i="4"/>
  <c r="K11" i="4"/>
  <c r="I11" i="4"/>
  <c r="L11" i="4" s="1"/>
  <c r="I12" i="4"/>
  <c r="L12" i="4" s="1"/>
  <c r="K12" i="4"/>
  <c r="I8" i="4"/>
  <c r="L8" i="4" s="1"/>
  <c r="K8" i="4"/>
  <c r="I10" i="4"/>
  <c r="L10" i="4" s="1"/>
  <c r="K10" i="4"/>
  <c r="J19" i="1"/>
  <c r="J16" i="1"/>
  <c r="J6" i="1"/>
  <c r="H28" i="1"/>
  <c r="J28" i="1" s="1"/>
  <c r="I14" i="5"/>
  <c r="K14" i="5" s="1"/>
  <c r="K12" i="5"/>
  <c r="K8" i="5"/>
  <c r="J12" i="4"/>
  <c r="J10" i="4"/>
  <c r="J7" i="4"/>
  <c r="J8" i="4"/>
  <c r="J11" i="4"/>
  <c r="J6" i="4"/>
  <c r="J13" i="4"/>
  <c r="M26" i="2" l="1"/>
  <c r="K13" i="4"/>
  <c r="M7" i="5"/>
  <c r="M14" i="5" s="1"/>
  <c r="J14" i="5"/>
  <c r="L26" i="2"/>
  <c r="L16" i="6"/>
  <c r="K28" i="1"/>
  <c r="L6" i="1"/>
  <c r="L28" i="1" s="1"/>
  <c r="I28" i="1"/>
  <c r="L6" i="4"/>
  <c r="I13" i="4"/>
  <c r="L13" i="4"/>
</calcChain>
</file>

<file path=xl/sharedStrings.xml><?xml version="1.0" encoding="utf-8"?>
<sst xmlns="http://schemas.openxmlformats.org/spreadsheetml/2006/main" count="271" uniqueCount="146">
  <si>
    <t>KODE CUST</t>
  </si>
  <si>
    <t>CUSTOMER</t>
  </si>
  <si>
    <t>11. NOV</t>
  </si>
  <si>
    <t>12. DEC</t>
  </si>
  <si>
    <t>01. JAN</t>
  </si>
  <si>
    <t>BDG-0121-GT</t>
  </si>
  <si>
    <t>PRIBADI SHOP</t>
  </si>
  <si>
    <t>BDG-1103-GT</t>
  </si>
  <si>
    <t>IDEALISTINA</t>
  </si>
  <si>
    <t>BDG-1111-GT</t>
  </si>
  <si>
    <t>MARGA JASA MEKAR</t>
  </si>
  <si>
    <t>BDG-1123-GT</t>
  </si>
  <si>
    <t>CV INOVASI CANTIK INDONUSA</t>
  </si>
  <si>
    <t>BDG-1124-GT</t>
  </si>
  <si>
    <t>TOKO RAMA SINTA</t>
  </si>
  <si>
    <t>BDG-1145-GT</t>
  </si>
  <si>
    <t>TOKO UKI KURNIA</t>
  </si>
  <si>
    <t>BDG-1155-GT</t>
  </si>
  <si>
    <t>ELYSIA INDONESIA PRATAMA</t>
  </si>
  <si>
    <t>BDG-1162-GT</t>
  </si>
  <si>
    <t>MAKEUPPUCINO</t>
  </si>
  <si>
    <t>BDG-1199-GT</t>
  </si>
  <si>
    <t>AZELIA STORE</t>
  </si>
  <si>
    <t>BDG-1234-GT</t>
  </si>
  <si>
    <t>HEARTWARMER</t>
  </si>
  <si>
    <t>BDG-1270-GT</t>
  </si>
  <si>
    <t>TOKO YASMIN II (SHAQUEENA)</t>
  </si>
  <si>
    <t>BDG-1289-GT</t>
  </si>
  <si>
    <t>TOKO SHOPYANS</t>
  </si>
  <si>
    <t>BDG-1298-GT</t>
  </si>
  <si>
    <t>LILY PRATAMA</t>
  </si>
  <si>
    <t>BDG-1407-GT</t>
  </si>
  <si>
    <t>XAVIER SHOP</t>
  </si>
  <si>
    <t>PWK-0087-GT</t>
  </si>
  <si>
    <t>QUEEN KOSMETIK</t>
  </si>
  <si>
    <t>SBG-0153-GT</t>
  </si>
  <si>
    <t>ANANTA KOSMETIK</t>
  </si>
  <si>
    <t>SBG-0155-GT</t>
  </si>
  <si>
    <t>SINDANG RASA PUTRA</t>
  </si>
  <si>
    <t>SBG-0179-GT</t>
  </si>
  <si>
    <t>TOKO CANTIK</t>
  </si>
  <si>
    <t>SBG-1144-GT</t>
  </si>
  <si>
    <t>AIRA KOSMETIK</t>
  </si>
  <si>
    <t>SMD-0117-GT</t>
  </si>
  <si>
    <t>FITRI ANDANI</t>
  </si>
  <si>
    <t>SMD-0120-GT</t>
  </si>
  <si>
    <t>CV YASMIN BEAUTY</t>
  </si>
  <si>
    <t>SMD-0123-GT</t>
  </si>
  <si>
    <t>ARFA SHOP</t>
  </si>
  <si>
    <t>Grand Total</t>
  </si>
  <si>
    <t>C3087</t>
  </si>
  <si>
    <t>SUGENG PRIHATIN, TK</t>
  </si>
  <si>
    <t>SERBA ADA CIREBON</t>
  </si>
  <si>
    <t>C0003</t>
  </si>
  <si>
    <t>DAUN INDAH, TK</t>
  </si>
  <si>
    <t>MATANU,Tk</t>
  </si>
  <si>
    <t>JESSICA COSMETIK</t>
  </si>
  <si>
    <t>C0005</t>
  </si>
  <si>
    <t>CV. DELIA SUKSES MULIA</t>
  </si>
  <si>
    <t>C0062</t>
  </si>
  <si>
    <t>SURYA TOKOKU</t>
  </si>
  <si>
    <t>C0118</t>
  </si>
  <si>
    <t>3 DEWI, MM</t>
  </si>
  <si>
    <t>C3009</t>
  </si>
  <si>
    <t>BEAUTY COSMETIC</t>
  </si>
  <si>
    <t>DUDUNG COSMETIK,TK</t>
  </si>
  <si>
    <t>SINAR KOSMETIK, TK Kuningan</t>
  </si>
  <si>
    <t>RIBKA, TK</t>
  </si>
  <si>
    <t>TUKUO COSMETIK</t>
  </si>
  <si>
    <t>PINNATA STORE</t>
  </si>
  <si>
    <t>VALLYN, TK</t>
  </si>
  <si>
    <t>CHRISTINE COLLECTION, TK, patrol</t>
  </si>
  <si>
    <t>YUMI, TK Talun</t>
  </si>
  <si>
    <t>C6038</t>
  </si>
  <si>
    <t>PUTRA AFIAT, TK Cikijing</t>
  </si>
  <si>
    <t>TOTAL</t>
  </si>
  <si>
    <t>AVERAGE</t>
  </si>
  <si>
    <t>TARGET</t>
  </si>
  <si>
    <t>GR</t>
  </si>
  <si>
    <t>TARGET HET</t>
  </si>
  <si>
    <t>TARGET HET 3 BULAN</t>
  </si>
  <si>
    <t>TARGET DPP</t>
  </si>
  <si>
    <t>TARGET DPP 3 BULAN</t>
  </si>
  <si>
    <t>A010247</t>
  </si>
  <si>
    <t>TK PELANGI KOSMETIK</t>
  </si>
  <si>
    <t>H0001</t>
  </si>
  <si>
    <t>WILSHA</t>
  </si>
  <si>
    <t>H0002</t>
  </si>
  <si>
    <t>AL-MAIRA</t>
  </si>
  <si>
    <t>H0003</t>
  </si>
  <si>
    <t>CV AGUNG</t>
  </si>
  <si>
    <t>A010120</t>
  </si>
  <si>
    <t>TK ISMA KOSMETIK</t>
  </si>
  <si>
    <t>A09181</t>
  </si>
  <si>
    <t xml:space="preserve">TK. PARAHYANGAN </t>
  </si>
  <si>
    <t>A010702</t>
  </si>
  <si>
    <t>DESI KOSMETIK</t>
  </si>
  <si>
    <t>KTT COSMETIC</t>
  </si>
  <si>
    <t>BFS KOSMETIK</t>
  </si>
  <si>
    <t>MUARA COSMETIC</t>
  </si>
  <si>
    <t>SEMPANA COSMETIC</t>
  </si>
  <si>
    <t>ANUGRAH JAYA LESTARI</t>
  </si>
  <si>
    <t>TOKO MUARA KOSMETIK BANJAR</t>
  </si>
  <si>
    <t>LAWANG SEHAT</t>
  </si>
  <si>
    <t>CASHBACK GARUT</t>
  </si>
  <si>
    <t>CASHBACK CIREBON</t>
  </si>
  <si>
    <t>CASHBACK BANDUNG</t>
  </si>
  <si>
    <t>TARGET 3 BULAN HET</t>
  </si>
  <si>
    <t>CASHBACK SUKABUMI</t>
  </si>
  <si>
    <t>CASHBACK TASIKMALAYA</t>
  </si>
  <si>
    <t>TS4052</t>
  </si>
  <si>
    <t>MHS000894</t>
  </si>
  <si>
    <t>MHS001076</t>
  </si>
  <si>
    <t>TS4054</t>
  </si>
  <si>
    <t>HMS003032</t>
  </si>
  <si>
    <t>HMS003360</t>
  </si>
  <si>
    <t>MHS000585</t>
  </si>
  <si>
    <t>NYANTAI.TOKO</t>
  </si>
  <si>
    <t>VALIDASI ADMIN SALES</t>
  </si>
  <si>
    <t>12. DES</t>
  </si>
  <si>
    <t>AVG</t>
  </si>
  <si>
    <t>Growth</t>
  </si>
  <si>
    <t>Target/bulan HET</t>
  </si>
  <si>
    <t>Target 3 bulan HET</t>
  </si>
  <si>
    <t>Target/bulan DPP</t>
  </si>
  <si>
    <t>Target 3 bulan DPP</t>
  </si>
  <si>
    <t>semua dibawah 20juta</t>
  </si>
  <si>
    <t>GT</t>
  </si>
  <si>
    <t>MT</t>
  </si>
  <si>
    <t>C1785</t>
  </si>
  <si>
    <t>ASIA TRITUNGGAL JAYA,  PT</t>
  </si>
  <si>
    <t>UD PUTRA TS</t>
  </si>
  <si>
    <t>average dibawah 20JT</t>
  </si>
  <si>
    <t>SINGAPARNA PLAZA</t>
  </si>
  <si>
    <t>channel</t>
  </si>
  <si>
    <t>CV. KAWAIDOLLSHOP KARYA UTAMA</t>
  </si>
  <si>
    <t>CAHAYA SUKSES SEJAHTERA</t>
  </si>
  <si>
    <t>MEGAH JAYA TOKO</t>
  </si>
  <si>
    <t>SANYA</t>
  </si>
  <si>
    <t>YENI GO SHOP</t>
  </si>
  <si>
    <t>KHAIRA BABY SHOP CIANJUR</t>
  </si>
  <si>
    <t>RUMAH KADO</t>
  </si>
  <si>
    <t>MJN1239867</t>
  </si>
  <si>
    <t>INARA KOSMETIK</t>
  </si>
  <si>
    <t>TS4094</t>
  </si>
  <si>
    <t>AVOLLSHOP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</si>
</sst>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58">
    <xf numFmtId="0" fontId="0" fillId="0" borderId="0" xfId="0"/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166" fontId="0" fillId="0" borderId="1" xfId="0" applyNumberFormat="1" applyBorder="1"/>
    <xf numFmtId="166" fontId="2" fillId="5" borderId="1" xfId="0" applyNumberFormat="1" applyFont="1" applyFill="1" applyBorder="1"/>
    <xf numFmtId="0" fontId="2" fillId="5" borderId="1" xfId="0" applyFont="1" applyFill="1" applyBorder="1"/>
    <xf numFmtId="0" fontId="3" fillId="2" borderId="1" xfId="0" applyFont="1" applyFill="1" applyBorder="1" applyAlignment="1">
      <alignment horizontal="center"/>
    </xf>
    <xf numFmtId="166" fontId="3" fillId="7" borderId="1" xfId="0" applyNumberFormat="1" applyFont="1" applyFill="1" applyBorder="1"/>
    <xf numFmtId="166" fontId="3" fillId="8" borderId="1" xfId="0" applyNumberFormat="1" applyFont="1" applyFill="1" applyBorder="1"/>
    <xf numFmtId="166" fontId="3" fillId="9" borderId="1" xfId="0" applyNumberFormat="1" applyFont="1" applyFill="1" applyBorder="1"/>
    <xf numFmtId="166" fontId="2" fillId="6" borderId="1" xfId="0" applyNumberFormat="1" applyFont="1" applyFill="1" applyBorder="1"/>
    <xf numFmtId="0" fontId="3" fillId="4" borderId="2" xfId="0" applyFont="1" applyFill="1" applyBorder="1" applyAlignment="1">
      <alignment horizontal="center"/>
    </xf>
    <xf numFmtId="9" fontId="0" fillId="0" borderId="1" xfId="2" applyFont="1" applyBorder="1"/>
    <xf numFmtId="9" fontId="2" fillId="6" borderId="1" xfId="2" applyFont="1" applyFill="1" applyBorder="1"/>
    <xf numFmtId="166" fontId="0" fillId="0" borderId="1" xfId="1" applyNumberFormat="1" applyFont="1" applyBorder="1"/>
    <xf numFmtId="166" fontId="3" fillId="3" borderId="1" xfId="0" applyNumberFormat="1" applyFont="1" applyFill="1" applyBorder="1"/>
    <xf numFmtId="164" fontId="3" fillId="0" borderId="0" xfId="0" applyNumberFormat="1" applyFont="1"/>
    <xf numFmtId="166" fontId="1" fillId="3" borderId="1" xfId="4" applyNumberFormat="1" applyFont="1" applyFill="1" applyBorder="1" applyAlignment="1">
      <alignment horizontal="center" vertical="center"/>
    </xf>
    <xf numFmtId="0" fontId="1" fillId="3" borderId="1" xfId="3" applyFill="1" applyBorder="1" applyAlignment="1">
      <alignment horizontal="center" vertical="center"/>
    </xf>
    <xf numFmtId="166" fontId="1" fillId="3" borderId="3" xfId="4" applyNumberFormat="1" applyFont="1" applyFill="1" applyBorder="1" applyAlignment="1">
      <alignment horizontal="center" vertical="center"/>
    </xf>
    <xf numFmtId="166" fontId="6" fillId="0" borderId="1" xfId="4" applyNumberFormat="1" applyFont="1" applyBorder="1"/>
    <xf numFmtId="0" fontId="0" fillId="6" borderId="0" xfId="0" applyFill="1"/>
    <xf numFmtId="166" fontId="2" fillId="5" borderId="1" xfId="1" applyNumberFormat="1" applyFont="1" applyFill="1" applyBorder="1"/>
    <xf numFmtId="166" fontId="2" fillId="6" borderId="1" xfId="1" applyNumberFormat="1" applyFont="1" applyFill="1" applyBorder="1"/>
    <xf numFmtId="0" fontId="3" fillId="10" borderId="1" xfId="0" applyFont="1" applyFill="1" applyBorder="1"/>
    <xf numFmtId="0" fontId="0" fillId="10" borderId="1" xfId="0" applyFill="1" applyBorder="1"/>
    <xf numFmtId="166" fontId="0" fillId="10" borderId="1" xfId="0" applyNumberFormat="1" applyFill="1" applyBorder="1"/>
    <xf numFmtId="166" fontId="3" fillId="10" borderId="1" xfId="0" applyNumberFormat="1" applyFont="1" applyFill="1" applyBorder="1"/>
    <xf numFmtId="9" fontId="0" fillId="10" borderId="1" xfId="2" applyFont="1" applyFill="1" applyBorder="1"/>
    <xf numFmtId="166" fontId="0" fillId="10" borderId="1" xfId="1" applyNumberFormat="1" applyFont="1" applyFill="1" applyBorder="1"/>
    <xf numFmtId="166" fontId="6" fillId="10" borderId="1" xfId="4" applyNumberFormat="1" applyFont="1" applyFill="1" applyBorder="1"/>
    <xf numFmtId="0" fontId="0" fillId="10" borderId="0" xfId="0" applyFill="1"/>
    <xf numFmtId="166" fontId="0" fillId="0" borderId="0" xfId="1" applyNumberFormat="1" applyFont="1" applyBorder="1"/>
    <xf numFmtId="0" fontId="8" fillId="10" borderId="1" xfId="0" applyFont="1" applyFill="1" applyBorder="1"/>
    <xf numFmtId="0" fontId="7" fillId="10" borderId="1" xfId="0" applyFont="1" applyFill="1" applyBorder="1"/>
    <xf numFmtId="166" fontId="7" fillId="10" borderId="1" xfId="1" applyNumberFormat="1" applyFont="1" applyFill="1" applyBorder="1"/>
    <xf numFmtId="166" fontId="8" fillId="10" borderId="1" xfId="0" applyNumberFormat="1" applyFont="1" applyFill="1" applyBorder="1"/>
    <xf numFmtId="9" fontId="7" fillId="10" borderId="1" xfId="2" applyFont="1" applyFill="1" applyBorder="1"/>
    <xf numFmtId="166" fontId="7" fillId="10" borderId="1" xfId="0" applyNumberFormat="1" applyFont="1" applyFill="1" applyBorder="1"/>
    <xf numFmtId="166" fontId="9" fillId="10" borderId="1" xfId="4" applyNumberFormat="1" applyFont="1" applyFill="1" applyBorder="1"/>
    <xf numFmtId="0" fontId="7" fillId="10" borderId="0" xfId="0" applyFont="1" applyFill="1"/>
    <xf numFmtId="0" fontId="3" fillId="3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0" fillId="0" borderId="1" xfId="0" applyFont="1" applyFill="1" applyBorder="1"/>
    <xf numFmtId="166" fontId="10" fillId="0" borderId="1" xfId="1" applyNumberFormat="1" applyFont="1" applyFill="1" applyBorder="1"/>
    <xf numFmtId="166" fontId="11" fillId="0" borderId="1" xfId="0" applyNumberFormat="1" applyFont="1" applyFill="1" applyBorder="1"/>
    <xf numFmtId="9" fontId="10" fillId="0" borderId="1" xfId="2" applyFont="1" applyFill="1" applyBorder="1"/>
    <xf numFmtId="166" fontId="10" fillId="0" borderId="1" xfId="0" applyNumberFormat="1" applyFont="1" applyFill="1" applyBorder="1"/>
    <xf numFmtId="166" fontId="12" fillId="0" borderId="1" xfId="4" applyNumberFormat="1" applyFont="1" applyFill="1" applyBorder="1"/>
    <xf numFmtId="0" fontId="10" fillId="0" borderId="0" xfId="0" applyFont="1" applyFill="1"/>
  </cellXfs>
  <cellStyles count="5">
    <cellStyle name="Comma" xfId="1" builtinId="3"/>
    <cellStyle name="Comma 2" xfId="4" xr:uid="{EC85F872-7B0E-4067-A979-5FA6636D18B2}"/>
    <cellStyle name="Normal" xfId="0" builtinId="0"/>
    <cellStyle name="Normal 8 2" xfId="3" xr:uid="{6D660E26-A4F6-4784-8A15-D8D879224E3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20A2-2CD8-477D-AD5D-8136040C8C49}">
  <sheetPr>
    <pageSetUpPr fitToPage="1"/>
  </sheetPr>
  <dimension ref="A1:U28"/>
  <sheetViews>
    <sheetView topLeftCell="A16" workbookViewId="0">
      <selection activeCell="U28" sqref="A1:U28"/>
    </sheetView>
  </sheetViews>
  <sheetFormatPr defaultRowHeight="14.4" x14ac:dyDescent="0.3"/>
  <cols>
    <col min="1" max="1" width="12.6640625" bestFit="1" customWidth="1"/>
    <col min="2" max="2" width="38.44140625" bestFit="1" customWidth="1"/>
    <col min="3" max="5" width="16.6640625" hidden="1" customWidth="1"/>
    <col min="6" max="6" width="17.77734375" hidden="1" customWidth="1"/>
    <col min="7" max="8" width="16.6640625" hidden="1" customWidth="1"/>
    <col min="9" max="9" width="19.21875" hidden="1" customWidth="1"/>
    <col min="10" max="10" width="9" hidden="1" customWidth="1"/>
    <col min="11" max="11" width="16.6640625" hidden="1" customWidth="1"/>
    <col min="12" max="12" width="19.44140625" hidden="1" customWidth="1"/>
    <col min="13" max="13" width="16.33203125" bestFit="1" customWidth="1"/>
    <col min="14" max="16" width="14.88671875" bestFit="1" customWidth="1"/>
    <col min="17" max="17" width="7.109375" bestFit="1" customWidth="1"/>
    <col min="18" max="18" width="16.5546875" bestFit="1" customWidth="1"/>
    <col min="19" max="19" width="17.77734375" bestFit="1" customWidth="1"/>
    <col min="20" max="20" width="16.5546875" bestFit="1" customWidth="1"/>
    <col min="21" max="21" width="17.77734375" bestFit="1" customWidth="1"/>
  </cols>
  <sheetData>
    <row r="1" spans="1:21" ht="14.7" customHeight="1" x14ac:dyDescent="0.3">
      <c r="A1" s="43" t="s">
        <v>106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21" ht="14.7" customHeight="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spans="1:21" ht="18" x14ac:dyDescent="0.35">
      <c r="C4" s="42">
        <v>2024</v>
      </c>
      <c r="D4" s="42"/>
      <c r="E4" s="12">
        <v>2025</v>
      </c>
      <c r="M4" s="44" t="s">
        <v>118</v>
      </c>
      <c r="N4" s="44"/>
      <c r="O4" s="44"/>
      <c r="P4" s="44"/>
      <c r="Q4" s="44"/>
      <c r="R4" s="44"/>
      <c r="S4" s="44"/>
      <c r="T4" s="44"/>
      <c r="U4" s="44"/>
    </row>
    <row r="5" spans="1:21" x14ac:dyDescent="0.3">
      <c r="A5" s="1" t="s">
        <v>0</v>
      </c>
      <c r="B5" s="1" t="s">
        <v>1</v>
      </c>
      <c r="C5" s="7" t="s">
        <v>2</v>
      </c>
      <c r="D5" s="7" t="s">
        <v>3</v>
      </c>
      <c r="E5" s="7" t="s">
        <v>4</v>
      </c>
      <c r="F5" s="7" t="s">
        <v>75</v>
      </c>
      <c r="G5" s="7" t="s">
        <v>76</v>
      </c>
      <c r="H5" s="7" t="s">
        <v>77</v>
      </c>
      <c r="I5" s="7" t="s">
        <v>80</v>
      </c>
      <c r="J5" s="7" t="s">
        <v>78</v>
      </c>
      <c r="K5" s="7" t="s">
        <v>81</v>
      </c>
      <c r="L5" s="7" t="s">
        <v>82</v>
      </c>
      <c r="M5" s="18" t="s">
        <v>2</v>
      </c>
      <c r="N5" s="18" t="s">
        <v>119</v>
      </c>
      <c r="O5" s="18" t="s">
        <v>4</v>
      </c>
      <c r="P5" s="18" t="s">
        <v>120</v>
      </c>
      <c r="Q5" s="19" t="s">
        <v>121</v>
      </c>
      <c r="R5" s="18" t="s">
        <v>122</v>
      </c>
      <c r="S5" s="18" t="s">
        <v>123</v>
      </c>
      <c r="T5" s="18" t="s">
        <v>124</v>
      </c>
      <c r="U5" s="20" t="s">
        <v>125</v>
      </c>
    </row>
    <row r="6" spans="1:21" x14ac:dyDescent="0.3">
      <c r="A6" s="2" t="s">
        <v>17</v>
      </c>
      <c r="B6" s="3" t="s">
        <v>18</v>
      </c>
      <c r="C6" s="4">
        <v>1248121676.818182</v>
      </c>
      <c r="D6" s="4">
        <v>799451356.09090996</v>
      </c>
      <c r="E6" s="4">
        <v>284324501.45454538</v>
      </c>
      <c r="F6" s="8">
        <f t="shared" ref="F6:F27" si="0">SUM(C6:E6)</f>
        <v>2331897534.3636374</v>
      </c>
      <c r="G6" s="9">
        <f t="shared" ref="G6:G27" si="1">AVERAGE(C6:E6)</f>
        <v>777299178.12121248</v>
      </c>
      <c r="H6" s="10">
        <f>G6*115%</f>
        <v>893894054.83939433</v>
      </c>
      <c r="I6" s="10">
        <f t="shared" ref="I6:I26" si="2">H6*3</f>
        <v>2681682164.5181828</v>
      </c>
      <c r="J6" s="13">
        <f t="shared" ref="J6:J27" si="3">H6/G6-1</f>
        <v>0.14999999999999991</v>
      </c>
      <c r="K6" s="4">
        <f>H6/1.11</f>
        <v>805309959.31476963</v>
      </c>
      <c r="L6" s="4">
        <f>I6/1.11</f>
        <v>2415929877.9443088</v>
      </c>
      <c r="M6" s="15">
        <v>1248121676.8181827</v>
      </c>
      <c r="N6" s="15">
        <v>799451356.09090996</v>
      </c>
      <c r="O6" s="15">
        <v>284324501.45454538</v>
      </c>
      <c r="P6" s="15">
        <f>AVERAGE(M6:O6)</f>
        <v>777299178.1212126</v>
      </c>
      <c r="Q6" s="13">
        <v>0.14999999999999991</v>
      </c>
      <c r="R6" s="21">
        <f>P6+(P6*Q6)</f>
        <v>893894054.83939445</v>
      </c>
      <c r="S6" s="21">
        <f t="shared" ref="S6:S27" si="4">R6*3</f>
        <v>2681682164.5181832</v>
      </c>
      <c r="T6" s="21">
        <f t="shared" ref="T6:T27" si="5">R6/1.11</f>
        <v>805309959.31476974</v>
      </c>
      <c r="U6" s="21">
        <f t="shared" ref="U6" si="6">S6/1.11</f>
        <v>2415929877.9443092</v>
      </c>
    </row>
    <row r="7" spans="1:21" x14ac:dyDescent="0.3">
      <c r="A7" s="2" t="s">
        <v>45</v>
      </c>
      <c r="B7" s="3" t="s">
        <v>46</v>
      </c>
      <c r="C7" s="4">
        <v>425685808.18181813</v>
      </c>
      <c r="D7" s="4">
        <v>615477991.36363685</v>
      </c>
      <c r="E7" s="4">
        <v>521046082.54545456</v>
      </c>
      <c r="F7" s="8">
        <f t="shared" si="0"/>
        <v>1562209882.0909095</v>
      </c>
      <c r="G7" s="9">
        <f t="shared" si="1"/>
        <v>520736627.36363649</v>
      </c>
      <c r="H7" s="10">
        <f>G7*115%</f>
        <v>598847121.46818197</v>
      </c>
      <c r="I7" s="10">
        <f t="shared" si="2"/>
        <v>1796541364.4045458</v>
      </c>
      <c r="J7" s="13">
        <f t="shared" si="3"/>
        <v>0.14999999999999991</v>
      </c>
      <c r="K7" s="4">
        <f t="shared" ref="K7:K27" si="7">H7/1.11</f>
        <v>539501911.23259628</v>
      </c>
      <c r="L7" s="4">
        <f t="shared" ref="L7:L27" si="8">I7/1.11</f>
        <v>1618505733.697789</v>
      </c>
      <c r="M7" s="15">
        <v>425091808.18181807</v>
      </c>
      <c r="N7" s="15">
        <v>615477991.36363685</v>
      </c>
      <c r="O7" s="15">
        <v>521046082.54545468</v>
      </c>
      <c r="P7" s="15">
        <f t="shared" ref="P7:P27" si="9">AVERAGE(M7:O7)</f>
        <v>520538627.36363655</v>
      </c>
      <c r="Q7" s="13">
        <v>0.14999999999999991</v>
      </c>
      <c r="R7" s="21">
        <f t="shared" ref="R7:R27" si="10">P7+(P7*Q7)</f>
        <v>598619421.46818197</v>
      </c>
      <c r="S7" s="21">
        <f t="shared" si="4"/>
        <v>1795858264.4045458</v>
      </c>
      <c r="T7" s="21">
        <f t="shared" si="5"/>
        <v>539296776.09746122</v>
      </c>
      <c r="U7" s="21">
        <f t="shared" ref="U7:U27" si="11">S7/1.11</f>
        <v>1617890328.2923834</v>
      </c>
    </row>
    <row r="8" spans="1:21" x14ac:dyDescent="0.3">
      <c r="A8" s="2" t="s">
        <v>11</v>
      </c>
      <c r="B8" s="3" t="s">
        <v>12</v>
      </c>
      <c r="C8" s="4">
        <v>589705692.45454514</v>
      </c>
      <c r="D8" s="4">
        <v>348788537.59090894</v>
      </c>
      <c r="E8" s="4">
        <v>327420431.54545438</v>
      </c>
      <c r="F8" s="8">
        <f t="shared" si="0"/>
        <v>1265914661.5909085</v>
      </c>
      <c r="G8" s="9">
        <f t="shared" si="1"/>
        <v>421971553.8636362</v>
      </c>
      <c r="H8" s="10">
        <f>G8*115%</f>
        <v>485267286.94318157</v>
      </c>
      <c r="I8" s="10">
        <f t="shared" si="2"/>
        <v>1455801860.8295448</v>
      </c>
      <c r="J8" s="13">
        <f t="shared" si="3"/>
        <v>0.14999999999999991</v>
      </c>
      <c r="K8" s="4">
        <f t="shared" si="7"/>
        <v>437177735.9848482</v>
      </c>
      <c r="L8" s="4">
        <f t="shared" si="8"/>
        <v>1311533207.9545448</v>
      </c>
      <c r="M8" s="15">
        <v>589705692.45454514</v>
      </c>
      <c r="N8" s="15">
        <v>348788537.59090894</v>
      </c>
      <c r="O8" s="15">
        <v>327420431.54545432</v>
      </c>
      <c r="P8" s="15">
        <f t="shared" si="9"/>
        <v>421971553.86363608</v>
      </c>
      <c r="Q8" s="13">
        <v>0.14999999999999991</v>
      </c>
      <c r="R8" s="21">
        <f t="shared" si="10"/>
        <v>485267286.94318146</v>
      </c>
      <c r="S8" s="21">
        <f t="shared" si="4"/>
        <v>1455801860.8295443</v>
      </c>
      <c r="T8" s="21">
        <f t="shared" si="5"/>
        <v>437177735.98484814</v>
      </c>
      <c r="U8" s="21">
        <f t="shared" si="11"/>
        <v>1311533207.9545443</v>
      </c>
    </row>
    <row r="9" spans="1:21" x14ac:dyDescent="0.3">
      <c r="A9" s="2" t="s">
        <v>21</v>
      </c>
      <c r="B9" s="3" t="s">
        <v>22</v>
      </c>
      <c r="C9" s="4">
        <v>758970503.63636422</v>
      </c>
      <c r="D9" s="4">
        <v>56648787.272727273</v>
      </c>
      <c r="E9" s="4">
        <v>125023380.54545453</v>
      </c>
      <c r="F9" s="8">
        <f t="shared" si="0"/>
        <v>940642671.45454597</v>
      </c>
      <c r="G9" s="9">
        <f t="shared" si="1"/>
        <v>313547557.15151531</v>
      </c>
      <c r="H9" s="10">
        <f>G9*115%</f>
        <v>360579690.72424257</v>
      </c>
      <c r="I9" s="10">
        <f t="shared" si="2"/>
        <v>1081739072.1727276</v>
      </c>
      <c r="J9" s="13">
        <f t="shared" si="3"/>
        <v>0.14999999999999991</v>
      </c>
      <c r="K9" s="4">
        <f t="shared" si="7"/>
        <v>324846568.22003829</v>
      </c>
      <c r="L9" s="4">
        <f t="shared" si="8"/>
        <v>974539704.66011488</v>
      </c>
      <c r="M9" s="15">
        <v>758970503.63636422</v>
      </c>
      <c r="N9" s="15">
        <v>56648787.272727273</v>
      </c>
      <c r="O9" s="15">
        <v>125023380.54545455</v>
      </c>
      <c r="P9" s="15">
        <f t="shared" si="9"/>
        <v>313547557.15151531</v>
      </c>
      <c r="Q9" s="13">
        <v>0.14999999999999991</v>
      </c>
      <c r="R9" s="21">
        <f t="shared" si="10"/>
        <v>360579690.72424257</v>
      </c>
      <c r="S9" s="21">
        <f t="shared" si="4"/>
        <v>1081739072.1727276</v>
      </c>
      <c r="T9" s="21">
        <f t="shared" si="5"/>
        <v>324846568.22003829</v>
      </c>
      <c r="U9" s="21">
        <f t="shared" si="11"/>
        <v>974539704.66011488</v>
      </c>
    </row>
    <row r="10" spans="1:21" x14ac:dyDescent="0.3">
      <c r="A10" s="2" t="s">
        <v>35</v>
      </c>
      <c r="B10" s="3" t="s">
        <v>36</v>
      </c>
      <c r="C10" s="4">
        <v>287558890.90909088</v>
      </c>
      <c r="D10" s="4">
        <v>62485305.272727281</v>
      </c>
      <c r="E10" s="4">
        <v>553084903.63636374</v>
      </c>
      <c r="F10" s="8">
        <f t="shared" si="0"/>
        <v>903129099.81818187</v>
      </c>
      <c r="G10" s="9">
        <f t="shared" si="1"/>
        <v>301043033.27272731</v>
      </c>
      <c r="H10" s="10">
        <f t="shared" ref="H10:H27" si="12">G10*110%</f>
        <v>331147336.60000008</v>
      </c>
      <c r="I10" s="10">
        <f t="shared" si="2"/>
        <v>993442009.80000019</v>
      </c>
      <c r="J10" s="13">
        <f t="shared" si="3"/>
        <v>0.10000000000000009</v>
      </c>
      <c r="K10" s="4">
        <f t="shared" si="7"/>
        <v>298330933.87387395</v>
      </c>
      <c r="L10" s="4">
        <f t="shared" si="8"/>
        <v>894992801.62162173</v>
      </c>
      <c r="M10" s="15">
        <v>287558890.909091</v>
      </c>
      <c r="N10" s="15">
        <v>62485305.272727281</v>
      </c>
      <c r="O10" s="15">
        <v>553084903.63636339</v>
      </c>
      <c r="P10" s="15">
        <f t="shared" si="9"/>
        <v>301043033.27272719</v>
      </c>
      <c r="Q10" s="13">
        <v>0.10000000000000009</v>
      </c>
      <c r="R10" s="21">
        <f t="shared" si="10"/>
        <v>331147336.59999996</v>
      </c>
      <c r="S10" s="21">
        <f t="shared" si="4"/>
        <v>993442009.79999995</v>
      </c>
      <c r="T10" s="21">
        <f t="shared" si="5"/>
        <v>298330933.87387383</v>
      </c>
      <c r="U10" s="21">
        <f t="shared" si="11"/>
        <v>894992801.62162149</v>
      </c>
    </row>
    <row r="11" spans="1:21" x14ac:dyDescent="0.3">
      <c r="A11" s="2" t="s">
        <v>25</v>
      </c>
      <c r="B11" s="3" t="s">
        <v>26</v>
      </c>
      <c r="C11" s="4">
        <v>383594251</v>
      </c>
      <c r="D11" s="4">
        <v>150192038</v>
      </c>
      <c r="E11" s="4">
        <v>199390457.90909079</v>
      </c>
      <c r="F11" s="8">
        <f t="shared" si="0"/>
        <v>733176746.90909076</v>
      </c>
      <c r="G11" s="9">
        <f t="shared" si="1"/>
        <v>244392248.96969691</v>
      </c>
      <c r="H11" s="10">
        <f>G11*115%</f>
        <v>281051086.31515145</v>
      </c>
      <c r="I11" s="10">
        <f t="shared" si="2"/>
        <v>843153258.94545436</v>
      </c>
      <c r="J11" s="13">
        <f t="shared" si="3"/>
        <v>0.15000000000000013</v>
      </c>
      <c r="K11" s="4">
        <f t="shared" si="7"/>
        <v>253199176.86049679</v>
      </c>
      <c r="L11" s="4">
        <f t="shared" si="8"/>
        <v>759597530.5814904</v>
      </c>
      <c r="M11" s="15">
        <v>383594250.99999988</v>
      </c>
      <c r="N11" s="15">
        <v>150192038</v>
      </c>
      <c r="O11" s="15">
        <v>199390457.90909085</v>
      </c>
      <c r="P11" s="15">
        <f t="shared" si="9"/>
        <v>244392248.96969691</v>
      </c>
      <c r="Q11" s="13">
        <v>0.15000000000000013</v>
      </c>
      <c r="R11" s="21">
        <f t="shared" si="10"/>
        <v>281051086.31515145</v>
      </c>
      <c r="S11" s="21">
        <f t="shared" si="4"/>
        <v>843153258.94545436</v>
      </c>
      <c r="T11" s="21">
        <f t="shared" si="5"/>
        <v>253199176.86049679</v>
      </c>
      <c r="U11" s="21">
        <f t="shared" si="11"/>
        <v>759597530.5814904</v>
      </c>
    </row>
    <row r="12" spans="1:21" x14ac:dyDescent="0.3">
      <c r="A12" s="2" t="s">
        <v>31</v>
      </c>
      <c r="B12" s="3" t="s">
        <v>32</v>
      </c>
      <c r="C12" s="4">
        <v>222968225.45454544</v>
      </c>
      <c r="D12" s="4">
        <v>206749265.45454541</v>
      </c>
      <c r="E12" s="4">
        <v>151784445.81818181</v>
      </c>
      <c r="F12" s="8">
        <f t="shared" si="0"/>
        <v>581501936.72727275</v>
      </c>
      <c r="G12" s="9">
        <f t="shared" si="1"/>
        <v>193833978.90909091</v>
      </c>
      <c r="H12" s="10">
        <f t="shared" si="12"/>
        <v>213217376.80000001</v>
      </c>
      <c r="I12" s="10">
        <f t="shared" si="2"/>
        <v>639652130.4000001</v>
      </c>
      <c r="J12" s="13">
        <f t="shared" si="3"/>
        <v>0.10000000000000009</v>
      </c>
      <c r="K12" s="4">
        <f t="shared" si="7"/>
        <v>192087726.84684685</v>
      </c>
      <c r="L12" s="4">
        <f t="shared" si="8"/>
        <v>576263180.54054058</v>
      </c>
      <c r="M12" s="15">
        <v>222968225.45454544</v>
      </c>
      <c r="N12" s="15">
        <v>206749265.45454541</v>
      </c>
      <c r="O12" s="15">
        <v>151784445.81818181</v>
      </c>
      <c r="P12" s="15">
        <f t="shared" si="9"/>
        <v>193833978.90909091</v>
      </c>
      <c r="Q12" s="13">
        <v>0.10000000000000009</v>
      </c>
      <c r="R12" s="21">
        <f t="shared" si="10"/>
        <v>213217376.80000001</v>
      </c>
      <c r="S12" s="21">
        <f t="shared" si="4"/>
        <v>639652130.4000001</v>
      </c>
      <c r="T12" s="21">
        <f t="shared" si="5"/>
        <v>192087726.84684685</v>
      </c>
      <c r="U12" s="21">
        <f t="shared" si="11"/>
        <v>576263180.54054058</v>
      </c>
    </row>
    <row r="13" spans="1:21" x14ac:dyDescent="0.3">
      <c r="A13" s="2" t="s">
        <v>39</v>
      </c>
      <c r="B13" s="3" t="s">
        <v>40</v>
      </c>
      <c r="C13" s="4">
        <v>286410451.81818163</v>
      </c>
      <c r="D13" s="4">
        <v>30797636.181818187</v>
      </c>
      <c r="E13" s="4">
        <v>39601356.545454547</v>
      </c>
      <c r="F13" s="8">
        <f t="shared" si="0"/>
        <v>356809444.54545438</v>
      </c>
      <c r="G13" s="9">
        <f t="shared" si="1"/>
        <v>118936481.51515146</v>
      </c>
      <c r="H13" s="10">
        <f t="shared" ref="H13:H18" si="13">G13*115%</f>
        <v>136776953.74242416</v>
      </c>
      <c r="I13" s="10">
        <f t="shared" si="2"/>
        <v>410330861.22727251</v>
      </c>
      <c r="J13" s="13">
        <f t="shared" si="3"/>
        <v>0.14999999999999991</v>
      </c>
      <c r="K13" s="4">
        <f t="shared" si="7"/>
        <v>123222480.84903076</v>
      </c>
      <c r="L13" s="4">
        <f t="shared" si="8"/>
        <v>369667442.54709232</v>
      </c>
      <c r="M13" s="15">
        <v>286410451.81818151</v>
      </c>
      <c r="N13" s="15">
        <v>30797636.181818187</v>
      </c>
      <c r="O13" s="15">
        <v>39601356.545454554</v>
      </c>
      <c r="P13" s="15">
        <f t="shared" si="9"/>
        <v>118936481.51515143</v>
      </c>
      <c r="Q13" s="13">
        <v>0.14999999999999991</v>
      </c>
      <c r="R13" s="21">
        <f t="shared" si="10"/>
        <v>136776953.74242413</v>
      </c>
      <c r="S13" s="21">
        <f t="shared" si="4"/>
        <v>410330861.22727239</v>
      </c>
      <c r="T13" s="21">
        <f t="shared" si="5"/>
        <v>123222480.84903073</v>
      </c>
      <c r="U13" s="21">
        <f t="shared" si="11"/>
        <v>369667442.5470922</v>
      </c>
    </row>
    <row r="14" spans="1:21" x14ac:dyDescent="0.3">
      <c r="A14" s="2" t="s">
        <v>19</v>
      </c>
      <c r="B14" s="3" t="s">
        <v>20</v>
      </c>
      <c r="C14" s="4">
        <v>75113219.454545453</v>
      </c>
      <c r="D14" s="4">
        <v>115815422.59090908</v>
      </c>
      <c r="E14" s="4">
        <v>89204737.227272689</v>
      </c>
      <c r="F14" s="8">
        <f t="shared" si="0"/>
        <v>280133379.27272725</v>
      </c>
      <c r="G14" s="9">
        <f t="shared" si="1"/>
        <v>93377793.090909079</v>
      </c>
      <c r="H14" s="10">
        <f t="shared" si="13"/>
        <v>107384462.05454543</v>
      </c>
      <c r="I14" s="10">
        <f t="shared" si="2"/>
        <v>322153386.16363633</v>
      </c>
      <c r="J14" s="13">
        <f t="shared" si="3"/>
        <v>0.14999999999999991</v>
      </c>
      <c r="K14" s="4">
        <f t="shared" si="7"/>
        <v>96742758.607698575</v>
      </c>
      <c r="L14" s="4">
        <f t="shared" si="8"/>
        <v>290228275.82309574</v>
      </c>
      <c r="M14" s="15">
        <v>72737219.454545438</v>
      </c>
      <c r="N14" s="15">
        <v>114231422.59090909</v>
      </c>
      <c r="O14" s="15">
        <v>89204737.227272704</v>
      </c>
      <c r="P14" s="15">
        <f t="shared" si="9"/>
        <v>92057793.090909079</v>
      </c>
      <c r="Q14" s="13">
        <v>0.14999999999999991</v>
      </c>
      <c r="R14" s="21">
        <f t="shared" si="10"/>
        <v>105866462.05454543</v>
      </c>
      <c r="S14" s="21">
        <f t="shared" si="4"/>
        <v>317599386.16363633</v>
      </c>
      <c r="T14" s="21">
        <f t="shared" si="5"/>
        <v>95375191.040131018</v>
      </c>
      <c r="U14" s="21">
        <f t="shared" si="11"/>
        <v>286125573.12039304</v>
      </c>
    </row>
    <row r="15" spans="1:21" x14ac:dyDescent="0.3">
      <c r="A15" s="2" t="s">
        <v>9</v>
      </c>
      <c r="B15" s="3" t="s">
        <v>10</v>
      </c>
      <c r="C15" s="4">
        <v>239542567.09090877</v>
      </c>
      <c r="D15" s="4">
        <v>2100000</v>
      </c>
      <c r="E15" s="4">
        <v>32157268.363636363</v>
      </c>
      <c r="F15" s="8">
        <f t="shared" si="0"/>
        <v>273799835.45454514</v>
      </c>
      <c r="G15" s="9">
        <f t="shared" si="1"/>
        <v>91266611.818181708</v>
      </c>
      <c r="H15" s="10">
        <f t="shared" si="13"/>
        <v>104956603.59090896</v>
      </c>
      <c r="I15" s="10">
        <f t="shared" si="2"/>
        <v>314869810.77272689</v>
      </c>
      <c r="J15" s="13">
        <f t="shared" si="3"/>
        <v>0.14999999999999991</v>
      </c>
      <c r="K15" s="4">
        <f t="shared" si="7"/>
        <v>94555498.730548605</v>
      </c>
      <c r="L15" s="4">
        <f t="shared" si="8"/>
        <v>283666496.1916458</v>
      </c>
      <c r="M15" s="15">
        <v>239542567.0909088</v>
      </c>
      <c r="N15" s="15">
        <v>2100000</v>
      </c>
      <c r="O15" s="15">
        <v>32157268.363636363</v>
      </c>
      <c r="P15" s="15">
        <f t="shared" si="9"/>
        <v>91266611.818181708</v>
      </c>
      <c r="Q15" s="13">
        <v>0.14999999999999991</v>
      </c>
      <c r="R15" s="21">
        <f t="shared" si="10"/>
        <v>104956603.59090896</v>
      </c>
      <c r="S15" s="21">
        <f t="shared" si="4"/>
        <v>314869810.77272689</v>
      </c>
      <c r="T15" s="21">
        <f t="shared" si="5"/>
        <v>94555498.730548605</v>
      </c>
      <c r="U15" s="21">
        <f t="shared" si="11"/>
        <v>283666496.1916458</v>
      </c>
    </row>
    <row r="16" spans="1:21" x14ac:dyDescent="0.3">
      <c r="A16" s="2" t="s">
        <v>15</v>
      </c>
      <c r="B16" s="3" t="s">
        <v>16</v>
      </c>
      <c r="C16" s="4">
        <v>84499455.954545438</v>
      </c>
      <c r="D16" s="4">
        <v>60938229.545454539</v>
      </c>
      <c r="E16" s="4">
        <v>65729862.81818182</v>
      </c>
      <c r="F16" s="8">
        <f t="shared" si="0"/>
        <v>211167548.31818178</v>
      </c>
      <c r="G16" s="9">
        <f t="shared" si="1"/>
        <v>70389182.772727266</v>
      </c>
      <c r="H16" s="10">
        <f t="shared" si="13"/>
        <v>80947560.188636348</v>
      </c>
      <c r="I16" s="10">
        <f t="shared" si="2"/>
        <v>242842680.56590903</v>
      </c>
      <c r="J16" s="13">
        <f t="shared" si="3"/>
        <v>0.14999999999999991</v>
      </c>
      <c r="K16" s="4">
        <f t="shared" si="7"/>
        <v>72925729.899672374</v>
      </c>
      <c r="L16" s="4">
        <f t="shared" si="8"/>
        <v>218777189.69901714</v>
      </c>
      <c r="M16" s="15">
        <v>84499455.954545543</v>
      </c>
      <c r="N16" s="15">
        <v>60542229.545454539</v>
      </c>
      <c r="O16" s="15">
        <v>65729862.818181828</v>
      </c>
      <c r="P16" s="15">
        <f t="shared" si="9"/>
        <v>70257182.772727311</v>
      </c>
      <c r="Q16" s="13">
        <v>0.14999999999999991</v>
      </c>
      <c r="R16" s="21">
        <f t="shared" si="10"/>
        <v>80795760.188636407</v>
      </c>
      <c r="S16" s="21">
        <f t="shared" si="4"/>
        <v>242387280.56590921</v>
      </c>
      <c r="T16" s="21">
        <f t="shared" si="5"/>
        <v>72788973.142915681</v>
      </c>
      <c r="U16" s="21">
        <f t="shared" si="11"/>
        <v>218366919.42874703</v>
      </c>
    </row>
    <row r="17" spans="1:21" x14ac:dyDescent="0.3">
      <c r="A17" s="2" t="s">
        <v>7</v>
      </c>
      <c r="B17" s="3" t="s">
        <v>8</v>
      </c>
      <c r="C17" s="4">
        <v>100620343.09090906</v>
      </c>
      <c r="D17" s="4">
        <v>104623483.63636357</v>
      </c>
      <c r="E17" s="4">
        <v>0</v>
      </c>
      <c r="F17" s="8">
        <f t="shared" si="0"/>
        <v>205243826.72727263</v>
      </c>
      <c r="G17" s="9">
        <f t="shared" si="1"/>
        <v>68414608.909090877</v>
      </c>
      <c r="H17" s="10">
        <f t="shared" si="13"/>
        <v>78676800.245454505</v>
      </c>
      <c r="I17" s="10">
        <f t="shared" si="2"/>
        <v>236030400.73636353</v>
      </c>
      <c r="J17" s="13">
        <f t="shared" si="3"/>
        <v>0.14999999999999991</v>
      </c>
      <c r="K17" s="4">
        <f t="shared" si="7"/>
        <v>70880000.221130177</v>
      </c>
      <c r="L17" s="4">
        <f t="shared" si="8"/>
        <v>212640000.66339055</v>
      </c>
      <c r="M17" s="15">
        <v>100620343.09090912</v>
      </c>
      <c r="N17" s="15">
        <v>103435483.63636357</v>
      </c>
      <c r="O17" s="15">
        <v>0</v>
      </c>
      <c r="P17" s="15">
        <f t="shared" si="9"/>
        <v>68018608.909090891</v>
      </c>
      <c r="Q17" s="13">
        <v>0.14999999999999991</v>
      </c>
      <c r="R17" s="21">
        <f t="shared" si="10"/>
        <v>78221400.24545452</v>
      </c>
      <c r="S17" s="21">
        <f t="shared" si="4"/>
        <v>234664200.73636356</v>
      </c>
      <c r="T17" s="21">
        <f t="shared" si="5"/>
        <v>70469729.950859919</v>
      </c>
      <c r="U17" s="21">
        <f t="shared" si="11"/>
        <v>211409189.85257977</v>
      </c>
    </row>
    <row r="18" spans="1:21" x14ac:dyDescent="0.3">
      <c r="A18" s="2" t="s">
        <v>27</v>
      </c>
      <c r="B18" s="3" t="s">
        <v>28</v>
      </c>
      <c r="C18" s="4">
        <v>100429595.72727269</v>
      </c>
      <c r="D18" s="4">
        <v>77987070.681818143</v>
      </c>
      <c r="E18" s="4">
        <v>0</v>
      </c>
      <c r="F18" s="8">
        <f t="shared" si="0"/>
        <v>178416666.40909082</v>
      </c>
      <c r="G18" s="9">
        <f t="shared" si="1"/>
        <v>59472222.136363603</v>
      </c>
      <c r="H18" s="10">
        <f t="shared" si="13"/>
        <v>68393055.456818134</v>
      </c>
      <c r="I18" s="10">
        <f t="shared" si="2"/>
        <v>205179166.3704544</v>
      </c>
      <c r="J18" s="13">
        <f t="shared" si="3"/>
        <v>0.14999999999999991</v>
      </c>
      <c r="K18" s="4">
        <f t="shared" si="7"/>
        <v>61615365.276412725</v>
      </c>
      <c r="L18" s="4">
        <f t="shared" si="8"/>
        <v>184846095.82923818</v>
      </c>
      <c r="M18" s="15">
        <v>100429595.72727266</v>
      </c>
      <c r="N18" s="15">
        <v>77987070.681818143</v>
      </c>
      <c r="O18" s="15">
        <v>0</v>
      </c>
      <c r="P18" s="15">
        <f t="shared" si="9"/>
        <v>59472222.136363603</v>
      </c>
      <c r="Q18" s="13">
        <v>0.14999999999999991</v>
      </c>
      <c r="R18" s="21">
        <f t="shared" si="10"/>
        <v>68393055.456818134</v>
      </c>
      <c r="S18" s="21">
        <f t="shared" si="4"/>
        <v>205179166.3704544</v>
      </c>
      <c r="T18" s="21">
        <f t="shared" si="5"/>
        <v>61615365.276412725</v>
      </c>
      <c r="U18" s="21">
        <f t="shared" si="11"/>
        <v>184846095.82923818</v>
      </c>
    </row>
    <row r="19" spans="1:21" x14ac:dyDescent="0.3">
      <c r="A19" s="2" t="s">
        <v>33</v>
      </c>
      <c r="B19" s="3" t="s">
        <v>34</v>
      </c>
      <c r="C19" s="4">
        <v>40522609.090909094</v>
      </c>
      <c r="D19" s="4">
        <v>36517609.090909086</v>
      </c>
      <c r="E19" s="4">
        <v>92430387.818181813</v>
      </c>
      <c r="F19" s="8">
        <f t="shared" si="0"/>
        <v>169470606</v>
      </c>
      <c r="G19" s="9">
        <f t="shared" si="1"/>
        <v>56490202</v>
      </c>
      <c r="H19" s="10">
        <f>G19*110%</f>
        <v>62139222.200000003</v>
      </c>
      <c r="I19" s="10">
        <f t="shared" si="2"/>
        <v>186417666.60000002</v>
      </c>
      <c r="J19" s="13">
        <f t="shared" si="3"/>
        <v>0.10000000000000009</v>
      </c>
      <c r="K19" s="4">
        <f t="shared" si="7"/>
        <v>55981281.261261262</v>
      </c>
      <c r="L19" s="4">
        <f t="shared" si="8"/>
        <v>167943843.78378379</v>
      </c>
      <c r="M19" s="15">
        <v>40522609.090909109</v>
      </c>
      <c r="N19" s="15">
        <v>35923609.090909086</v>
      </c>
      <c r="O19" s="15">
        <v>92430387.818181783</v>
      </c>
      <c r="P19" s="15">
        <f t="shared" si="9"/>
        <v>56292201.999999993</v>
      </c>
      <c r="Q19" s="13">
        <v>0.10000000000000009</v>
      </c>
      <c r="R19" s="21">
        <f t="shared" si="10"/>
        <v>61921422.199999996</v>
      </c>
      <c r="S19" s="21">
        <f t="shared" si="4"/>
        <v>185764266.59999999</v>
      </c>
      <c r="T19" s="21">
        <f t="shared" si="5"/>
        <v>55785065.045045033</v>
      </c>
      <c r="U19" s="21">
        <f t="shared" si="11"/>
        <v>167355195.13513511</v>
      </c>
    </row>
    <row r="20" spans="1:21" x14ac:dyDescent="0.3">
      <c r="A20" s="2" t="s">
        <v>43</v>
      </c>
      <c r="B20" s="3" t="s">
        <v>44</v>
      </c>
      <c r="C20" s="4">
        <v>105344547.27272725</v>
      </c>
      <c r="D20" s="4">
        <v>19954800</v>
      </c>
      <c r="E20" s="4">
        <v>37535102.18181818</v>
      </c>
      <c r="F20" s="8">
        <f t="shared" si="0"/>
        <v>162834449.45454544</v>
      </c>
      <c r="G20" s="9">
        <f t="shared" si="1"/>
        <v>54278149.818181813</v>
      </c>
      <c r="H20" s="10">
        <f t="shared" si="12"/>
        <v>59705964.799999997</v>
      </c>
      <c r="I20" s="10">
        <f t="shared" si="2"/>
        <v>179117894.39999998</v>
      </c>
      <c r="J20" s="13">
        <f t="shared" si="3"/>
        <v>0.10000000000000009</v>
      </c>
      <c r="K20" s="4">
        <f t="shared" si="7"/>
        <v>53789157.477477469</v>
      </c>
      <c r="L20" s="4">
        <f t="shared" si="8"/>
        <v>161367472.43243238</v>
      </c>
      <c r="M20" s="15">
        <v>105344547.27272722</v>
      </c>
      <c r="N20" s="15">
        <v>19954800</v>
      </c>
      <c r="O20" s="15">
        <v>37535102.181818187</v>
      </c>
      <c r="P20" s="15">
        <f t="shared" si="9"/>
        <v>54278149.818181805</v>
      </c>
      <c r="Q20" s="13">
        <v>0.10000000000000009</v>
      </c>
      <c r="R20" s="21">
        <f t="shared" si="10"/>
        <v>59705964.79999999</v>
      </c>
      <c r="S20" s="21">
        <f t="shared" si="4"/>
        <v>179117894.39999998</v>
      </c>
      <c r="T20" s="21">
        <f t="shared" si="5"/>
        <v>53789157.477477461</v>
      </c>
      <c r="U20" s="21">
        <f t="shared" si="11"/>
        <v>161367472.43243238</v>
      </c>
    </row>
    <row r="21" spans="1:21" x14ac:dyDescent="0.3">
      <c r="A21" s="2" t="s">
        <v>23</v>
      </c>
      <c r="B21" s="3" t="s">
        <v>24</v>
      </c>
      <c r="C21" s="4">
        <v>29100415.909090914</v>
      </c>
      <c r="D21" s="4">
        <v>77325627.272727281</v>
      </c>
      <c r="E21" s="4">
        <v>0</v>
      </c>
      <c r="F21" s="8">
        <f t="shared" si="0"/>
        <v>106426043.18181819</v>
      </c>
      <c r="G21" s="9">
        <f t="shared" si="1"/>
        <v>35475347.727272727</v>
      </c>
      <c r="H21" s="10">
        <f>G21*115%</f>
        <v>40796649.886363633</v>
      </c>
      <c r="I21" s="10">
        <f t="shared" si="2"/>
        <v>122389949.65909091</v>
      </c>
      <c r="J21" s="13">
        <f t="shared" si="3"/>
        <v>0.14999999999999991</v>
      </c>
      <c r="K21" s="4">
        <f t="shared" si="7"/>
        <v>36753738.636363633</v>
      </c>
      <c r="L21" s="4">
        <f t="shared" si="8"/>
        <v>110261215.90909089</v>
      </c>
      <c r="M21" s="15">
        <v>29100415.909090914</v>
      </c>
      <c r="N21" s="15">
        <v>77325627.272727281</v>
      </c>
      <c r="O21" s="15">
        <v>0</v>
      </c>
      <c r="P21" s="15">
        <f t="shared" si="9"/>
        <v>35475347.727272727</v>
      </c>
      <c r="Q21" s="13">
        <v>0.14999999999999991</v>
      </c>
      <c r="R21" s="21">
        <f t="shared" si="10"/>
        <v>40796649.886363633</v>
      </c>
      <c r="S21" s="21">
        <f t="shared" si="4"/>
        <v>122389949.65909091</v>
      </c>
      <c r="T21" s="21">
        <f t="shared" si="5"/>
        <v>36753738.636363633</v>
      </c>
      <c r="U21" s="21">
        <f t="shared" si="11"/>
        <v>110261215.90909089</v>
      </c>
    </row>
    <row r="22" spans="1:21" x14ac:dyDescent="0.3">
      <c r="A22" s="2" t="s">
        <v>13</v>
      </c>
      <c r="B22" s="3" t="s">
        <v>14</v>
      </c>
      <c r="C22" s="4">
        <v>22128665.454545461</v>
      </c>
      <c r="D22" s="4">
        <v>51609761.181818195</v>
      </c>
      <c r="E22" s="4">
        <v>31866975.000000007</v>
      </c>
      <c r="F22" s="8">
        <f t="shared" si="0"/>
        <v>105605401.63636366</v>
      </c>
      <c r="G22" s="9">
        <f t="shared" si="1"/>
        <v>35201800.545454554</v>
      </c>
      <c r="H22" s="10">
        <f>G22*115%</f>
        <v>40482070.627272733</v>
      </c>
      <c r="I22" s="10">
        <f t="shared" si="2"/>
        <v>121446211.88181821</v>
      </c>
      <c r="J22" s="13">
        <f t="shared" si="3"/>
        <v>0.14999999999999991</v>
      </c>
      <c r="K22" s="4">
        <f t="shared" si="7"/>
        <v>36470333.8984439</v>
      </c>
      <c r="L22" s="4">
        <f t="shared" si="8"/>
        <v>109411001.69533171</v>
      </c>
      <c r="M22" s="15">
        <v>22128665.454545457</v>
      </c>
      <c r="N22" s="15">
        <v>51609761.181818195</v>
      </c>
      <c r="O22" s="15">
        <v>31866975.000000007</v>
      </c>
      <c r="P22" s="15">
        <f t="shared" si="9"/>
        <v>35201800.545454554</v>
      </c>
      <c r="Q22" s="13">
        <v>0.14999999999999991</v>
      </c>
      <c r="R22" s="21">
        <f t="shared" si="10"/>
        <v>40482070.627272733</v>
      </c>
      <c r="S22" s="21">
        <f t="shared" si="4"/>
        <v>121446211.88181821</v>
      </c>
      <c r="T22" s="21">
        <f t="shared" si="5"/>
        <v>36470333.8984439</v>
      </c>
      <c r="U22" s="21">
        <f t="shared" si="11"/>
        <v>109411001.69533171</v>
      </c>
    </row>
    <row r="23" spans="1:21" x14ac:dyDescent="0.3">
      <c r="A23" s="2" t="s">
        <v>37</v>
      </c>
      <c r="B23" s="3" t="s">
        <v>38</v>
      </c>
      <c r="C23" s="4">
        <v>68134319.63636364</v>
      </c>
      <c r="D23" s="4">
        <v>0</v>
      </c>
      <c r="E23" s="4">
        <v>26251338.545454547</v>
      </c>
      <c r="F23" s="8">
        <f t="shared" si="0"/>
        <v>94385658.181818187</v>
      </c>
      <c r="G23" s="9">
        <f t="shared" si="1"/>
        <v>31461886.060606062</v>
      </c>
      <c r="H23" s="10">
        <f t="shared" si="12"/>
        <v>34608074.666666672</v>
      </c>
      <c r="I23" s="10">
        <f t="shared" si="2"/>
        <v>103824224.00000001</v>
      </c>
      <c r="J23" s="13">
        <f t="shared" si="3"/>
        <v>0.10000000000000009</v>
      </c>
      <c r="K23" s="4">
        <f t="shared" si="7"/>
        <v>31178445.645645648</v>
      </c>
      <c r="L23" s="4">
        <f t="shared" si="8"/>
        <v>93535336.936936945</v>
      </c>
      <c r="M23" s="15">
        <v>68134319.63636364</v>
      </c>
      <c r="N23" s="15">
        <v>0</v>
      </c>
      <c r="O23" s="15">
        <v>26251338.545454551</v>
      </c>
      <c r="P23" s="15">
        <f t="shared" si="9"/>
        <v>31461886.060606062</v>
      </c>
      <c r="Q23" s="13">
        <v>0.10000000000000009</v>
      </c>
      <c r="R23" s="21">
        <f t="shared" si="10"/>
        <v>34608074.666666672</v>
      </c>
      <c r="S23" s="21">
        <f t="shared" si="4"/>
        <v>103824224.00000001</v>
      </c>
      <c r="T23" s="21">
        <f t="shared" si="5"/>
        <v>31178445.645645648</v>
      </c>
      <c r="U23" s="21">
        <f t="shared" si="11"/>
        <v>93535336.936936945</v>
      </c>
    </row>
    <row r="24" spans="1:21" x14ac:dyDescent="0.3">
      <c r="A24" s="2" t="s">
        <v>5</v>
      </c>
      <c r="B24" s="3" t="s">
        <v>6</v>
      </c>
      <c r="C24" s="4">
        <v>38228475</v>
      </c>
      <c r="D24" s="4">
        <v>17372225.454545453</v>
      </c>
      <c r="E24" s="4">
        <v>37093334.590909086</v>
      </c>
      <c r="F24" s="8">
        <f t="shared" si="0"/>
        <v>92694035.045454532</v>
      </c>
      <c r="G24" s="9">
        <f t="shared" si="1"/>
        <v>30898011.681818176</v>
      </c>
      <c r="H24" s="10">
        <f t="shared" si="12"/>
        <v>33987812.849999994</v>
      </c>
      <c r="I24" s="10">
        <f t="shared" si="2"/>
        <v>101963438.54999998</v>
      </c>
      <c r="J24" s="13">
        <f t="shared" si="3"/>
        <v>0.10000000000000009</v>
      </c>
      <c r="K24" s="4">
        <f t="shared" si="7"/>
        <v>30619651.216216207</v>
      </c>
      <c r="L24" s="4">
        <f t="shared" si="8"/>
        <v>91858953.64864862</v>
      </c>
      <c r="M24" s="15">
        <v>38228474.999999978</v>
      </c>
      <c r="N24" s="15">
        <v>16184225.454545455</v>
      </c>
      <c r="O24" s="15">
        <v>37093334.590909094</v>
      </c>
      <c r="P24" s="15">
        <f t="shared" si="9"/>
        <v>30502011.681818176</v>
      </c>
      <c r="Q24" s="13">
        <v>0.10000000000000009</v>
      </c>
      <c r="R24" s="21">
        <f t="shared" si="10"/>
        <v>33552212.849999998</v>
      </c>
      <c r="S24" s="21">
        <f t="shared" si="4"/>
        <v>100656638.55</v>
      </c>
      <c r="T24" s="21">
        <f t="shared" si="5"/>
        <v>30227218.783783779</v>
      </c>
      <c r="U24" s="21">
        <f t="shared" si="11"/>
        <v>90681656.351351336</v>
      </c>
    </row>
    <row r="25" spans="1:21" x14ac:dyDescent="0.3">
      <c r="A25" s="2" t="s">
        <v>41</v>
      </c>
      <c r="B25" s="3" t="s">
        <v>42</v>
      </c>
      <c r="C25" s="4">
        <v>19037249.31818182</v>
      </c>
      <c r="D25" s="4">
        <v>31997428.636363644</v>
      </c>
      <c r="E25" s="4">
        <v>36099225.454545453</v>
      </c>
      <c r="F25" s="8">
        <f t="shared" si="0"/>
        <v>87133903.409090921</v>
      </c>
      <c r="G25" s="9">
        <f t="shared" si="1"/>
        <v>29044634.469696973</v>
      </c>
      <c r="H25" s="10">
        <f t="shared" si="12"/>
        <v>31949097.916666672</v>
      </c>
      <c r="I25" s="10">
        <f t="shared" si="2"/>
        <v>95847293.750000015</v>
      </c>
      <c r="J25" s="13">
        <f t="shared" si="3"/>
        <v>0.10000000000000009</v>
      </c>
      <c r="K25" s="4">
        <f t="shared" si="7"/>
        <v>28782971.096096098</v>
      </c>
      <c r="L25" s="4">
        <f t="shared" si="8"/>
        <v>86348913.288288295</v>
      </c>
      <c r="M25" s="15">
        <v>19037249.31818182</v>
      </c>
      <c r="N25" s="15">
        <v>31997428.636363644</v>
      </c>
      <c r="O25" s="15">
        <v>36099225.454545453</v>
      </c>
      <c r="P25" s="15">
        <f t="shared" si="9"/>
        <v>29044634.469696973</v>
      </c>
      <c r="Q25" s="13">
        <v>0.10000000000000009</v>
      </c>
      <c r="R25" s="21">
        <f t="shared" si="10"/>
        <v>31949097.916666672</v>
      </c>
      <c r="S25" s="21">
        <f t="shared" si="4"/>
        <v>95847293.750000015</v>
      </c>
      <c r="T25" s="21">
        <f t="shared" si="5"/>
        <v>28782971.096096098</v>
      </c>
      <c r="U25" s="21">
        <f t="shared" si="11"/>
        <v>86348913.288288295</v>
      </c>
    </row>
    <row r="26" spans="1:21" x14ac:dyDescent="0.3">
      <c r="A26" s="2" t="s">
        <v>47</v>
      </c>
      <c r="B26" s="3" t="s">
        <v>48</v>
      </c>
      <c r="C26" s="4">
        <v>64648298.181818157</v>
      </c>
      <c r="D26" s="4">
        <v>6954490.9090909082</v>
      </c>
      <c r="E26" s="4">
        <v>15169051.09090909</v>
      </c>
      <c r="F26" s="8">
        <f t="shared" si="0"/>
        <v>86771840.181818157</v>
      </c>
      <c r="G26" s="9">
        <f t="shared" si="1"/>
        <v>28923946.727272719</v>
      </c>
      <c r="H26" s="10">
        <f t="shared" si="12"/>
        <v>31816341.399999995</v>
      </c>
      <c r="I26" s="10">
        <f t="shared" si="2"/>
        <v>95449024.199999988</v>
      </c>
      <c r="J26" s="13">
        <f t="shared" si="3"/>
        <v>0.10000000000000009</v>
      </c>
      <c r="K26" s="4">
        <f t="shared" si="7"/>
        <v>28663370.630630624</v>
      </c>
      <c r="L26" s="4">
        <f t="shared" si="8"/>
        <v>85990111.891891867</v>
      </c>
      <c r="M26" s="15">
        <v>64648298.181818195</v>
      </c>
      <c r="N26" s="15">
        <v>6954490.9090909082</v>
      </c>
      <c r="O26" s="15">
        <v>15169051.09090909</v>
      </c>
      <c r="P26" s="15">
        <f t="shared" si="9"/>
        <v>28923946.727272734</v>
      </c>
      <c r="Q26" s="13">
        <v>0.10000000000000009</v>
      </c>
      <c r="R26" s="21">
        <f t="shared" si="10"/>
        <v>31816341.40000001</v>
      </c>
      <c r="S26" s="21">
        <f t="shared" si="4"/>
        <v>95449024.200000033</v>
      </c>
      <c r="T26" s="21">
        <f t="shared" si="5"/>
        <v>28663370.630630638</v>
      </c>
      <c r="U26" s="21">
        <f t="shared" si="11"/>
        <v>85990111.891891912</v>
      </c>
    </row>
    <row r="27" spans="1:21" x14ac:dyDescent="0.3">
      <c r="A27" s="2" t="s">
        <v>29</v>
      </c>
      <c r="B27" s="3" t="s">
        <v>30</v>
      </c>
      <c r="C27" s="4">
        <v>29889784.545454558</v>
      </c>
      <c r="D27" s="4">
        <v>34666738.86363636</v>
      </c>
      <c r="E27" s="4">
        <v>19844115.181818187</v>
      </c>
      <c r="F27" s="8">
        <f t="shared" si="0"/>
        <v>84400638.590909109</v>
      </c>
      <c r="G27" s="9">
        <f t="shared" si="1"/>
        <v>28133546.196969703</v>
      </c>
      <c r="H27" s="10">
        <f t="shared" si="12"/>
        <v>30946900.816666674</v>
      </c>
      <c r="I27" s="10">
        <f>H27*3</f>
        <v>92840702.450000018</v>
      </c>
      <c r="J27" s="13">
        <f t="shared" si="3"/>
        <v>0.10000000000000009</v>
      </c>
      <c r="K27" s="4">
        <f t="shared" si="7"/>
        <v>27880090.825825829</v>
      </c>
      <c r="L27" s="4">
        <f t="shared" si="8"/>
        <v>83640272.477477491</v>
      </c>
      <c r="M27" s="15">
        <v>29889784.545454562</v>
      </c>
      <c r="N27" s="15">
        <v>31993138.863636367</v>
      </c>
      <c r="O27" s="15">
        <v>19844115.181818184</v>
      </c>
      <c r="P27" s="15">
        <f t="shared" si="9"/>
        <v>27242346.196969703</v>
      </c>
      <c r="Q27" s="13">
        <v>0.10000000000000009</v>
      </c>
      <c r="R27" s="21">
        <f t="shared" si="10"/>
        <v>29966580.816666678</v>
      </c>
      <c r="S27" s="21">
        <f t="shared" si="4"/>
        <v>89899742.450000033</v>
      </c>
      <c r="T27" s="21">
        <f t="shared" si="5"/>
        <v>26996919.654654663</v>
      </c>
      <c r="U27" s="21">
        <f t="shared" si="11"/>
        <v>80990758.963963985</v>
      </c>
    </row>
    <row r="28" spans="1:21" x14ac:dyDescent="0.3">
      <c r="A28" s="6" t="s">
        <v>49</v>
      </c>
      <c r="B28" s="6"/>
      <c r="C28" s="23">
        <v>6756826643.7954559</v>
      </c>
      <c r="D28" s="23">
        <v>4477342194.8409119</v>
      </c>
      <c r="E28" s="23">
        <v>3919413992.2272696</v>
      </c>
      <c r="F28" s="24">
        <f>SUM(F6:F27)</f>
        <v>10813765809.363638</v>
      </c>
      <c r="G28" s="24">
        <f>SUM(G6:G27)</f>
        <v>3604588603.121212</v>
      </c>
      <c r="H28" s="24">
        <f>SUM(H6:H27)</f>
        <v>4107571524.132575</v>
      </c>
      <c r="I28" s="24">
        <f>SUM(I6:I27)</f>
        <v>12322714572.397728</v>
      </c>
      <c r="J28" s="24">
        <f>H28/G28-1</f>
        <v>0.13953961918867264</v>
      </c>
      <c r="K28" s="24">
        <f>SUM(K6:K27)</f>
        <v>3700514886.6059241</v>
      </c>
      <c r="L28" s="24">
        <f>SUM(L6:L27)</f>
        <v>11101544659.817772</v>
      </c>
      <c r="M28" s="22"/>
      <c r="N28" s="22"/>
      <c r="O28" s="22"/>
      <c r="P28" s="22"/>
      <c r="Q28" s="22"/>
      <c r="R28" s="22"/>
      <c r="S28" s="22"/>
      <c r="T28" s="22"/>
      <c r="U28" s="22"/>
    </row>
  </sheetData>
  <sortState xmlns:xlrd2="http://schemas.microsoft.com/office/spreadsheetml/2017/richdata2" ref="A6:G27">
    <sortCondition descending="1" ref="F6:F27"/>
  </sortState>
  <mergeCells count="3">
    <mergeCell ref="C4:D4"/>
    <mergeCell ref="A1:L2"/>
    <mergeCell ref="M4:U4"/>
  </mergeCells>
  <pageMargins left="0.25" right="0.25" top="0.75" bottom="0.75" header="0.3" footer="0.3"/>
  <pageSetup paperSize="9" scale="7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3DBF-A135-4A76-B84A-FF317599C01C}">
  <sheetPr>
    <pageSetUpPr fitToPage="1"/>
  </sheetPr>
  <dimension ref="A1:V26"/>
  <sheetViews>
    <sheetView topLeftCell="A14" workbookViewId="0">
      <selection activeCell="V26" sqref="A1:V26"/>
    </sheetView>
  </sheetViews>
  <sheetFormatPr defaultColWidth="9.109375" defaultRowHeight="14.4" x14ac:dyDescent="0.3"/>
  <cols>
    <col min="1" max="1" width="10.6640625" bestFit="1" customWidth="1"/>
    <col min="2" max="2" width="36.88671875" bestFit="1" customWidth="1"/>
    <col min="3" max="3" width="12.109375" customWidth="1"/>
    <col min="4" max="6" width="13.6640625" hidden="1" customWidth="1"/>
    <col min="7" max="7" width="14.6640625" hidden="1" customWidth="1"/>
    <col min="8" max="9" width="13.6640625" hidden="1" customWidth="1"/>
    <col min="10" max="10" width="19.109375" hidden="1" customWidth="1"/>
    <col min="11" max="11" width="0" hidden="1" customWidth="1"/>
    <col min="12" max="12" width="14.109375" hidden="1" customWidth="1"/>
    <col min="13" max="13" width="19.33203125" hidden="1" customWidth="1"/>
    <col min="14" max="17" width="12.21875" bestFit="1" customWidth="1"/>
    <col min="18" max="18" width="7.109375" bestFit="1" customWidth="1"/>
    <col min="19" max="19" width="16.5546875" bestFit="1" customWidth="1"/>
    <col min="20" max="20" width="17.77734375" bestFit="1" customWidth="1"/>
    <col min="21" max="21" width="16.5546875" bestFit="1" customWidth="1"/>
    <col min="22" max="22" width="17.77734375" bestFit="1" customWidth="1"/>
  </cols>
  <sheetData>
    <row r="1" spans="1:22" ht="14.7" customHeight="1" x14ac:dyDescent="0.3">
      <c r="A1" s="43" t="s">
        <v>105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22" ht="14.7" customHeight="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4" spans="1:22" ht="18" x14ac:dyDescent="0.35">
      <c r="N4" s="44" t="s">
        <v>118</v>
      </c>
      <c r="O4" s="44"/>
      <c r="P4" s="44"/>
      <c r="Q4" s="44"/>
      <c r="R4" s="44"/>
      <c r="S4" s="44"/>
      <c r="T4" s="44"/>
      <c r="U4" s="44"/>
      <c r="V4" s="44"/>
    </row>
    <row r="5" spans="1:22" x14ac:dyDescent="0.3">
      <c r="A5" s="1" t="s">
        <v>0</v>
      </c>
      <c r="B5" s="1" t="s">
        <v>1</v>
      </c>
      <c r="C5" s="1"/>
      <c r="D5" s="1" t="s">
        <v>2</v>
      </c>
      <c r="E5" s="1" t="s">
        <v>3</v>
      </c>
      <c r="F5" s="1" t="s">
        <v>4</v>
      </c>
      <c r="G5" s="7" t="s">
        <v>75</v>
      </c>
      <c r="H5" s="7" t="s">
        <v>76</v>
      </c>
      <c r="I5" s="7" t="s">
        <v>79</v>
      </c>
      <c r="J5" s="7" t="s">
        <v>80</v>
      </c>
      <c r="K5" s="7" t="s">
        <v>78</v>
      </c>
      <c r="L5" s="7" t="s">
        <v>81</v>
      </c>
      <c r="M5" s="7" t="s">
        <v>82</v>
      </c>
      <c r="N5" s="18" t="s">
        <v>2</v>
      </c>
      <c r="O5" s="18" t="s">
        <v>119</v>
      </c>
      <c r="P5" s="18" t="s">
        <v>4</v>
      </c>
      <c r="Q5" s="18" t="s">
        <v>120</v>
      </c>
      <c r="R5" s="19" t="s">
        <v>121</v>
      </c>
      <c r="S5" s="18" t="s">
        <v>122</v>
      </c>
      <c r="T5" s="18" t="s">
        <v>123</v>
      </c>
      <c r="U5" s="18" t="s">
        <v>124</v>
      </c>
      <c r="V5" s="20" t="s">
        <v>125</v>
      </c>
    </row>
    <row r="6" spans="1:22" x14ac:dyDescent="0.3">
      <c r="A6" s="2" t="s">
        <v>50</v>
      </c>
      <c r="B6" s="3" t="s">
        <v>51</v>
      </c>
      <c r="C6" s="3" t="s">
        <v>127</v>
      </c>
      <c r="D6" s="4">
        <v>556603152.27272713</v>
      </c>
      <c r="E6" s="4">
        <v>545245959.54545462</v>
      </c>
      <c r="F6" s="4">
        <v>576001948.81818128</v>
      </c>
      <c r="G6" s="8">
        <f t="shared" ref="G6:G26" si="0">SUM(D6:F6)</f>
        <v>1677851060.636363</v>
      </c>
      <c r="H6" s="9">
        <f t="shared" ref="H6:H26" si="1">AVERAGE(D6:F6)</f>
        <v>559283686.87878764</v>
      </c>
      <c r="I6" s="10">
        <f>H6*115%</f>
        <v>643176239.91060579</v>
      </c>
      <c r="J6" s="10">
        <f t="shared" ref="J6:J22" si="2">I6*3</f>
        <v>1929528719.7318172</v>
      </c>
      <c r="K6" s="13">
        <f t="shared" ref="K6:K26" si="3">I6/H6-1</f>
        <v>0.14999999999999991</v>
      </c>
      <c r="L6" s="4">
        <f>I6/1.11</f>
        <v>579438053.97351873</v>
      </c>
      <c r="M6" s="4">
        <f>J6/1.11</f>
        <v>1738314161.9205558</v>
      </c>
      <c r="N6" s="15">
        <v>547099152.27272737</v>
      </c>
      <c r="O6" s="15">
        <v>531385959.54545456</v>
      </c>
      <c r="P6" s="15">
        <v>576001948.8181814</v>
      </c>
      <c r="Q6" s="15">
        <f>AVERAGE(N6:P6)</f>
        <v>551495686.87878788</v>
      </c>
      <c r="R6" s="13">
        <v>0.14999999999999991</v>
      </c>
      <c r="S6" s="21">
        <f>Q6+(Q6*R6)</f>
        <v>634220039.91060603</v>
      </c>
      <c r="T6" s="21">
        <f t="shared" ref="T6:T23" si="4">S6*3</f>
        <v>1902660119.7318182</v>
      </c>
      <c r="U6" s="21">
        <f t="shared" ref="U6:U23" si="5">S6/1.11</f>
        <v>571369405.32487023</v>
      </c>
      <c r="V6" s="21">
        <f t="shared" ref="V6:V23" si="6">T6/1.11</f>
        <v>1714108215.9746108</v>
      </c>
    </row>
    <row r="7" spans="1:22" x14ac:dyDescent="0.3">
      <c r="A7" s="2">
        <v>4477</v>
      </c>
      <c r="B7" s="3" t="s">
        <v>52</v>
      </c>
      <c r="C7" s="3" t="s">
        <v>127</v>
      </c>
      <c r="D7" s="4">
        <v>447887592.68181789</v>
      </c>
      <c r="E7" s="4">
        <v>288370576.45454538</v>
      </c>
      <c r="F7" s="4">
        <v>73416939.000000015</v>
      </c>
      <c r="G7" s="8">
        <f t="shared" si="0"/>
        <v>809675108.13636327</v>
      </c>
      <c r="H7" s="9">
        <f t="shared" si="1"/>
        <v>269891702.71212107</v>
      </c>
      <c r="I7" s="10">
        <f t="shared" ref="I7:I14" si="7">H7*110%</f>
        <v>296880872.98333323</v>
      </c>
      <c r="J7" s="10">
        <f t="shared" si="2"/>
        <v>890642618.94999969</v>
      </c>
      <c r="K7" s="13">
        <f t="shared" si="3"/>
        <v>0.10000000000000009</v>
      </c>
      <c r="L7" s="4">
        <f t="shared" ref="L7:L23" si="8">I7/1.11</f>
        <v>267460245.93093082</v>
      </c>
      <c r="M7" s="4">
        <f t="shared" ref="M7:M23" si="9">J7/1.11</f>
        <v>802380737.79279244</v>
      </c>
      <c r="N7" s="15">
        <v>446699592.68181765</v>
      </c>
      <c r="O7" s="15">
        <v>285598576.45454538</v>
      </c>
      <c r="P7" s="15">
        <v>73416939.000000015</v>
      </c>
      <c r="Q7" s="15">
        <f t="shared" ref="Q7:Q25" si="10">AVERAGE(N7:P7)</f>
        <v>268571702.71212101</v>
      </c>
      <c r="R7" s="13">
        <v>0.10000000000000009</v>
      </c>
      <c r="S7" s="21">
        <f t="shared" ref="S7:S23" si="11">Q7+(Q7*R7)</f>
        <v>295428872.98333311</v>
      </c>
      <c r="T7" s="21">
        <f t="shared" si="4"/>
        <v>886286618.94999933</v>
      </c>
      <c r="U7" s="21">
        <f t="shared" si="5"/>
        <v>266152137.8228226</v>
      </c>
      <c r="V7" s="21">
        <f t="shared" si="6"/>
        <v>798456413.46846783</v>
      </c>
    </row>
    <row r="8" spans="1:22" x14ac:dyDescent="0.3">
      <c r="A8" s="2" t="s">
        <v>53</v>
      </c>
      <c r="B8" s="3" t="s">
        <v>54</v>
      </c>
      <c r="C8" s="3" t="s">
        <v>127</v>
      </c>
      <c r="D8" s="4">
        <v>200859415.63636357</v>
      </c>
      <c r="E8" s="4">
        <v>30718150.909090921</v>
      </c>
      <c r="F8" s="4">
        <v>204752197.77272716</v>
      </c>
      <c r="G8" s="8">
        <f t="shared" si="0"/>
        <v>436329764.31818163</v>
      </c>
      <c r="H8" s="9">
        <f t="shared" si="1"/>
        <v>145443254.77272722</v>
      </c>
      <c r="I8" s="10">
        <f>H8*120%</f>
        <v>174531905.72727266</v>
      </c>
      <c r="J8" s="10">
        <f t="shared" si="2"/>
        <v>523595717.18181801</v>
      </c>
      <c r="K8" s="13">
        <f t="shared" si="3"/>
        <v>0.19999999999999996</v>
      </c>
      <c r="L8" s="4">
        <f t="shared" si="8"/>
        <v>157235951.10565102</v>
      </c>
      <c r="M8" s="4">
        <f t="shared" si="9"/>
        <v>471707853.31695312</v>
      </c>
      <c r="N8" s="15">
        <v>200859415.63636363</v>
      </c>
      <c r="O8" s="15">
        <v>30718150.909090921</v>
      </c>
      <c r="P8" s="15">
        <v>204752197.77272716</v>
      </c>
      <c r="Q8" s="15">
        <f t="shared" si="10"/>
        <v>145443254.77272725</v>
      </c>
      <c r="R8" s="13">
        <v>0.19999999999999996</v>
      </c>
      <c r="S8" s="21">
        <f t="shared" si="11"/>
        <v>174531905.72727269</v>
      </c>
      <c r="T8" s="21">
        <f t="shared" si="4"/>
        <v>523595717.18181807</v>
      </c>
      <c r="U8" s="21">
        <f t="shared" si="5"/>
        <v>157235951.10565105</v>
      </c>
      <c r="V8" s="21">
        <f t="shared" si="6"/>
        <v>471707853.31695318</v>
      </c>
    </row>
    <row r="9" spans="1:22" x14ac:dyDescent="0.3">
      <c r="A9" s="2">
        <v>6061</v>
      </c>
      <c r="B9" s="3" t="s">
        <v>55</v>
      </c>
      <c r="C9" s="3" t="s">
        <v>127</v>
      </c>
      <c r="D9" s="4">
        <v>106182672.90909094</v>
      </c>
      <c r="E9" s="4">
        <v>102230781.81818175</v>
      </c>
      <c r="F9" s="4">
        <v>129850144.36363627</v>
      </c>
      <c r="G9" s="8">
        <f t="shared" si="0"/>
        <v>338263599.09090894</v>
      </c>
      <c r="H9" s="9">
        <f t="shared" si="1"/>
        <v>112754533.03030299</v>
      </c>
      <c r="I9" s="10">
        <f>H9*115%</f>
        <v>129667712.98484842</v>
      </c>
      <c r="J9" s="10">
        <f t="shared" si="2"/>
        <v>389003138.95454526</v>
      </c>
      <c r="K9" s="13">
        <f t="shared" si="3"/>
        <v>0.14999999999999991</v>
      </c>
      <c r="L9" s="4">
        <f t="shared" si="8"/>
        <v>116817759.44580938</v>
      </c>
      <c r="M9" s="4">
        <f t="shared" si="9"/>
        <v>350453278.33742815</v>
      </c>
      <c r="N9" s="15">
        <v>106182672.90909091</v>
      </c>
      <c r="O9" s="15">
        <v>101834781.81818175</v>
      </c>
      <c r="P9" s="15">
        <v>129850144.36363637</v>
      </c>
      <c r="Q9" s="15">
        <f t="shared" si="10"/>
        <v>112622533.030303</v>
      </c>
      <c r="R9" s="13">
        <v>0.14999999999999991</v>
      </c>
      <c r="S9" s="21">
        <f t="shared" si="11"/>
        <v>129515912.98484844</v>
      </c>
      <c r="T9" s="21">
        <f t="shared" si="4"/>
        <v>388547738.95454532</v>
      </c>
      <c r="U9" s="21">
        <f t="shared" si="5"/>
        <v>116681002.68905264</v>
      </c>
      <c r="V9" s="21">
        <f t="shared" si="6"/>
        <v>350043008.06715792</v>
      </c>
    </row>
    <row r="10" spans="1:22" x14ac:dyDescent="0.3">
      <c r="A10" s="2">
        <v>4980</v>
      </c>
      <c r="B10" s="3" t="s">
        <v>56</v>
      </c>
      <c r="C10" s="3" t="s">
        <v>127</v>
      </c>
      <c r="D10" s="4">
        <v>92148734.272727281</v>
      </c>
      <c r="E10" s="4">
        <v>89390114.454545453</v>
      </c>
      <c r="F10" s="4">
        <v>103987370.63636358</v>
      </c>
      <c r="G10" s="8">
        <f t="shared" si="0"/>
        <v>285526219.36363631</v>
      </c>
      <c r="H10" s="9">
        <f t="shared" si="1"/>
        <v>95175406.454545438</v>
      </c>
      <c r="I10" s="10">
        <f>H10*115%</f>
        <v>109451717.42272724</v>
      </c>
      <c r="J10" s="10">
        <f t="shared" si="2"/>
        <v>328355152.26818174</v>
      </c>
      <c r="K10" s="13">
        <f t="shared" si="3"/>
        <v>0.14999999999999991</v>
      </c>
      <c r="L10" s="4">
        <f t="shared" si="8"/>
        <v>98605150.83128579</v>
      </c>
      <c r="M10" s="4">
        <f t="shared" si="9"/>
        <v>295815452.49385738</v>
      </c>
      <c r="N10" s="15">
        <v>90960734.272727266</v>
      </c>
      <c r="O10" s="15">
        <v>88301114.454545453</v>
      </c>
      <c r="P10" s="15">
        <v>103987370.6363636</v>
      </c>
      <c r="Q10" s="15">
        <f t="shared" si="10"/>
        <v>94416406.454545438</v>
      </c>
      <c r="R10" s="13">
        <v>0.14999999999999991</v>
      </c>
      <c r="S10" s="21">
        <f t="shared" si="11"/>
        <v>108578867.42272724</v>
      </c>
      <c r="T10" s="21">
        <f t="shared" si="4"/>
        <v>325736602.26818174</v>
      </c>
      <c r="U10" s="21">
        <f t="shared" si="5"/>
        <v>97818799.479934439</v>
      </c>
      <c r="V10" s="21">
        <f t="shared" si="6"/>
        <v>293456398.43980336</v>
      </c>
    </row>
    <row r="11" spans="1:22" x14ac:dyDescent="0.3">
      <c r="A11" s="2" t="s">
        <v>57</v>
      </c>
      <c r="B11" s="3" t="s">
        <v>58</v>
      </c>
      <c r="C11" s="3" t="s">
        <v>127</v>
      </c>
      <c r="D11" s="4">
        <v>102809014.49999999</v>
      </c>
      <c r="E11" s="4">
        <v>52945817.772727296</v>
      </c>
      <c r="F11" s="4">
        <v>110405054.95454545</v>
      </c>
      <c r="G11" s="8">
        <f t="shared" si="0"/>
        <v>266159887.22727275</v>
      </c>
      <c r="H11" s="9">
        <f t="shared" si="1"/>
        <v>88719962.409090921</v>
      </c>
      <c r="I11" s="10">
        <f>H11*115%</f>
        <v>102027956.77045456</v>
      </c>
      <c r="J11" s="10">
        <f t="shared" si="2"/>
        <v>306083870.3113637</v>
      </c>
      <c r="K11" s="13">
        <f t="shared" si="3"/>
        <v>0.14999999999999991</v>
      </c>
      <c r="L11" s="4">
        <f t="shared" si="8"/>
        <v>91917078.171580672</v>
      </c>
      <c r="M11" s="4">
        <f t="shared" si="9"/>
        <v>275751234.51474202</v>
      </c>
      <c r="N11" s="15">
        <v>98057014.49999997</v>
      </c>
      <c r="O11" s="15">
        <v>52747817.772727296</v>
      </c>
      <c r="P11" s="15">
        <v>110405054.95454542</v>
      </c>
      <c r="Q11" s="15">
        <f t="shared" si="10"/>
        <v>87069962.409090891</v>
      </c>
      <c r="R11" s="13">
        <v>0.14999999999999991</v>
      </c>
      <c r="S11" s="21">
        <f t="shared" si="11"/>
        <v>100130456.77045451</v>
      </c>
      <c r="T11" s="21">
        <f t="shared" si="4"/>
        <v>300391370.31136352</v>
      </c>
      <c r="U11" s="21">
        <f t="shared" si="5"/>
        <v>90207618.712121174</v>
      </c>
      <c r="V11" s="21">
        <f t="shared" si="6"/>
        <v>270622856.13636351</v>
      </c>
    </row>
    <row r="12" spans="1:22" x14ac:dyDescent="0.3">
      <c r="A12" s="2" t="s">
        <v>59</v>
      </c>
      <c r="B12" s="3" t="s">
        <v>60</v>
      </c>
      <c r="C12" s="3" t="s">
        <v>127</v>
      </c>
      <c r="D12" s="4">
        <v>72379602.545454547</v>
      </c>
      <c r="E12" s="4">
        <v>75564263.454545468</v>
      </c>
      <c r="F12" s="4">
        <v>75482851.36363633</v>
      </c>
      <c r="G12" s="8">
        <f t="shared" si="0"/>
        <v>223426717.36363631</v>
      </c>
      <c r="H12" s="9">
        <f t="shared" si="1"/>
        <v>74475572.454545438</v>
      </c>
      <c r="I12" s="10">
        <f t="shared" si="7"/>
        <v>81923129.699999988</v>
      </c>
      <c r="J12" s="10">
        <f t="shared" si="2"/>
        <v>245769389.09999996</v>
      </c>
      <c r="K12" s="13">
        <f t="shared" si="3"/>
        <v>0.10000000000000009</v>
      </c>
      <c r="L12" s="4">
        <f t="shared" si="8"/>
        <v>73804621.351351336</v>
      </c>
      <c r="M12" s="4">
        <f t="shared" si="9"/>
        <v>221413864.05405399</v>
      </c>
      <c r="N12" s="15">
        <v>72379602.545454547</v>
      </c>
      <c r="O12" s="15">
        <v>73188263.454545483</v>
      </c>
      <c r="P12" s="15">
        <v>75482851.36363636</v>
      </c>
      <c r="Q12" s="15">
        <f t="shared" si="10"/>
        <v>73683572.454545453</v>
      </c>
      <c r="R12" s="13">
        <v>0.10000000000000009</v>
      </c>
      <c r="S12" s="21">
        <f t="shared" si="11"/>
        <v>81051929.700000003</v>
      </c>
      <c r="T12" s="21">
        <f t="shared" si="4"/>
        <v>243155789.10000002</v>
      </c>
      <c r="U12" s="21">
        <f t="shared" si="5"/>
        <v>73019756.48648648</v>
      </c>
      <c r="V12" s="21">
        <f t="shared" si="6"/>
        <v>219059269.45945945</v>
      </c>
    </row>
    <row r="13" spans="1:22" x14ac:dyDescent="0.3">
      <c r="A13" s="2" t="s">
        <v>61</v>
      </c>
      <c r="B13" s="3" t="s">
        <v>62</v>
      </c>
      <c r="C13" s="3" t="s">
        <v>128</v>
      </c>
      <c r="D13" s="4">
        <v>58359808.636363626</v>
      </c>
      <c r="E13" s="4">
        <v>81558223.636363596</v>
      </c>
      <c r="F13" s="4">
        <v>66733167.681818135</v>
      </c>
      <c r="G13" s="8">
        <f t="shared" si="0"/>
        <v>206651199.95454535</v>
      </c>
      <c r="H13" s="9">
        <f t="shared" si="1"/>
        <v>68883733.318181783</v>
      </c>
      <c r="I13" s="10">
        <f>H13*120%</f>
        <v>82660479.98181814</v>
      </c>
      <c r="J13" s="10">
        <f t="shared" si="2"/>
        <v>247981439.94545442</v>
      </c>
      <c r="K13" s="13">
        <f t="shared" si="3"/>
        <v>0.19999999999999996</v>
      </c>
      <c r="L13" s="4">
        <f t="shared" si="8"/>
        <v>74468900.884520844</v>
      </c>
      <c r="M13" s="4">
        <f t="shared" si="9"/>
        <v>223406702.65356252</v>
      </c>
      <c r="N13" s="15">
        <v>58359808.636363655</v>
      </c>
      <c r="O13" s="15">
        <v>81162223.636363596</v>
      </c>
      <c r="P13" s="15">
        <v>66733167.681818187</v>
      </c>
      <c r="Q13" s="15">
        <f t="shared" si="10"/>
        <v>68751733.318181813</v>
      </c>
      <c r="R13" s="13">
        <v>0.19999999999999996</v>
      </c>
      <c r="S13" s="21">
        <f t="shared" si="11"/>
        <v>82502079.981818169</v>
      </c>
      <c r="T13" s="21">
        <f t="shared" si="4"/>
        <v>247506239.94545451</v>
      </c>
      <c r="U13" s="21">
        <f t="shared" si="5"/>
        <v>74326198.181818157</v>
      </c>
      <c r="V13" s="21">
        <f t="shared" si="6"/>
        <v>222978594.5454545</v>
      </c>
    </row>
    <row r="14" spans="1:22" x14ac:dyDescent="0.3">
      <c r="A14" s="2" t="s">
        <v>63</v>
      </c>
      <c r="B14" s="3" t="s">
        <v>64</v>
      </c>
      <c r="C14" s="3" t="s">
        <v>127</v>
      </c>
      <c r="D14" s="4">
        <v>67126915.909090862</v>
      </c>
      <c r="E14" s="4">
        <v>65060804.999999985</v>
      </c>
      <c r="F14" s="4">
        <v>50973523.909090914</v>
      </c>
      <c r="G14" s="8">
        <f t="shared" si="0"/>
        <v>183161244.81818175</v>
      </c>
      <c r="H14" s="9">
        <f t="shared" si="1"/>
        <v>61053748.272727251</v>
      </c>
      <c r="I14" s="10">
        <f t="shared" si="7"/>
        <v>67159123.099999979</v>
      </c>
      <c r="J14" s="10">
        <f t="shared" si="2"/>
        <v>201477369.29999995</v>
      </c>
      <c r="K14" s="13">
        <f t="shared" si="3"/>
        <v>0.10000000000000009</v>
      </c>
      <c r="L14" s="4">
        <f t="shared" si="8"/>
        <v>60503714.504504479</v>
      </c>
      <c r="M14" s="4">
        <f t="shared" si="9"/>
        <v>181511143.51351345</v>
      </c>
      <c r="N14" s="15">
        <v>67126915.909090891</v>
      </c>
      <c r="O14" s="15">
        <v>65060804.999999985</v>
      </c>
      <c r="P14" s="15">
        <v>50973523.909090921</v>
      </c>
      <c r="Q14" s="15">
        <f t="shared" si="10"/>
        <v>61053748.272727273</v>
      </c>
      <c r="R14" s="13">
        <v>0.10000000000000009</v>
      </c>
      <c r="S14" s="21">
        <f t="shared" si="11"/>
        <v>67159123.100000009</v>
      </c>
      <c r="T14" s="21">
        <f t="shared" si="4"/>
        <v>201477369.30000001</v>
      </c>
      <c r="U14" s="21">
        <f t="shared" si="5"/>
        <v>60503714.504504509</v>
      </c>
      <c r="V14" s="21">
        <f t="shared" si="6"/>
        <v>181511143.51351351</v>
      </c>
    </row>
    <row r="15" spans="1:22" x14ac:dyDescent="0.3">
      <c r="A15" s="2">
        <v>5932</v>
      </c>
      <c r="B15" s="3" t="s">
        <v>65</v>
      </c>
      <c r="C15" s="3" t="s">
        <v>127</v>
      </c>
      <c r="D15" s="4">
        <v>97267289.090909123</v>
      </c>
      <c r="E15" s="4">
        <v>35494405.31818182</v>
      </c>
      <c r="F15" s="4">
        <v>41830557.272727288</v>
      </c>
      <c r="G15" s="8">
        <f t="shared" si="0"/>
        <v>174592251.68181822</v>
      </c>
      <c r="H15" s="9">
        <f t="shared" si="1"/>
        <v>58197417.227272741</v>
      </c>
      <c r="I15" s="10">
        <f t="shared" ref="I15:I21" si="12">H15*120%</f>
        <v>69836900.672727287</v>
      </c>
      <c r="J15" s="10">
        <f t="shared" si="2"/>
        <v>209510702.01818186</v>
      </c>
      <c r="K15" s="13">
        <f t="shared" si="3"/>
        <v>0.19999999999999996</v>
      </c>
      <c r="L15" s="4">
        <f t="shared" si="8"/>
        <v>62916126.732186742</v>
      </c>
      <c r="M15" s="4">
        <f t="shared" si="9"/>
        <v>188748380.1965602</v>
      </c>
      <c r="N15" s="15">
        <v>97267289.090909138</v>
      </c>
      <c r="O15" s="15">
        <v>34900405.31818182</v>
      </c>
      <c r="P15" s="15">
        <v>41830557.272727281</v>
      </c>
      <c r="Q15" s="15">
        <f t="shared" si="10"/>
        <v>57999417.227272749</v>
      </c>
      <c r="R15" s="13">
        <v>0.19999999999999996</v>
      </c>
      <c r="S15" s="21">
        <f t="shared" si="11"/>
        <v>69599300.672727302</v>
      </c>
      <c r="T15" s="21">
        <f t="shared" si="4"/>
        <v>208797902.01818192</v>
      </c>
      <c r="U15" s="21">
        <f t="shared" si="5"/>
        <v>62702072.678132698</v>
      </c>
      <c r="V15" s="21">
        <f t="shared" si="6"/>
        <v>188106218.03439811</v>
      </c>
    </row>
    <row r="16" spans="1:22" x14ac:dyDescent="0.3">
      <c r="A16" s="2">
        <v>5373</v>
      </c>
      <c r="B16" s="3" t="s">
        <v>66</v>
      </c>
      <c r="C16" s="3" t="s">
        <v>127</v>
      </c>
      <c r="D16" s="4">
        <v>58243100</v>
      </c>
      <c r="E16" s="4">
        <v>36090148.772727266</v>
      </c>
      <c r="F16" s="4">
        <v>51093155.818181798</v>
      </c>
      <c r="G16" s="8">
        <f t="shared" si="0"/>
        <v>145426404.59090906</v>
      </c>
      <c r="H16" s="9">
        <f t="shared" si="1"/>
        <v>48475468.196969688</v>
      </c>
      <c r="I16" s="10">
        <f t="shared" si="12"/>
        <v>58170561.836363621</v>
      </c>
      <c r="J16" s="10">
        <f t="shared" si="2"/>
        <v>174511685.50909087</v>
      </c>
      <c r="K16" s="13">
        <f t="shared" si="3"/>
        <v>0.19999999999999996</v>
      </c>
      <c r="L16" s="4">
        <f t="shared" si="8"/>
        <v>52405911.564291544</v>
      </c>
      <c r="M16" s="4">
        <f t="shared" si="9"/>
        <v>157217734.69287464</v>
      </c>
      <c r="N16" s="15">
        <v>57649100.000000015</v>
      </c>
      <c r="O16" s="15">
        <v>36090148.772727266</v>
      </c>
      <c r="P16" s="15">
        <v>51093155.818181761</v>
      </c>
      <c r="Q16" s="15">
        <f t="shared" si="10"/>
        <v>48277468.19696968</v>
      </c>
      <c r="R16" s="13">
        <v>0.19999999999999996</v>
      </c>
      <c r="S16" s="21">
        <f t="shared" si="11"/>
        <v>57932961.836363614</v>
      </c>
      <c r="T16" s="21">
        <f t="shared" si="4"/>
        <v>173798885.50909084</v>
      </c>
      <c r="U16" s="21">
        <f t="shared" si="5"/>
        <v>52191857.510237485</v>
      </c>
      <c r="V16" s="21">
        <f t="shared" si="6"/>
        <v>156575572.53071246</v>
      </c>
    </row>
    <row r="17" spans="1:22" x14ac:dyDescent="0.3">
      <c r="A17" s="2">
        <v>6569</v>
      </c>
      <c r="B17" s="3" t="s">
        <v>67</v>
      </c>
      <c r="C17" s="3" t="s">
        <v>127</v>
      </c>
      <c r="D17" s="4">
        <v>113173549.09090909</v>
      </c>
      <c r="E17" s="4">
        <v>27154216.363636363</v>
      </c>
      <c r="F17" s="4">
        <v>0</v>
      </c>
      <c r="G17" s="8">
        <f t="shared" si="0"/>
        <v>140327765.45454547</v>
      </c>
      <c r="H17" s="9">
        <f t="shared" si="1"/>
        <v>46775921.81818182</v>
      </c>
      <c r="I17" s="10">
        <f t="shared" si="12"/>
        <v>56131106.18181818</v>
      </c>
      <c r="J17" s="10">
        <f t="shared" si="2"/>
        <v>168393318.54545453</v>
      </c>
      <c r="K17" s="13">
        <f t="shared" si="3"/>
        <v>0.19999999999999996</v>
      </c>
      <c r="L17" s="4">
        <f t="shared" si="8"/>
        <v>50568564.127764121</v>
      </c>
      <c r="M17" s="4">
        <f t="shared" si="9"/>
        <v>151705692.38329235</v>
      </c>
      <c r="N17" s="15">
        <v>108421549.09090906</v>
      </c>
      <c r="O17" s="15">
        <v>27154216.363636363</v>
      </c>
      <c r="P17" s="15">
        <v>0</v>
      </c>
      <c r="Q17" s="15">
        <f t="shared" si="10"/>
        <v>45191921.818181813</v>
      </c>
      <c r="R17" s="13">
        <v>0.19999999999999996</v>
      </c>
      <c r="S17" s="21">
        <f t="shared" si="11"/>
        <v>54230306.181818172</v>
      </c>
      <c r="T17" s="21">
        <f t="shared" si="4"/>
        <v>162690918.5454545</v>
      </c>
      <c r="U17" s="21">
        <f t="shared" si="5"/>
        <v>48856131.695331685</v>
      </c>
      <c r="V17" s="21">
        <f t="shared" si="6"/>
        <v>146568395.08599505</v>
      </c>
    </row>
    <row r="18" spans="1:22" x14ac:dyDescent="0.3">
      <c r="A18" s="2">
        <v>6008</v>
      </c>
      <c r="B18" s="3" t="s">
        <v>68</v>
      </c>
      <c r="C18" s="3" t="s">
        <v>127</v>
      </c>
      <c r="D18" s="4">
        <v>51021654.545454554</v>
      </c>
      <c r="E18" s="4">
        <v>40875750.000000007</v>
      </c>
      <c r="F18" s="4">
        <v>22943700.000000004</v>
      </c>
      <c r="G18" s="8">
        <f t="shared" si="0"/>
        <v>114841104.54545456</v>
      </c>
      <c r="H18" s="9">
        <f t="shared" si="1"/>
        <v>38280368.181818187</v>
      </c>
      <c r="I18" s="10">
        <f t="shared" si="12"/>
        <v>45936441.81818182</v>
      </c>
      <c r="J18" s="10">
        <f t="shared" si="2"/>
        <v>137809325.45454547</v>
      </c>
      <c r="K18" s="13">
        <f t="shared" si="3"/>
        <v>0.19999999999999996</v>
      </c>
      <c r="L18" s="4">
        <f t="shared" si="8"/>
        <v>41384181.818181813</v>
      </c>
      <c r="M18" s="4">
        <f t="shared" si="9"/>
        <v>124152545.45454545</v>
      </c>
      <c r="N18" s="15">
        <v>51021654.545454554</v>
      </c>
      <c r="O18" s="15">
        <v>40875750.000000007</v>
      </c>
      <c r="P18" s="15">
        <v>22943700.000000007</v>
      </c>
      <c r="Q18" s="15">
        <f t="shared" si="10"/>
        <v>38280368.181818187</v>
      </c>
      <c r="R18" s="13">
        <v>0.19999999999999996</v>
      </c>
      <c r="S18" s="21">
        <f t="shared" si="11"/>
        <v>45936441.81818182</v>
      </c>
      <c r="T18" s="21">
        <f t="shared" si="4"/>
        <v>137809325.45454547</v>
      </c>
      <c r="U18" s="21">
        <f t="shared" si="5"/>
        <v>41384181.818181813</v>
      </c>
      <c r="V18" s="21">
        <f t="shared" si="6"/>
        <v>124152545.45454545</v>
      </c>
    </row>
    <row r="19" spans="1:22" x14ac:dyDescent="0.3">
      <c r="A19" s="2">
        <v>6155</v>
      </c>
      <c r="B19" s="3" t="s">
        <v>69</v>
      </c>
      <c r="C19" s="3" t="s">
        <v>127</v>
      </c>
      <c r="D19" s="4">
        <v>32127555.818181828</v>
      </c>
      <c r="E19" s="4">
        <v>41001304.090909079</v>
      </c>
      <c r="F19" s="4">
        <v>21732872.18181818</v>
      </c>
      <c r="G19" s="8">
        <f t="shared" si="0"/>
        <v>94861732.090909094</v>
      </c>
      <c r="H19" s="9">
        <f t="shared" si="1"/>
        <v>31620577.363636363</v>
      </c>
      <c r="I19" s="10">
        <f t="shared" si="12"/>
        <v>37944692.836363636</v>
      </c>
      <c r="J19" s="10">
        <f t="shared" si="2"/>
        <v>113834078.5090909</v>
      </c>
      <c r="K19" s="13">
        <f t="shared" si="3"/>
        <v>0.19999999999999996</v>
      </c>
      <c r="L19" s="4">
        <f t="shared" si="8"/>
        <v>34184407.960687958</v>
      </c>
      <c r="M19" s="4">
        <f t="shared" si="9"/>
        <v>102553223.88206387</v>
      </c>
      <c r="N19" s="15">
        <v>30939555.81818182</v>
      </c>
      <c r="O19" s="15">
        <v>40605304.090909086</v>
      </c>
      <c r="P19" s="15">
        <v>21732872.181818187</v>
      </c>
      <c r="Q19" s="15">
        <f t="shared" si="10"/>
        <v>31092577.363636363</v>
      </c>
      <c r="R19" s="13">
        <v>0.19999999999999996</v>
      </c>
      <c r="S19" s="21">
        <f t="shared" si="11"/>
        <v>37311092.836363636</v>
      </c>
      <c r="T19" s="21">
        <f t="shared" si="4"/>
        <v>111933278.5090909</v>
      </c>
      <c r="U19" s="21">
        <f t="shared" si="5"/>
        <v>33613597.149877146</v>
      </c>
      <c r="V19" s="21">
        <f t="shared" si="6"/>
        <v>100840791.44963144</v>
      </c>
    </row>
    <row r="20" spans="1:22" x14ac:dyDescent="0.3">
      <c r="A20" s="2">
        <v>4395</v>
      </c>
      <c r="B20" s="3" t="s">
        <v>70</v>
      </c>
      <c r="C20" s="3" t="s">
        <v>127</v>
      </c>
      <c r="D20" s="4">
        <v>46889924.31818182</v>
      </c>
      <c r="E20" s="4">
        <v>6121558.1922727227</v>
      </c>
      <c r="F20" s="4">
        <v>27759660.636363644</v>
      </c>
      <c r="G20" s="8">
        <f t="shared" si="0"/>
        <v>80771143.146818191</v>
      </c>
      <c r="H20" s="9">
        <f t="shared" si="1"/>
        <v>26923714.382272732</v>
      </c>
      <c r="I20" s="10">
        <f t="shared" si="12"/>
        <v>32308457.258727275</v>
      </c>
      <c r="J20" s="10">
        <f t="shared" si="2"/>
        <v>96925371.776181817</v>
      </c>
      <c r="K20" s="13">
        <f t="shared" si="3"/>
        <v>0.19999999999999996</v>
      </c>
      <c r="L20" s="4">
        <f t="shared" si="8"/>
        <v>29106718.251105651</v>
      </c>
      <c r="M20" s="4">
        <f t="shared" si="9"/>
        <v>87320154.753316939</v>
      </c>
      <c r="N20" s="15">
        <v>46889924.318181805</v>
      </c>
      <c r="O20" s="15">
        <v>6121558.1922727227</v>
      </c>
      <c r="P20" s="15">
        <v>27759660.636363644</v>
      </c>
      <c r="Q20" s="15">
        <f t="shared" si="10"/>
        <v>26923714.382272724</v>
      </c>
      <c r="R20" s="13">
        <v>0.19999999999999996</v>
      </c>
      <c r="S20" s="21">
        <f t="shared" si="11"/>
        <v>32308457.258727267</v>
      </c>
      <c r="T20" s="21">
        <f t="shared" si="4"/>
        <v>96925371.776181802</v>
      </c>
      <c r="U20" s="21">
        <f t="shared" si="5"/>
        <v>29106718.251105644</v>
      </c>
      <c r="V20" s="21">
        <f t="shared" si="6"/>
        <v>87320154.753316924</v>
      </c>
    </row>
    <row r="21" spans="1:22" x14ac:dyDescent="0.3">
      <c r="A21" s="2">
        <v>6191</v>
      </c>
      <c r="B21" s="3" t="s">
        <v>71</v>
      </c>
      <c r="C21" s="3" t="s">
        <v>127</v>
      </c>
      <c r="D21" s="4">
        <v>10972930.90909091</v>
      </c>
      <c r="E21" s="4">
        <v>33976817.727272734</v>
      </c>
      <c r="F21" s="4">
        <v>31749929.181818184</v>
      </c>
      <c r="G21" s="8">
        <f t="shared" si="0"/>
        <v>76699677.818181828</v>
      </c>
      <c r="H21" s="9">
        <f t="shared" si="1"/>
        <v>25566559.272727277</v>
      </c>
      <c r="I21" s="10">
        <f t="shared" si="12"/>
        <v>30679871.127272733</v>
      </c>
      <c r="J21" s="10">
        <f t="shared" si="2"/>
        <v>92039613.381818205</v>
      </c>
      <c r="K21" s="13">
        <f t="shared" si="3"/>
        <v>0.19999999999999996</v>
      </c>
      <c r="L21" s="4">
        <f t="shared" si="8"/>
        <v>27639523.538083542</v>
      </c>
      <c r="M21" s="4">
        <f t="shared" si="9"/>
        <v>82918570.61425063</v>
      </c>
      <c r="N21" s="15">
        <v>10972930.90909091</v>
      </c>
      <c r="O21" s="15">
        <v>33976817.727272734</v>
      </c>
      <c r="P21" s="15">
        <v>31749929.181818187</v>
      </c>
      <c r="Q21" s="15">
        <f t="shared" si="10"/>
        <v>25566559.272727277</v>
      </c>
      <c r="R21" s="13">
        <v>0.19999999999999996</v>
      </c>
      <c r="S21" s="21">
        <f t="shared" si="11"/>
        <v>30679871.127272733</v>
      </c>
      <c r="T21" s="21">
        <f t="shared" si="4"/>
        <v>92039613.381818205</v>
      </c>
      <c r="U21" s="21">
        <f t="shared" si="5"/>
        <v>27639523.538083542</v>
      </c>
      <c r="V21" s="21">
        <f t="shared" si="6"/>
        <v>82918570.61425063</v>
      </c>
    </row>
    <row r="22" spans="1:22" x14ac:dyDescent="0.3">
      <c r="A22" s="2">
        <v>6619</v>
      </c>
      <c r="B22" s="3" t="s">
        <v>72</v>
      </c>
      <c r="C22" s="3" t="s">
        <v>127</v>
      </c>
      <c r="D22" s="4">
        <v>0</v>
      </c>
      <c r="E22" s="4">
        <v>21914904.681818191</v>
      </c>
      <c r="F22" s="4">
        <v>42935438.045454532</v>
      </c>
      <c r="G22" s="8">
        <f t="shared" si="0"/>
        <v>64850342.727272719</v>
      </c>
      <c r="H22" s="9">
        <f t="shared" si="1"/>
        <v>21616780.909090906</v>
      </c>
      <c r="I22" s="10">
        <f>H22*130%</f>
        <v>28101815.18181818</v>
      </c>
      <c r="J22" s="10">
        <f t="shared" si="2"/>
        <v>84305445.545454532</v>
      </c>
      <c r="K22" s="13">
        <f t="shared" si="3"/>
        <v>0.30000000000000004</v>
      </c>
      <c r="L22" s="4">
        <f t="shared" si="8"/>
        <v>25316950.614250612</v>
      </c>
      <c r="M22" s="4">
        <f t="shared" si="9"/>
        <v>75950851.842751831</v>
      </c>
      <c r="N22" s="15">
        <v>0</v>
      </c>
      <c r="O22" s="15">
        <v>21914904.681818191</v>
      </c>
      <c r="P22" s="15">
        <v>42935438.045454532</v>
      </c>
      <c r="Q22" s="15">
        <f t="shared" si="10"/>
        <v>21616780.909090906</v>
      </c>
      <c r="R22" s="13">
        <v>0.30000000000000004</v>
      </c>
      <c r="S22" s="21">
        <f t="shared" si="11"/>
        <v>28101815.18181818</v>
      </c>
      <c r="T22" s="21">
        <f t="shared" si="4"/>
        <v>84305445.545454532</v>
      </c>
      <c r="U22" s="21">
        <f t="shared" si="5"/>
        <v>25316950.614250612</v>
      </c>
      <c r="V22" s="21">
        <f t="shared" si="6"/>
        <v>75950851.842751831</v>
      </c>
    </row>
    <row r="23" spans="1:22" x14ac:dyDescent="0.3">
      <c r="A23" s="2" t="s">
        <v>73</v>
      </c>
      <c r="B23" s="3" t="s">
        <v>74</v>
      </c>
      <c r="C23" s="3" t="s">
        <v>127</v>
      </c>
      <c r="D23" s="4">
        <v>20792855.454545457</v>
      </c>
      <c r="E23" s="4">
        <v>18594466.363636371</v>
      </c>
      <c r="F23" s="4">
        <v>22637806.909090914</v>
      </c>
      <c r="G23" s="8">
        <f t="shared" si="0"/>
        <v>62025128.727272741</v>
      </c>
      <c r="H23" s="9">
        <f t="shared" si="1"/>
        <v>20675042.909090914</v>
      </c>
      <c r="I23" s="10">
        <f>H23*130%</f>
        <v>26877555.781818189</v>
      </c>
      <c r="J23" s="10">
        <f>I23*3</f>
        <v>80632667.345454574</v>
      </c>
      <c r="K23" s="13">
        <f t="shared" si="3"/>
        <v>0.30000000000000004</v>
      </c>
      <c r="L23" s="4">
        <f t="shared" si="8"/>
        <v>24214014.21785422</v>
      </c>
      <c r="M23" s="4">
        <f t="shared" si="9"/>
        <v>72642042.65356268</v>
      </c>
      <c r="N23" s="15">
        <v>20792855.454545461</v>
      </c>
      <c r="O23" s="15">
        <v>18000466.363636371</v>
      </c>
      <c r="P23" s="15">
        <v>22637806.90909091</v>
      </c>
      <c r="Q23" s="15">
        <f t="shared" si="10"/>
        <v>20477042.90909091</v>
      </c>
      <c r="R23" s="13">
        <v>0.30000000000000004</v>
      </c>
      <c r="S23" s="21">
        <f t="shared" si="11"/>
        <v>26620155.781818185</v>
      </c>
      <c r="T23" s="21">
        <f t="shared" si="4"/>
        <v>79860467.345454559</v>
      </c>
      <c r="U23" s="21">
        <f t="shared" si="5"/>
        <v>23982122.325962327</v>
      </c>
      <c r="V23" s="21">
        <f t="shared" si="6"/>
        <v>71946366.97788699</v>
      </c>
    </row>
    <row r="24" spans="1:22" x14ac:dyDescent="0.3">
      <c r="A24" s="2" t="s">
        <v>129</v>
      </c>
      <c r="B24" s="3" t="s">
        <v>130</v>
      </c>
      <c r="C24" s="3" t="s">
        <v>128</v>
      </c>
      <c r="D24" s="4">
        <v>25105540.77272727</v>
      </c>
      <c r="E24" s="4">
        <v>6217970.4545454551</v>
      </c>
      <c r="F24" s="4">
        <v>16249618.36363636</v>
      </c>
      <c r="G24" s="8"/>
      <c r="H24" s="9"/>
      <c r="I24" s="10"/>
      <c r="J24" s="10"/>
      <c r="K24" s="13"/>
      <c r="L24" s="4"/>
      <c r="M24" s="4"/>
      <c r="N24" s="33">
        <v>25105540.77272727</v>
      </c>
      <c r="O24" s="33">
        <v>6217970.4545454551</v>
      </c>
      <c r="P24" s="33">
        <v>16249618.36363636</v>
      </c>
      <c r="Q24" s="15">
        <f t="shared" si="10"/>
        <v>15857709.863636361</v>
      </c>
      <c r="R24" s="13">
        <f>S24/Q24-1</f>
        <v>0.10000000000000009</v>
      </c>
      <c r="S24" s="21">
        <v>17443480.849999998</v>
      </c>
      <c r="T24" s="21">
        <f t="shared" ref="T24:T25" si="13">S24*3</f>
        <v>52330442.549999997</v>
      </c>
      <c r="U24" s="21">
        <f t="shared" ref="U24:U25" si="14">S24/1.11</f>
        <v>15714847.612612609</v>
      </c>
      <c r="V24" s="21">
        <f t="shared" ref="V24:V25" si="15">T24/1.11</f>
        <v>47144542.83783783</v>
      </c>
    </row>
    <row r="25" spans="1:22" x14ac:dyDescent="0.3">
      <c r="A25" s="2">
        <v>4351</v>
      </c>
      <c r="B25" s="3" t="s">
        <v>131</v>
      </c>
      <c r="C25" s="3" t="s">
        <v>128</v>
      </c>
      <c r="D25" s="4"/>
      <c r="E25" s="4"/>
      <c r="F25" s="4"/>
      <c r="G25" s="8"/>
      <c r="H25" s="9"/>
      <c r="I25" s="10"/>
      <c r="J25" s="10"/>
      <c r="K25" s="13"/>
      <c r="L25" s="4"/>
      <c r="M25" s="4"/>
      <c r="N25" s="33">
        <v>12860213.590909094</v>
      </c>
      <c r="O25" s="33">
        <v>13663849.090909097</v>
      </c>
      <c r="P25" s="33">
        <v>23792913.000000019</v>
      </c>
      <c r="Q25" s="15">
        <f t="shared" si="10"/>
        <v>16772325.227272736</v>
      </c>
      <c r="R25" s="13">
        <f>S25/Q25-1</f>
        <v>0.10000000000000009</v>
      </c>
      <c r="S25" s="21">
        <v>18449557.750000011</v>
      </c>
      <c r="T25" s="21">
        <f t="shared" si="13"/>
        <v>55348673.25000003</v>
      </c>
      <c r="U25" s="21">
        <f t="shared" si="14"/>
        <v>16621223.198198207</v>
      </c>
      <c r="V25" s="21">
        <f t="shared" si="15"/>
        <v>49863669.59459462</v>
      </c>
    </row>
    <row r="26" spans="1:22" x14ac:dyDescent="0.3">
      <c r="A26" s="6" t="s">
        <v>49</v>
      </c>
      <c r="B26" s="6"/>
      <c r="C26" s="6"/>
      <c r="D26" s="5">
        <v>2723429620.40909</v>
      </c>
      <c r="E26" s="5">
        <v>2226389522.4195461</v>
      </c>
      <c r="F26" s="5">
        <v>2214952560.454545</v>
      </c>
      <c r="G26" s="11">
        <f t="shared" si="0"/>
        <v>7164771703.2831812</v>
      </c>
      <c r="H26" s="11">
        <f t="shared" si="1"/>
        <v>2388257234.4277272</v>
      </c>
      <c r="I26" s="11">
        <f t="shared" ref="I26:J26" si="16">H26*110%</f>
        <v>2627082957.8705001</v>
      </c>
      <c r="J26" s="11">
        <f t="shared" si="16"/>
        <v>2889791253.6575503</v>
      </c>
      <c r="K26" s="14">
        <f t="shared" si="3"/>
        <v>0.10000000000000009</v>
      </c>
      <c r="L26" s="11">
        <f>SUM(L6:L23)</f>
        <v>1867987875.0235591</v>
      </c>
      <c r="M26" s="11">
        <f>SUM(M6:M23)</f>
        <v>5603963625.0706758</v>
      </c>
      <c r="N26" s="22"/>
      <c r="O26" s="22"/>
      <c r="P26" s="22"/>
      <c r="Q26" s="22"/>
      <c r="R26" s="22"/>
      <c r="S26" s="22"/>
      <c r="T26" s="22"/>
      <c r="U26" s="22"/>
      <c r="V26" s="22"/>
    </row>
  </sheetData>
  <mergeCells count="2">
    <mergeCell ref="A1:M2"/>
    <mergeCell ref="N4:V4"/>
  </mergeCells>
  <pageMargins left="0.25" right="0.25" top="0.75" bottom="0.75" header="0.3" footer="0.3"/>
  <pageSetup paperSize="9" scale="77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3EE5-F707-431F-A7BF-EFF8266F24CB}">
  <dimension ref="A1:V13"/>
  <sheetViews>
    <sheetView topLeftCell="H1" workbookViewId="0">
      <selection activeCell="J18" sqref="J18"/>
    </sheetView>
  </sheetViews>
  <sheetFormatPr defaultRowHeight="14.4" x14ac:dyDescent="0.3"/>
  <cols>
    <col min="1" max="1" width="12.6640625" bestFit="1" customWidth="1"/>
    <col min="2" max="2" width="38.44140625" bestFit="1" customWidth="1"/>
    <col min="3" max="5" width="13.6640625" bestFit="1" customWidth="1"/>
    <col min="6" max="6" width="14.6640625" bestFit="1" customWidth="1"/>
    <col min="7" max="8" width="13.6640625" bestFit="1" customWidth="1"/>
    <col min="9" max="9" width="19.109375" bestFit="1" customWidth="1"/>
    <col min="11" max="11" width="13.6640625" bestFit="1" customWidth="1"/>
    <col min="12" max="12" width="19.33203125" bestFit="1" customWidth="1"/>
    <col min="13" max="16" width="11.21875" bestFit="1" customWidth="1"/>
    <col min="17" max="17" width="7.109375" bestFit="1" customWidth="1"/>
    <col min="18" max="18" width="16.5546875" bestFit="1" customWidth="1"/>
    <col min="19" max="19" width="17.77734375" bestFit="1" customWidth="1"/>
    <col min="20" max="20" width="16.5546875" bestFit="1" customWidth="1"/>
    <col min="21" max="21" width="17.77734375" bestFit="1" customWidth="1"/>
    <col min="22" max="22" width="8.77734375" customWidth="1"/>
  </cols>
  <sheetData>
    <row r="1" spans="1:22" ht="14.7" customHeight="1" x14ac:dyDescent="0.3">
      <c r="A1" s="43" t="s">
        <v>104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22" ht="14.7" customHeight="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4" spans="1:22" ht="18" x14ac:dyDescent="0.35">
      <c r="C4" s="42">
        <v>2024</v>
      </c>
      <c r="D4" s="42"/>
      <c r="E4" s="12">
        <v>2025</v>
      </c>
      <c r="M4" s="44" t="s">
        <v>118</v>
      </c>
      <c r="N4" s="44"/>
      <c r="O4" s="44"/>
      <c r="P4" s="44"/>
      <c r="Q4" s="44"/>
      <c r="R4" s="44"/>
      <c r="S4" s="44"/>
      <c r="T4" s="44"/>
      <c r="U4" s="44"/>
    </row>
    <row r="5" spans="1:22" x14ac:dyDescent="0.3">
      <c r="A5" s="1" t="s">
        <v>0</v>
      </c>
      <c r="B5" s="1" t="s">
        <v>1</v>
      </c>
      <c r="C5" s="7" t="s">
        <v>2</v>
      </c>
      <c r="D5" s="7" t="s">
        <v>3</v>
      </c>
      <c r="E5" s="7" t="s">
        <v>4</v>
      </c>
      <c r="F5" s="7" t="s">
        <v>75</v>
      </c>
      <c r="G5" s="7" t="s">
        <v>76</v>
      </c>
      <c r="H5" s="7" t="s">
        <v>77</v>
      </c>
      <c r="I5" s="7" t="s">
        <v>80</v>
      </c>
      <c r="J5" s="7" t="s">
        <v>78</v>
      </c>
      <c r="K5" s="7" t="s">
        <v>81</v>
      </c>
      <c r="L5" s="7" t="s">
        <v>82</v>
      </c>
      <c r="M5" s="18" t="s">
        <v>2</v>
      </c>
      <c r="N5" s="18" t="s">
        <v>119</v>
      </c>
      <c r="O5" s="18" t="s">
        <v>4</v>
      </c>
      <c r="P5" s="18" t="s">
        <v>120</v>
      </c>
      <c r="Q5" s="19" t="s">
        <v>121</v>
      </c>
      <c r="R5" s="18" t="s">
        <v>122</v>
      </c>
      <c r="S5" s="18" t="s">
        <v>123</v>
      </c>
      <c r="T5" s="18" t="s">
        <v>124</v>
      </c>
      <c r="U5" s="20" t="s">
        <v>125</v>
      </c>
    </row>
    <row r="6" spans="1:22" s="32" customFormat="1" x14ac:dyDescent="0.3">
      <c r="A6" s="25" t="s">
        <v>83</v>
      </c>
      <c r="B6" s="26" t="s">
        <v>84</v>
      </c>
      <c r="C6" s="27">
        <v>0</v>
      </c>
      <c r="D6" s="27">
        <v>24737515.454545457</v>
      </c>
      <c r="E6" s="27">
        <v>19334594.181818184</v>
      </c>
      <c r="F6" s="28">
        <f t="shared" ref="F6:F12" si="0">SUM(C6:E6)</f>
        <v>44072109.63636364</v>
      </c>
      <c r="G6" s="28">
        <f t="shared" ref="G6:G12" si="1">AVERAGE(C6:E6)</f>
        <v>14690703.212121213</v>
      </c>
      <c r="H6" s="28">
        <f>G6*115%</f>
        <v>16894308.693939395</v>
      </c>
      <c r="I6" s="28">
        <f t="shared" ref="I6:I11" si="2">H6*3</f>
        <v>50682926.081818186</v>
      </c>
      <c r="J6" s="29">
        <f t="shared" ref="J6:J12" si="3">H6/G6-1</f>
        <v>0.15000000000000013</v>
      </c>
      <c r="K6" s="27">
        <f>H6/1.11</f>
        <v>15220097.922467923</v>
      </c>
      <c r="L6" s="27">
        <f>I6/1.11</f>
        <v>45660293.767403767</v>
      </c>
      <c r="M6" s="30">
        <v>0</v>
      </c>
      <c r="N6" s="30">
        <v>23549515.454545457</v>
      </c>
      <c r="O6" s="30">
        <v>19334594.181818184</v>
      </c>
      <c r="P6" s="30">
        <f>AVERAGE(M6:O6)</f>
        <v>14294703.212121213</v>
      </c>
      <c r="Q6" s="29">
        <v>0.15000000000000013</v>
      </c>
      <c r="R6" s="31">
        <f>P6+(P6*Q6)</f>
        <v>16438908.693939397</v>
      </c>
      <c r="S6" s="31">
        <f t="shared" ref="S6:S12" si="4">R6*3</f>
        <v>49316726.081818193</v>
      </c>
      <c r="T6" s="31">
        <f t="shared" ref="T6:T12" si="5">R6/1.11</f>
        <v>14809827.652197653</v>
      </c>
      <c r="U6" s="31">
        <f t="shared" ref="U6:U12" si="6">S6/1.11</f>
        <v>44429482.956592962</v>
      </c>
      <c r="V6" s="32" t="s">
        <v>126</v>
      </c>
    </row>
    <row r="7" spans="1:22" s="32" customFormat="1" x14ac:dyDescent="0.3">
      <c r="A7" s="25" t="s">
        <v>85</v>
      </c>
      <c r="B7" s="26" t="s">
        <v>86</v>
      </c>
      <c r="C7" s="27">
        <v>10972474.500000002</v>
      </c>
      <c r="D7" s="27">
        <v>15228274.090909094</v>
      </c>
      <c r="E7" s="27">
        <v>14715004.363636365</v>
      </c>
      <c r="F7" s="28">
        <f t="shared" si="0"/>
        <v>40915752.954545461</v>
      </c>
      <c r="G7" s="28">
        <f t="shared" si="1"/>
        <v>13638584.31818182</v>
      </c>
      <c r="H7" s="28">
        <f>G7*115%</f>
        <v>15684371.965909092</v>
      </c>
      <c r="I7" s="28">
        <f t="shared" si="2"/>
        <v>47053115.897727273</v>
      </c>
      <c r="J7" s="29">
        <f t="shared" si="3"/>
        <v>0.14999999999999991</v>
      </c>
      <c r="K7" s="27">
        <f t="shared" ref="K7:K12" si="7">H7/1.11</f>
        <v>14130064.834152333</v>
      </c>
      <c r="L7" s="27">
        <f t="shared" ref="L7:L12" si="8">I7/1.11</f>
        <v>42390194.502457</v>
      </c>
      <c r="M7" s="30">
        <v>10972474.500000002</v>
      </c>
      <c r="N7" s="30">
        <v>15096274.090909094</v>
      </c>
      <c r="O7" s="30">
        <v>14715004.363636365</v>
      </c>
      <c r="P7" s="30">
        <f t="shared" ref="P7:P12" si="9">AVERAGE(M7:O7)</f>
        <v>13594584.31818182</v>
      </c>
      <c r="Q7" s="29">
        <v>0.14999999999999991</v>
      </c>
      <c r="R7" s="31">
        <f t="shared" ref="R7:R12" si="10">P7+(P7*Q7)</f>
        <v>15633771.965909092</v>
      </c>
      <c r="S7" s="31">
        <f t="shared" si="4"/>
        <v>46901315.897727273</v>
      </c>
      <c r="T7" s="31">
        <f t="shared" si="5"/>
        <v>14084479.248566749</v>
      </c>
      <c r="U7" s="31">
        <f t="shared" si="6"/>
        <v>42253437.74570024</v>
      </c>
      <c r="V7" s="32" t="s">
        <v>126</v>
      </c>
    </row>
    <row r="8" spans="1:22" s="32" customFormat="1" x14ac:dyDescent="0.3">
      <c r="A8" s="25" t="s">
        <v>87</v>
      </c>
      <c r="B8" s="26" t="s">
        <v>88</v>
      </c>
      <c r="C8" s="27">
        <v>6550866</v>
      </c>
      <c r="D8" s="27">
        <v>26174650.909090918</v>
      </c>
      <c r="E8" s="27">
        <v>6270836.1818181826</v>
      </c>
      <c r="F8" s="28">
        <f t="shared" si="0"/>
        <v>38996353.090909101</v>
      </c>
      <c r="G8" s="28">
        <f t="shared" si="1"/>
        <v>12998784.363636367</v>
      </c>
      <c r="H8" s="28">
        <f>G8*115%</f>
        <v>14948602.018181821</v>
      </c>
      <c r="I8" s="28">
        <f t="shared" si="2"/>
        <v>44845806.054545462</v>
      </c>
      <c r="J8" s="29">
        <f t="shared" si="3"/>
        <v>0.14999999999999991</v>
      </c>
      <c r="K8" s="27">
        <f t="shared" si="7"/>
        <v>13467209.025389027</v>
      </c>
      <c r="L8" s="27">
        <f t="shared" si="8"/>
        <v>40401627.076167077</v>
      </c>
      <c r="M8" s="30">
        <v>6550866</v>
      </c>
      <c r="N8" s="30">
        <v>25778650.909090918</v>
      </c>
      <c r="O8" s="30">
        <v>6270836.1818181826</v>
      </c>
      <c r="P8" s="30">
        <f t="shared" si="9"/>
        <v>12866784.363636367</v>
      </c>
      <c r="Q8" s="29">
        <v>0.14999999999999991</v>
      </c>
      <c r="R8" s="31">
        <f t="shared" si="10"/>
        <v>14796802.018181821</v>
      </c>
      <c r="S8" s="31">
        <f t="shared" si="4"/>
        <v>44390406.054545462</v>
      </c>
      <c r="T8" s="31">
        <f t="shared" si="5"/>
        <v>13330452.26863227</v>
      </c>
      <c r="U8" s="31">
        <f t="shared" si="6"/>
        <v>39991356.805896811</v>
      </c>
      <c r="V8" s="32" t="s">
        <v>126</v>
      </c>
    </row>
    <row r="9" spans="1:22" s="32" customFormat="1" x14ac:dyDescent="0.3">
      <c r="A9" s="25" t="s">
        <v>89</v>
      </c>
      <c r="B9" s="26" t="s">
        <v>90</v>
      </c>
      <c r="C9" s="27">
        <v>6729545.4545454541</v>
      </c>
      <c r="D9" s="27">
        <v>7628727.2727272725</v>
      </c>
      <c r="E9" s="27">
        <v>14945949</v>
      </c>
      <c r="F9" s="28">
        <f t="shared" si="0"/>
        <v>29304221.727272727</v>
      </c>
      <c r="G9" s="28">
        <f t="shared" si="1"/>
        <v>9768073.9090909082</v>
      </c>
      <c r="H9" s="28">
        <f>G9*115%</f>
        <v>11233284.995454544</v>
      </c>
      <c r="I9" s="28">
        <f t="shared" si="2"/>
        <v>33699854.986363634</v>
      </c>
      <c r="J9" s="29">
        <f t="shared" si="3"/>
        <v>0.14999999999999991</v>
      </c>
      <c r="K9" s="27">
        <f t="shared" si="7"/>
        <v>10120076.572481571</v>
      </c>
      <c r="L9" s="27">
        <f t="shared" si="8"/>
        <v>30360229.717444714</v>
      </c>
      <c r="M9" s="30">
        <v>6729545.4545454541</v>
      </c>
      <c r="N9" s="30">
        <v>7628727.2727272725</v>
      </c>
      <c r="O9" s="30">
        <v>14945949</v>
      </c>
      <c r="P9" s="30">
        <f t="shared" si="9"/>
        <v>9768073.9090909082</v>
      </c>
      <c r="Q9" s="29">
        <v>0.14999999999999991</v>
      </c>
      <c r="R9" s="31">
        <f t="shared" si="10"/>
        <v>11233284.995454544</v>
      </c>
      <c r="S9" s="31">
        <f t="shared" si="4"/>
        <v>33699854.986363634</v>
      </c>
      <c r="T9" s="31">
        <f t="shared" si="5"/>
        <v>10120076.572481571</v>
      </c>
      <c r="U9" s="31">
        <f t="shared" si="6"/>
        <v>30360229.717444714</v>
      </c>
      <c r="V9" s="32" t="s">
        <v>126</v>
      </c>
    </row>
    <row r="10" spans="1:22" s="32" customFormat="1" x14ac:dyDescent="0.3">
      <c r="A10" s="25" t="s">
        <v>91</v>
      </c>
      <c r="B10" s="26" t="s">
        <v>92</v>
      </c>
      <c r="C10" s="27">
        <v>7325798.1818181826</v>
      </c>
      <c r="D10" s="27">
        <v>2566198.1818181821</v>
      </c>
      <c r="E10" s="27">
        <v>14536915.454545457</v>
      </c>
      <c r="F10" s="28">
        <f t="shared" si="0"/>
        <v>24428911.81818182</v>
      </c>
      <c r="G10" s="28">
        <f t="shared" si="1"/>
        <v>8142970.6060606064</v>
      </c>
      <c r="H10" s="28">
        <f t="shared" ref="H10:H12" si="11">G10*110%</f>
        <v>8957267.6666666679</v>
      </c>
      <c r="I10" s="28">
        <f t="shared" si="2"/>
        <v>26871803.000000004</v>
      </c>
      <c r="J10" s="29">
        <f t="shared" si="3"/>
        <v>0.10000000000000009</v>
      </c>
      <c r="K10" s="27">
        <f t="shared" si="7"/>
        <v>8069610.5105105108</v>
      </c>
      <c r="L10" s="27">
        <f t="shared" si="8"/>
        <v>24208831.531531531</v>
      </c>
      <c r="M10" s="30">
        <v>7325798.1818181826</v>
      </c>
      <c r="N10" s="30">
        <v>2566198.1818181821</v>
      </c>
      <c r="O10" s="30">
        <v>14536915.454545457</v>
      </c>
      <c r="P10" s="30">
        <f t="shared" si="9"/>
        <v>8142970.6060606064</v>
      </c>
      <c r="Q10" s="29">
        <v>0.10000000000000009</v>
      </c>
      <c r="R10" s="31">
        <f t="shared" si="10"/>
        <v>8957267.6666666679</v>
      </c>
      <c r="S10" s="31">
        <f t="shared" si="4"/>
        <v>26871803.000000004</v>
      </c>
      <c r="T10" s="31">
        <f t="shared" si="5"/>
        <v>8069610.5105105108</v>
      </c>
      <c r="U10" s="31">
        <f t="shared" si="6"/>
        <v>24208831.531531531</v>
      </c>
      <c r="V10" s="32" t="s">
        <v>126</v>
      </c>
    </row>
    <row r="11" spans="1:22" s="32" customFormat="1" x14ac:dyDescent="0.3">
      <c r="A11" s="25" t="s">
        <v>93</v>
      </c>
      <c r="B11" s="26" t="s">
        <v>94</v>
      </c>
      <c r="C11" s="27">
        <v>5694942.2727272715</v>
      </c>
      <c r="D11" s="27">
        <v>7687345.0000000009</v>
      </c>
      <c r="E11" s="27">
        <v>8367525.3636363642</v>
      </c>
      <c r="F11" s="28">
        <f t="shared" si="0"/>
        <v>21749812.636363637</v>
      </c>
      <c r="G11" s="28">
        <f t="shared" si="1"/>
        <v>7249937.5454545459</v>
      </c>
      <c r="H11" s="28">
        <f>G11*115%</f>
        <v>8337428.1772727268</v>
      </c>
      <c r="I11" s="28">
        <f t="shared" si="2"/>
        <v>25012284.531818181</v>
      </c>
      <c r="J11" s="29">
        <f t="shared" si="3"/>
        <v>0.14999999999999991</v>
      </c>
      <c r="K11" s="27">
        <f t="shared" si="7"/>
        <v>7511196.556101555</v>
      </c>
      <c r="L11" s="27">
        <f t="shared" si="8"/>
        <v>22533589.668304667</v>
      </c>
      <c r="M11" s="30">
        <v>5694942.2727272715</v>
      </c>
      <c r="N11" s="30">
        <v>7687345.0000000009</v>
      </c>
      <c r="O11" s="30">
        <v>8367525.3636363642</v>
      </c>
      <c r="P11" s="30">
        <f t="shared" si="9"/>
        <v>7249937.5454545459</v>
      </c>
      <c r="Q11" s="29">
        <v>0.14999999999999991</v>
      </c>
      <c r="R11" s="31">
        <f t="shared" si="10"/>
        <v>8337428.1772727268</v>
      </c>
      <c r="S11" s="31">
        <f t="shared" si="4"/>
        <v>25012284.531818181</v>
      </c>
      <c r="T11" s="31">
        <f t="shared" si="5"/>
        <v>7511196.556101555</v>
      </c>
      <c r="U11" s="31">
        <f t="shared" si="6"/>
        <v>22533589.668304667</v>
      </c>
      <c r="V11" s="32" t="s">
        <v>126</v>
      </c>
    </row>
    <row r="12" spans="1:22" s="32" customFormat="1" x14ac:dyDescent="0.3">
      <c r="A12" s="25" t="s">
        <v>95</v>
      </c>
      <c r="B12" s="26" t="s">
        <v>96</v>
      </c>
      <c r="C12" s="27">
        <v>7045718.0454545449</v>
      </c>
      <c r="D12" s="27">
        <v>5059772.0454545449</v>
      </c>
      <c r="E12" s="27">
        <v>5874932.0909090918</v>
      </c>
      <c r="F12" s="28">
        <f t="shared" si="0"/>
        <v>17980422.18181818</v>
      </c>
      <c r="G12" s="28">
        <f t="shared" si="1"/>
        <v>5993474.0606060596</v>
      </c>
      <c r="H12" s="28">
        <f t="shared" si="11"/>
        <v>6592821.4666666659</v>
      </c>
      <c r="I12" s="28">
        <f>H12*3</f>
        <v>19778464.399999999</v>
      </c>
      <c r="J12" s="29">
        <f t="shared" si="3"/>
        <v>0.10000000000000009</v>
      </c>
      <c r="K12" s="27">
        <f t="shared" si="7"/>
        <v>5939478.7987987977</v>
      </c>
      <c r="L12" s="27">
        <f t="shared" si="8"/>
        <v>17818436.396396395</v>
      </c>
      <c r="M12" s="30">
        <v>7045718.0454545449</v>
      </c>
      <c r="N12" s="30">
        <v>5059772.0454545449</v>
      </c>
      <c r="O12" s="30">
        <v>5874932.0909090918</v>
      </c>
      <c r="P12" s="30">
        <f t="shared" si="9"/>
        <v>5993474.0606060596</v>
      </c>
      <c r="Q12" s="29">
        <v>0.10000000000000009</v>
      </c>
      <c r="R12" s="31">
        <f t="shared" si="10"/>
        <v>6592821.4666666659</v>
      </c>
      <c r="S12" s="31">
        <f t="shared" si="4"/>
        <v>19778464.399999999</v>
      </c>
      <c r="T12" s="31">
        <f t="shared" si="5"/>
        <v>5939478.7987987977</v>
      </c>
      <c r="U12" s="31">
        <f t="shared" si="6"/>
        <v>17818436.396396395</v>
      </c>
      <c r="V12" s="32" t="s">
        <v>126</v>
      </c>
    </row>
    <row r="13" spans="1:22" x14ac:dyDescent="0.3">
      <c r="A13" s="6" t="s">
        <v>49</v>
      </c>
      <c r="B13" s="6"/>
      <c r="C13" s="5">
        <f>SUM(C6:C12)</f>
        <v>44319344.454545453</v>
      </c>
      <c r="D13" s="5">
        <f t="shared" ref="D13:E13" si="12">SUM(D6:D12)</f>
        <v>89082482.954545468</v>
      </c>
      <c r="E13" s="5">
        <f t="shared" si="12"/>
        <v>84045756.63636364</v>
      </c>
      <c r="F13" s="5">
        <f t="shared" ref="F13" si="13">SUM(F6:F12)</f>
        <v>217447584.04545453</v>
      </c>
      <c r="G13" s="5">
        <f t="shared" ref="G13" si="14">SUM(G6:G12)</f>
        <v>72482528.015151516</v>
      </c>
      <c r="H13" s="5">
        <f t="shared" ref="H13" si="15">SUM(H6:H12)</f>
        <v>82648084.984090909</v>
      </c>
      <c r="I13" s="5">
        <f>SUM(I6:I12)</f>
        <v>247944254.95227277</v>
      </c>
      <c r="J13" s="14">
        <f>H13/G13-1</f>
        <v>0.14024837774441878</v>
      </c>
      <c r="K13" s="11">
        <f>SUM(K6:K12)</f>
        <v>74457734.219901726</v>
      </c>
      <c r="L13" s="11">
        <f>SUM(L6:L12)</f>
        <v>223373202.65970516</v>
      </c>
      <c r="M13" s="22"/>
      <c r="N13" s="22"/>
      <c r="O13" s="22"/>
      <c r="P13" s="22"/>
      <c r="Q13" s="22"/>
      <c r="R13" s="22"/>
      <c r="S13" s="22"/>
      <c r="T13" s="22"/>
      <c r="U13" s="22"/>
    </row>
  </sheetData>
  <mergeCells count="3">
    <mergeCell ref="C4:D4"/>
    <mergeCell ref="A1:L2"/>
    <mergeCell ref="M4:U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4E47-A807-457A-A4AF-7EE548BF23AB}">
  <sheetPr>
    <pageSetUpPr fitToPage="1"/>
  </sheetPr>
  <dimension ref="A1:V21"/>
  <sheetViews>
    <sheetView workbookViewId="0">
      <selection activeCell="P18" sqref="P18"/>
    </sheetView>
  </sheetViews>
  <sheetFormatPr defaultRowHeight="14.4" x14ac:dyDescent="0.3"/>
  <cols>
    <col min="1" max="1" width="12.6640625" bestFit="1" customWidth="1"/>
    <col min="2" max="2" width="28.5546875" bestFit="1" customWidth="1"/>
    <col min="3" max="3" width="7.6640625" bestFit="1" customWidth="1"/>
    <col min="4" max="7" width="14.6640625" hidden="1" customWidth="1"/>
    <col min="8" max="8" width="18" hidden="1" customWidth="1"/>
    <col min="9" max="9" width="17.44140625" hidden="1" customWidth="1"/>
    <col min="10" max="10" width="19.109375" hidden="1" customWidth="1"/>
    <col min="11" max="11" width="8.88671875" hidden="1" customWidth="1"/>
    <col min="12" max="12" width="13.6640625" hidden="1" customWidth="1"/>
    <col min="13" max="13" width="19.33203125" hidden="1" customWidth="1"/>
    <col min="14" max="17" width="12.21875" bestFit="1" customWidth="1"/>
    <col min="18" max="18" width="7.109375" bestFit="1" customWidth="1"/>
    <col min="19" max="19" width="16.5546875" bestFit="1" customWidth="1"/>
    <col min="20" max="20" width="17.77734375" bestFit="1" customWidth="1"/>
    <col min="21" max="21" width="16.5546875" bestFit="1" customWidth="1"/>
    <col min="22" max="22" width="17.77734375" bestFit="1" customWidth="1"/>
    <col min="23" max="23" width="8.6640625" customWidth="1"/>
  </cols>
  <sheetData>
    <row r="1" spans="1:22" ht="14.7" customHeight="1" x14ac:dyDescent="0.3">
      <c r="A1" s="45" t="s">
        <v>109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22" ht="14.7" customHeight="1" x14ac:dyDescent="0.3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50"/>
    </row>
    <row r="4" spans="1:22" ht="18" x14ac:dyDescent="0.35">
      <c r="D4" s="42">
        <v>2024</v>
      </c>
      <c r="E4" s="42"/>
      <c r="F4" s="12">
        <v>2025</v>
      </c>
      <c r="N4" s="44" t="s">
        <v>118</v>
      </c>
      <c r="O4" s="44"/>
      <c r="P4" s="44"/>
      <c r="Q4" s="44"/>
      <c r="R4" s="44"/>
      <c r="S4" s="44"/>
      <c r="T4" s="44"/>
      <c r="U4" s="44"/>
      <c r="V4" s="44"/>
    </row>
    <row r="5" spans="1:22" x14ac:dyDescent="0.3">
      <c r="A5" s="1" t="s">
        <v>0</v>
      </c>
      <c r="B5" s="1" t="s">
        <v>1</v>
      </c>
      <c r="C5" s="1" t="s">
        <v>134</v>
      </c>
      <c r="D5" s="7" t="s">
        <v>2</v>
      </c>
      <c r="E5" s="7" t="s">
        <v>3</v>
      </c>
      <c r="F5" s="7" t="s">
        <v>4</v>
      </c>
      <c r="G5" s="7" t="s">
        <v>75</v>
      </c>
      <c r="H5" s="7" t="s">
        <v>76</v>
      </c>
      <c r="I5" s="7" t="s">
        <v>77</v>
      </c>
      <c r="J5" s="7" t="s">
        <v>107</v>
      </c>
      <c r="K5" s="7" t="s">
        <v>78</v>
      </c>
      <c r="L5" s="7" t="s">
        <v>81</v>
      </c>
      <c r="M5" s="7" t="s">
        <v>82</v>
      </c>
      <c r="N5" s="18" t="s">
        <v>2</v>
      </c>
      <c r="O5" s="18" t="s">
        <v>119</v>
      </c>
      <c r="P5" s="18" t="s">
        <v>4</v>
      </c>
      <c r="Q5" s="18" t="s">
        <v>120</v>
      </c>
      <c r="R5" s="19" t="s">
        <v>121</v>
      </c>
      <c r="S5" s="18" t="s">
        <v>122</v>
      </c>
      <c r="T5" s="18" t="s">
        <v>123</v>
      </c>
      <c r="U5" s="18" t="s">
        <v>124</v>
      </c>
      <c r="V5" s="20" t="s">
        <v>125</v>
      </c>
    </row>
    <row r="6" spans="1:22" x14ac:dyDescent="0.3">
      <c r="A6" s="2">
        <v>535847</v>
      </c>
      <c r="B6" s="3" t="s">
        <v>97</v>
      </c>
      <c r="C6" s="3" t="s">
        <v>127</v>
      </c>
      <c r="D6" s="15">
        <v>180668089.77272719</v>
      </c>
      <c r="E6" s="15">
        <v>166759948.81818175</v>
      </c>
      <c r="F6" s="15">
        <v>189827946.77272713</v>
      </c>
      <c r="G6" s="8">
        <f t="shared" ref="G6:G12" si="0">SUM(D6:F6)</f>
        <v>537255985.36363602</v>
      </c>
      <c r="H6" s="9">
        <f t="shared" ref="H6:H12" si="1">AVERAGE(D6:F6)</f>
        <v>179085328.45454535</v>
      </c>
      <c r="I6" s="10">
        <f>H6*115%</f>
        <v>205948127.72272715</v>
      </c>
      <c r="J6" s="10">
        <f t="shared" ref="J6:J11" si="2">I6*3</f>
        <v>617844383.16818142</v>
      </c>
      <c r="K6" s="13">
        <f t="shared" ref="K6:K12" si="3">I6/H6-1</f>
        <v>0.14999999999999991</v>
      </c>
      <c r="L6" s="4">
        <f>I6/1.11</f>
        <v>185538853.80425867</v>
      </c>
      <c r="M6" s="4">
        <f>J6/1.11</f>
        <v>556616561.41277599</v>
      </c>
      <c r="N6" s="15">
        <v>177995089.77272719</v>
      </c>
      <c r="O6" s="15">
        <v>164977948.81818175</v>
      </c>
      <c r="P6" s="15">
        <v>189827946.77272719</v>
      </c>
      <c r="Q6" s="15">
        <f>AVERAGE(N6:P6)</f>
        <v>177600328.45454538</v>
      </c>
      <c r="R6" s="13">
        <v>0.14999999999999991</v>
      </c>
      <c r="S6" s="21">
        <f>Q6+(Q6*R6)</f>
        <v>204240377.72272718</v>
      </c>
      <c r="T6" s="21">
        <f t="shared" ref="T6:T12" si="4">S6*3</f>
        <v>612721133.16818154</v>
      </c>
      <c r="U6" s="21">
        <f t="shared" ref="U6:U12" si="5">S6/1.11</f>
        <v>184000340.2907452</v>
      </c>
      <c r="V6" s="21">
        <f t="shared" ref="V6:V12" si="6">T6/1.11</f>
        <v>552001020.87223554</v>
      </c>
    </row>
    <row r="7" spans="1:22" x14ac:dyDescent="0.3">
      <c r="A7" s="2">
        <v>535880</v>
      </c>
      <c r="B7" s="3" t="s">
        <v>98</v>
      </c>
      <c r="C7" s="3" t="s">
        <v>127</v>
      </c>
      <c r="D7" s="15">
        <v>76212598.909090906</v>
      </c>
      <c r="E7" s="15">
        <v>106477236.72727272</v>
      </c>
      <c r="F7" s="15">
        <v>144421390.45454538</v>
      </c>
      <c r="G7" s="8">
        <f t="shared" si="0"/>
        <v>327111226.090909</v>
      </c>
      <c r="H7" s="9">
        <f t="shared" si="1"/>
        <v>109037075.36363633</v>
      </c>
      <c r="I7" s="10">
        <f>H7*115%</f>
        <v>125392636.66818178</v>
      </c>
      <c r="J7" s="10">
        <f t="shared" si="2"/>
        <v>376177910.00454533</v>
      </c>
      <c r="K7" s="13">
        <f t="shared" si="3"/>
        <v>0.14999999999999991</v>
      </c>
      <c r="L7" s="4">
        <f t="shared" ref="L7:L12" si="7">I7/1.11</f>
        <v>112966339.34070429</v>
      </c>
      <c r="M7" s="4">
        <f t="shared" ref="M7:M12" si="8">J7/1.11</f>
        <v>338899018.02211291</v>
      </c>
      <c r="N7" s="15">
        <v>76014598.909090906</v>
      </c>
      <c r="O7" s="15">
        <v>105883236.72727272</v>
      </c>
      <c r="P7" s="15">
        <v>144421390.45454547</v>
      </c>
      <c r="Q7" s="15">
        <f t="shared" ref="Q7:Q12" si="9">AVERAGE(N7:P7)</f>
        <v>108773075.36363637</v>
      </c>
      <c r="R7" s="13">
        <v>0.14999999999999991</v>
      </c>
      <c r="S7" s="21">
        <f t="shared" ref="S7:S12" si="10">Q7+(Q7*R7)</f>
        <v>125089036.66818182</v>
      </c>
      <c r="T7" s="21">
        <f t="shared" si="4"/>
        <v>375267110.00454545</v>
      </c>
      <c r="U7" s="21">
        <f t="shared" si="5"/>
        <v>112692825.82719082</v>
      </c>
      <c r="V7" s="21">
        <f t="shared" si="6"/>
        <v>338078477.48157245</v>
      </c>
    </row>
    <row r="8" spans="1:22" x14ac:dyDescent="0.3">
      <c r="A8" s="2">
        <v>535848</v>
      </c>
      <c r="B8" s="3" t="s">
        <v>99</v>
      </c>
      <c r="C8" s="3" t="s">
        <v>127</v>
      </c>
      <c r="D8" s="15">
        <v>212733951.14863643</v>
      </c>
      <c r="E8" s="15">
        <v>35528715.545454547</v>
      </c>
      <c r="F8" s="15">
        <v>54852008.181818172</v>
      </c>
      <c r="G8" s="8">
        <f t="shared" si="0"/>
        <v>303114674.87590915</v>
      </c>
      <c r="H8" s="9">
        <f t="shared" si="1"/>
        <v>101038224.95863639</v>
      </c>
      <c r="I8" s="16">
        <v>133000000</v>
      </c>
      <c r="J8" s="10">
        <f t="shared" si="2"/>
        <v>399000000</v>
      </c>
      <c r="K8" s="13">
        <f t="shared" si="3"/>
        <v>0.31633349709427594</v>
      </c>
      <c r="L8" s="4">
        <f t="shared" si="7"/>
        <v>119819819.81981981</v>
      </c>
      <c r="M8" s="4">
        <f t="shared" si="8"/>
        <v>359459459.45945942</v>
      </c>
      <c r="N8" s="15">
        <v>212733951.14863643</v>
      </c>
      <c r="O8" s="15">
        <v>34934715.545454547</v>
      </c>
      <c r="P8" s="15">
        <v>54852008.181818187</v>
      </c>
      <c r="Q8" s="15">
        <f t="shared" si="9"/>
        <v>100840224.95863639</v>
      </c>
      <c r="R8" s="13">
        <v>0.31633349709427594</v>
      </c>
      <c r="S8" s="21">
        <f t="shared" si="10"/>
        <v>132739365.96757533</v>
      </c>
      <c r="T8" s="21">
        <f t="shared" si="4"/>
        <v>398218097.90272599</v>
      </c>
      <c r="U8" s="21">
        <f t="shared" si="5"/>
        <v>119585014.38520299</v>
      </c>
      <c r="V8" s="21">
        <f t="shared" si="6"/>
        <v>358755043.15560895</v>
      </c>
    </row>
    <row r="9" spans="1:22" x14ac:dyDescent="0.3">
      <c r="A9" s="2">
        <v>535856</v>
      </c>
      <c r="B9" s="3" t="s">
        <v>100</v>
      </c>
      <c r="C9" s="3" t="s">
        <v>127</v>
      </c>
      <c r="D9" s="15">
        <v>177899324.09090909</v>
      </c>
      <c r="E9" s="15">
        <v>9403047.8181818184</v>
      </c>
      <c r="F9" s="15">
        <v>25709866.363636367</v>
      </c>
      <c r="G9" s="8">
        <f t="shared" si="0"/>
        <v>213012238.27272728</v>
      </c>
      <c r="H9" s="9">
        <f t="shared" si="1"/>
        <v>71004079.424242422</v>
      </c>
      <c r="I9" s="16">
        <v>89719663</v>
      </c>
      <c r="J9" s="10">
        <f t="shared" si="2"/>
        <v>269158989</v>
      </c>
      <c r="K9" s="13">
        <f t="shared" si="3"/>
        <v>0.26358462397538873</v>
      </c>
      <c r="L9" s="4">
        <f t="shared" si="7"/>
        <v>80828525.225225225</v>
      </c>
      <c r="M9" s="4">
        <f t="shared" si="8"/>
        <v>242485575.67567566</v>
      </c>
      <c r="N9" s="15">
        <v>176711324.09090906</v>
      </c>
      <c r="O9" s="15">
        <v>9403047.8181818184</v>
      </c>
      <c r="P9" s="15">
        <v>25709866.363636363</v>
      </c>
      <c r="Q9" s="15">
        <f t="shared" si="9"/>
        <v>70608079.424242422</v>
      </c>
      <c r="R9" s="13">
        <v>0.26358462397538873</v>
      </c>
      <c r="S9" s="21">
        <f t="shared" si="10"/>
        <v>89219283.488905743</v>
      </c>
      <c r="T9" s="21">
        <f t="shared" si="4"/>
        <v>267657850.46671724</v>
      </c>
      <c r="U9" s="21">
        <f t="shared" si="5"/>
        <v>80377732.872888044</v>
      </c>
      <c r="V9" s="21">
        <f t="shared" si="6"/>
        <v>241133198.61866418</v>
      </c>
    </row>
    <row r="10" spans="1:22" x14ac:dyDescent="0.3">
      <c r="A10" s="2">
        <v>535853</v>
      </c>
      <c r="B10" s="3" t="s">
        <v>101</v>
      </c>
      <c r="C10" s="3" t="s">
        <v>127</v>
      </c>
      <c r="D10" s="15">
        <v>87676817.409090877</v>
      </c>
      <c r="E10" s="15">
        <v>22239944.5</v>
      </c>
      <c r="F10" s="15">
        <v>63097422.636363685</v>
      </c>
      <c r="G10" s="8">
        <f t="shared" si="0"/>
        <v>173014184.54545456</v>
      </c>
      <c r="H10" s="9">
        <f t="shared" si="1"/>
        <v>57671394.848484851</v>
      </c>
      <c r="I10" s="16">
        <v>93903984</v>
      </c>
      <c r="J10" s="10">
        <f t="shared" si="2"/>
        <v>281711952</v>
      </c>
      <c r="K10" s="13">
        <f t="shared" si="3"/>
        <v>0.62825928255603913</v>
      </c>
      <c r="L10" s="4">
        <f t="shared" si="7"/>
        <v>84598183.783783779</v>
      </c>
      <c r="M10" s="4">
        <f t="shared" si="8"/>
        <v>253794551.35135132</v>
      </c>
      <c r="N10" s="15">
        <v>87082817.409090862</v>
      </c>
      <c r="O10" s="15">
        <v>22239944.5</v>
      </c>
      <c r="P10" s="15">
        <v>63097422.636363573</v>
      </c>
      <c r="Q10" s="15">
        <f t="shared" si="9"/>
        <v>57473394.848484814</v>
      </c>
      <c r="R10" s="13">
        <v>0.62825928255603913</v>
      </c>
      <c r="S10" s="21">
        <f t="shared" si="10"/>
        <v>93581588.662053838</v>
      </c>
      <c r="T10" s="21">
        <f t="shared" si="4"/>
        <v>280744765.98616153</v>
      </c>
      <c r="U10" s="21">
        <f t="shared" si="5"/>
        <v>84307737.533381835</v>
      </c>
      <c r="V10" s="21">
        <f t="shared" si="6"/>
        <v>252923212.60014549</v>
      </c>
    </row>
    <row r="11" spans="1:22" x14ac:dyDescent="0.3">
      <c r="A11" s="2">
        <v>535878</v>
      </c>
      <c r="B11" s="3" t="s">
        <v>102</v>
      </c>
      <c r="C11" s="3" t="s">
        <v>127</v>
      </c>
      <c r="D11" s="15">
        <v>51858337.81818182</v>
      </c>
      <c r="E11" s="15">
        <v>59423026.31818182</v>
      </c>
      <c r="F11" s="15">
        <v>50131328.818181828</v>
      </c>
      <c r="G11" s="8">
        <f t="shared" si="0"/>
        <v>161412692.95454547</v>
      </c>
      <c r="H11" s="9">
        <f t="shared" si="1"/>
        <v>53804230.984848492</v>
      </c>
      <c r="I11" s="16">
        <v>98208036</v>
      </c>
      <c r="J11" s="10">
        <f t="shared" si="2"/>
        <v>294624108</v>
      </c>
      <c r="K11" s="13">
        <f t="shared" si="3"/>
        <v>0.8252846328694079</v>
      </c>
      <c r="L11" s="4">
        <f t="shared" si="7"/>
        <v>88475708.108108103</v>
      </c>
      <c r="M11" s="4">
        <f t="shared" si="8"/>
        <v>265427124.32432431</v>
      </c>
      <c r="N11" s="15">
        <v>51858337.81818182</v>
      </c>
      <c r="O11" s="15">
        <v>58235026.31818182</v>
      </c>
      <c r="P11" s="15">
        <v>50131328.818181805</v>
      </c>
      <c r="Q11" s="15">
        <f t="shared" si="9"/>
        <v>53408230.984848477</v>
      </c>
      <c r="R11" s="13">
        <v>0.8252846328694079</v>
      </c>
      <c r="S11" s="21">
        <f t="shared" si="10"/>
        <v>97485223.285383686</v>
      </c>
      <c r="T11" s="21">
        <f t="shared" si="4"/>
        <v>292455669.85615104</v>
      </c>
      <c r="U11" s="21">
        <f t="shared" si="5"/>
        <v>87824525.48232764</v>
      </c>
      <c r="V11" s="21">
        <f t="shared" si="6"/>
        <v>263473576.44698289</v>
      </c>
    </row>
    <row r="12" spans="1:22" x14ac:dyDescent="0.3">
      <c r="A12" s="2">
        <v>535860</v>
      </c>
      <c r="B12" s="3" t="s">
        <v>103</v>
      </c>
      <c r="C12" s="3" t="s">
        <v>127</v>
      </c>
      <c r="D12" s="15">
        <v>81672387.499999955</v>
      </c>
      <c r="E12" s="15">
        <v>11794246.363636363</v>
      </c>
      <c r="F12" s="15">
        <v>19920012.22727273</v>
      </c>
      <c r="G12" s="8">
        <f t="shared" si="0"/>
        <v>113386646.09090905</v>
      </c>
      <c r="H12" s="9">
        <f t="shared" si="1"/>
        <v>37795548.69696968</v>
      </c>
      <c r="I12" s="16">
        <v>76725995</v>
      </c>
      <c r="J12" s="10">
        <f>I12*3</f>
        <v>230177985</v>
      </c>
      <c r="K12" s="13">
        <f t="shared" si="3"/>
        <v>1.0300272821849954</v>
      </c>
      <c r="L12" s="4">
        <f t="shared" si="7"/>
        <v>69122518.018018007</v>
      </c>
      <c r="M12" s="4">
        <f t="shared" si="8"/>
        <v>207367554.05405402</v>
      </c>
      <c r="N12" s="15">
        <v>79593387.49999997</v>
      </c>
      <c r="O12" s="15">
        <v>11794246.363636363</v>
      </c>
      <c r="P12" s="15">
        <v>19920012.227272727</v>
      </c>
      <c r="Q12" s="15">
        <f t="shared" si="9"/>
        <v>37102548.696969688</v>
      </c>
      <c r="R12" s="13">
        <v>1.0300272821849954</v>
      </c>
      <c r="S12" s="21">
        <f t="shared" si="10"/>
        <v>75319186.093445808</v>
      </c>
      <c r="T12" s="21">
        <f t="shared" si="4"/>
        <v>225957558.28033742</v>
      </c>
      <c r="U12" s="21">
        <f t="shared" si="5"/>
        <v>67855122.606707931</v>
      </c>
      <c r="V12" s="21">
        <f t="shared" si="6"/>
        <v>203565367.82012379</v>
      </c>
    </row>
    <row r="13" spans="1:22" x14ac:dyDescent="0.3">
      <c r="A13" s="2">
        <v>53132</v>
      </c>
      <c r="B13" s="3" t="s">
        <v>133</v>
      </c>
      <c r="C13" s="3" t="s">
        <v>128</v>
      </c>
      <c r="D13" s="15"/>
      <c r="E13" s="15"/>
      <c r="F13" s="15"/>
      <c r="G13" s="8"/>
      <c r="H13" s="9"/>
      <c r="I13" s="16"/>
      <c r="J13" s="10"/>
      <c r="K13" s="13"/>
      <c r="L13" s="4"/>
      <c r="M13" s="4"/>
      <c r="N13" s="33">
        <v>16440372.045454541</v>
      </c>
      <c r="O13" s="33">
        <v>7877025.5000000028</v>
      </c>
      <c r="P13" s="33">
        <v>22836844.727272734</v>
      </c>
      <c r="Q13" s="15">
        <f t="shared" ref="Q13" si="11">AVERAGE(N13:P13)</f>
        <v>15718080.75757576</v>
      </c>
      <c r="R13" s="13">
        <f>S13/Q13-1</f>
        <v>0.10000000000000009</v>
      </c>
      <c r="S13" s="21">
        <v>17289888.833333336</v>
      </c>
      <c r="T13" s="21">
        <f t="shared" ref="T13" si="12">S13*3</f>
        <v>51869666.500000007</v>
      </c>
      <c r="U13" s="21">
        <f t="shared" ref="U13" si="13">S13/1.11</f>
        <v>15576476.426426427</v>
      </c>
      <c r="V13" s="21">
        <f t="shared" ref="V13" si="14">T13/1.11</f>
        <v>46729429.279279284</v>
      </c>
    </row>
    <row r="14" spans="1:22" x14ac:dyDescent="0.3">
      <c r="A14" s="6" t="s">
        <v>49</v>
      </c>
      <c r="B14" s="6"/>
      <c r="C14" s="6"/>
      <c r="D14" s="5">
        <f t="shared" ref="D14:J14" si="15">SUM(D6:D12)</f>
        <v>868721506.64863634</v>
      </c>
      <c r="E14" s="5">
        <f t="shared" si="15"/>
        <v>411626166.09090906</v>
      </c>
      <c r="F14" s="5">
        <f t="shared" si="15"/>
        <v>547959975.45454526</v>
      </c>
      <c r="G14" s="5">
        <f t="shared" si="15"/>
        <v>1828307648.1940904</v>
      </c>
      <c r="H14" s="5">
        <f t="shared" si="15"/>
        <v>609435882.73136353</v>
      </c>
      <c r="I14" s="5">
        <f t="shared" si="15"/>
        <v>822898442.39090896</v>
      </c>
      <c r="J14" s="5">
        <f t="shared" si="15"/>
        <v>2468695327.1727266</v>
      </c>
      <c r="K14" s="14">
        <f>I14/H14-1</f>
        <v>0.35026253902683102</v>
      </c>
      <c r="L14" s="5">
        <f>SUM(L6:L12)</f>
        <v>741349948.09991789</v>
      </c>
      <c r="M14" s="5">
        <f t="shared" ref="M14" si="16">SUM(M6:M12)</f>
        <v>2224049844.2997532</v>
      </c>
      <c r="N14" s="22"/>
      <c r="O14" s="22"/>
      <c r="P14" s="22"/>
      <c r="Q14" s="22"/>
      <c r="R14" s="22"/>
      <c r="S14" s="22"/>
      <c r="T14" s="22"/>
      <c r="U14" s="22"/>
      <c r="V14" s="22"/>
    </row>
    <row r="17" spans="9:9" x14ac:dyDescent="0.3">
      <c r="I17" s="17"/>
    </row>
    <row r="18" spans="9:9" x14ac:dyDescent="0.3">
      <c r="I18" s="17"/>
    </row>
    <row r="19" spans="9:9" x14ac:dyDescent="0.3">
      <c r="I19" s="17"/>
    </row>
    <row r="20" spans="9:9" x14ac:dyDescent="0.3">
      <c r="I20" s="17"/>
    </row>
    <row r="21" spans="9:9" x14ac:dyDescent="0.3">
      <c r="I21" s="17"/>
    </row>
  </sheetData>
  <mergeCells count="3">
    <mergeCell ref="D4:E4"/>
    <mergeCell ref="A1:M2"/>
    <mergeCell ref="N4:V4"/>
  </mergeCells>
  <pageMargins left="0.25" right="0.25" top="0.75" bottom="0.75" header="0.3" footer="0.3"/>
  <pageSetup paperSize="9" scale="82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F479-838C-4DBA-BF91-4C32907DC99A}">
  <sheetPr>
    <pageSetUpPr fitToPage="1"/>
  </sheetPr>
  <dimension ref="A1:V16"/>
  <sheetViews>
    <sheetView tabSelected="1" topLeftCell="A6" workbookViewId="0">
      <selection activeCell="V15" sqref="V15"/>
    </sheetView>
  </sheetViews>
  <sheetFormatPr defaultRowHeight="14.4" x14ac:dyDescent="0.3"/>
  <cols>
    <col min="1" max="1" width="12.6640625" bestFit="1" customWidth="1"/>
    <col min="2" max="2" width="31.5546875" bestFit="1" customWidth="1"/>
    <col min="3" max="6" width="14.6640625" hidden="1" customWidth="1"/>
    <col min="7" max="8" width="13.6640625" hidden="1" customWidth="1"/>
    <col min="9" max="9" width="19.109375" hidden="1" customWidth="1"/>
    <col min="10" max="10" width="0" hidden="1" customWidth="1"/>
    <col min="11" max="11" width="13.6640625" hidden="1" customWidth="1"/>
    <col min="12" max="12" width="19.33203125" hidden="1" customWidth="1"/>
    <col min="13" max="13" width="11.21875" bestFit="1" customWidth="1"/>
    <col min="14" max="16" width="12.21875" bestFit="1" customWidth="1"/>
    <col min="17" max="17" width="7.109375" bestFit="1" customWidth="1"/>
    <col min="18" max="18" width="16.5546875" bestFit="1" customWidth="1"/>
    <col min="19" max="19" width="17.77734375" bestFit="1" customWidth="1"/>
    <col min="20" max="20" width="16.5546875" bestFit="1" customWidth="1"/>
    <col min="21" max="21" width="17.77734375" bestFit="1" customWidth="1"/>
    <col min="22" max="22" width="23.77734375" bestFit="1" customWidth="1"/>
  </cols>
  <sheetData>
    <row r="1" spans="1:22" ht="14.7" customHeight="1" x14ac:dyDescent="0.3">
      <c r="A1" s="45" t="s">
        <v>108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7"/>
    </row>
    <row r="2" spans="1:22" ht="14.7" customHeight="1" x14ac:dyDescent="0.3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</row>
    <row r="4" spans="1:22" ht="18" x14ac:dyDescent="0.35">
      <c r="C4" s="42">
        <v>2024</v>
      </c>
      <c r="D4" s="42"/>
      <c r="E4" s="12">
        <v>2025</v>
      </c>
      <c r="M4" s="44" t="s">
        <v>118</v>
      </c>
      <c r="N4" s="44"/>
      <c r="O4" s="44"/>
      <c r="P4" s="44"/>
      <c r="Q4" s="44"/>
      <c r="R4" s="44"/>
      <c r="S4" s="44"/>
      <c r="T4" s="44"/>
      <c r="U4" s="44"/>
    </row>
    <row r="5" spans="1:22" x14ac:dyDescent="0.3">
      <c r="A5" s="1" t="s">
        <v>0</v>
      </c>
      <c r="B5" s="1" t="s">
        <v>1</v>
      </c>
      <c r="C5" s="7" t="s">
        <v>2</v>
      </c>
      <c r="D5" s="7" t="s">
        <v>3</v>
      </c>
      <c r="E5" s="7" t="s">
        <v>4</v>
      </c>
      <c r="F5" s="7" t="s">
        <v>75</v>
      </c>
      <c r="G5" s="7" t="s">
        <v>76</v>
      </c>
      <c r="H5" s="7" t="s">
        <v>77</v>
      </c>
      <c r="I5" s="7" t="s">
        <v>107</v>
      </c>
      <c r="J5" s="7" t="s">
        <v>78</v>
      </c>
      <c r="K5" s="7" t="s">
        <v>81</v>
      </c>
      <c r="L5" s="7" t="s">
        <v>82</v>
      </c>
      <c r="M5" s="18" t="s">
        <v>2</v>
      </c>
      <c r="N5" s="18" t="s">
        <v>119</v>
      </c>
      <c r="O5" s="18" t="s">
        <v>4</v>
      </c>
      <c r="P5" s="18" t="s">
        <v>120</v>
      </c>
      <c r="Q5" s="19" t="s">
        <v>121</v>
      </c>
      <c r="R5" s="18" t="s">
        <v>122</v>
      </c>
      <c r="S5" s="18" t="s">
        <v>123</v>
      </c>
      <c r="T5" s="18" t="s">
        <v>124</v>
      </c>
      <c r="U5" s="20" t="s">
        <v>125</v>
      </c>
    </row>
    <row r="6" spans="1:22" x14ac:dyDescent="0.3">
      <c r="A6" s="2" t="s">
        <v>110</v>
      </c>
      <c r="B6" s="3" t="s">
        <v>135</v>
      </c>
      <c r="C6" s="15">
        <v>72354610.454545453</v>
      </c>
      <c r="D6" s="15">
        <v>115284695.45454544</v>
      </c>
      <c r="E6" s="15">
        <v>154914039.45454544</v>
      </c>
      <c r="F6" s="8">
        <f t="shared" ref="F6:F12" si="0">SUM(C6:E6)</f>
        <v>342553345.36363631</v>
      </c>
      <c r="G6" s="9">
        <f t="shared" ref="G6:G12" si="1">AVERAGE(C6:E6)</f>
        <v>114184448.45454544</v>
      </c>
      <c r="H6" s="10">
        <f>G6*115%</f>
        <v>131312115.72272724</v>
      </c>
      <c r="I6" s="10">
        <f t="shared" ref="I6:I11" si="2">H6*3</f>
        <v>393936347.16818172</v>
      </c>
      <c r="J6" s="13">
        <f t="shared" ref="J6:J12" si="3">H6/G6-1</f>
        <v>0.14999999999999991</v>
      </c>
      <c r="K6" s="4">
        <f>H6/1.11</f>
        <v>118299203.35380831</v>
      </c>
      <c r="L6" s="4">
        <f>I6/1.11</f>
        <v>354897610.06142491</v>
      </c>
      <c r="M6" s="15">
        <v>72354610.454545453</v>
      </c>
      <c r="N6" s="15">
        <v>115284695.45454544</v>
      </c>
      <c r="O6" s="15">
        <v>154914039.45454544</v>
      </c>
      <c r="P6" s="15">
        <f>AVERAGE(M6:O6)</f>
        <v>114184448.45454544</v>
      </c>
      <c r="Q6" s="13">
        <v>0.14999999999999991</v>
      </c>
      <c r="R6" s="21">
        <f>P6+(P6*Q6)</f>
        <v>131312115.72272724</v>
      </c>
      <c r="S6" s="21">
        <f t="shared" ref="S6:S15" si="4">R6*3</f>
        <v>393936347.16818172</v>
      </c>
      <c r="T6" s="21">
        <f t="shared" ref="T6:T15" si="5">R6/1.11</f>
        <v>118299203.35380831</v>
      </c>
      <c r="U6" s="21">
        <f t="shared" ref="U6:U12" si="6">S6/1.11</f>
        <v>354897610.06142491</v>
      </c>
    </row>
    <row r="7" spans="1:22" x14ac:dyDescent="0.3">
      <c r="A7" s="2" t="s">
        <v>111</v>
      </c>
      <c r="B7" s="3" t="s">
        <v>136</v>
      </c>
      <c r="C7" s="15">
        <v>45701749.090909094</v>
      </c>
      <c r="D7" s="15">
        <v>61782231.818181813</v>
      </c>
      <c r="E7" s="15">
        <v>89609503.909090906</v>
      </c>
      <c r="F7" s="8">
        <f t="shared" si="0"/>
        <v>197093484.81818181</v>
      </c>
      <c r="G7" s="9">
        <f t="shared" si="1"/>
        <v>65697828.272727273</v>
      </c>
      <c r="H7" s="10">
        <f>G7*115%</f>
        <v>75552502.513636366</v>
      </c>
      <c r="I7" s="10">
        <f t="shared" si="2"/>
        <v>226657507.54090911</v>
      </c>
      <c r="J7" s="13">
        <f t="shared" si="3"/>
        <v>0.14999999999999991</v>
      </c>
      <c r="K7" s="4">
        <f t="shared" ref="K7:L12" si="7">H7/1.11</f>
        <v>68065317.579852581</v>
      </c>
      <c r="L7" s="4">
        <f t="shared" si="7"/>
        <v>204195952.73955774</v>
      </c>
      <c r="M7" s="15">
        <v>45701749.090909094</v>
      </c>
      <c r="N7" s="15">
        <v>61782231.818181813</v>
      </c>
      <c r="O7" s="15">
        <v>89609503.909090906</v>
      </c>
      <c r="P7" s="15">
        <f t="shared" ref="P7:P12" si="8">AVERAGE(M7:O7)</f>
        <v>65697828.272727273</v>
      </c>
      <c r="Q7" s="13">
        <v>0.14999999999999991</v>
      </c>
      <c r="R7" s="21">
        <f t="shared" ref="R7:R11" si="9">P7+(P7*Q7)</f>
        <v>75552502.513636351</v>
      </c>
      <c r="S7" s="21">
        <f t="shared" si="4"/>
        <v>226657507.54090905</v>
      </c>
      <c r="T7" s="21">
        <f t="shared" si="5"/>
        <v>68065317.579852566</v>
      </c>
      <c r="U7" s="21">
        <f t="shared" si="6"/>
        <v>204195952.73955768</v>
      </c>
    </row>
    <row r="8" spans="1:22" x14ac:dyDescent="0.3">
      <c r="A8" s="2" t="s">
        <v>112</v>
      </c>
      <c r="B8" s="3" t="s">
        <v>137</v>
      </c>
      <c r="C8" s="15">
        <v>31367376.818181824</v>
      </c>
      <c r="D8" s="15">
        <v>91384519.909090921</v>
      </c>
      <c r="E8" s="15">
        <v>35183821.909090921</v>
      </c>
      <c r="F8" s="8">
        <f t="shared" si="0"/>
        <v>157935718.63636369</v>
      </c>
      <c r="G8" s="9">
        <f t="shared" si="1"/>
        <v>52645239.545454562</v>
      </c>
      <c r="H8" s="10">
        <f>G8*115%</f>
        <v>60542025.477272741</v>
      </c>
      <c r="I8" s="10">
        <f t="shared" si="2"/>
        <v>181626076.43181822</v>
      </c>
      <c r="J8" s="13">
        <f t="shared" si="3"/>
        <v>0.14999999999999991</v>
      </c>
      <c r="K8" s="4">
        <f t="shared" si="7"/>
        <v>54542365.294840306</v>
      </c>
      <c r="L8" s="4">
        <f t="shared" si="7"/>
        <v>163627095.88452089</v>
      </c>
      <c r="M8" s="15">
        <v>31367376.818181824</v>
      </c>
      <c r="N8" s="15">
        <v>91384519.909090921</v>
      </c>
      <c r="O8" s="15">
        <v>35183821.909090921</v>
      </c>
      <c r="P8" s="15">
        <f t="shared" si="8"/>
        <v>52645239.545454562</v>
      </c>
      <c r="Q8" s="13">
        <v>0.14999999999999991</v>
      </c>
      <c r="R8" s="21">
        <f t="shared" si="9"/>
        <v>60542025.477272741</v>
      </c>
      <c r="S8" s="21">
        <f t="shared" si="4"/>
        <v>181626076.43181822</v>
      </c>
      <c r="T8" s="21">
        <f t="shared" si="5"/>
        <v>54542365.294840306</v>
      </c>
      <c r="U8" s="21">
        <f t="shared" si="6"/>
        <v>163627095.88452089</v>
      </c>
    </row>
    <row r="9" spans="1:22" x14ac:dyDescent="0.3">
      <c r="A9" s="2">
        <v>18173</v>
      </c>
      <c r="B9" s="3" t="s">
        <v>138</v>
      </c>
      <c r="C9" s="15">
        <v>36697800.468636356</v>
      </c>
      <c r="D9" s="15">
        <v>102225079.09090908</v>
      </c>
      <c r="E9" s="15">
        <v>0</v>
      </c>
      <c r="F9" s="8">
        <f t="shared" si="0"/>
        <v>138922879.55954543</v>
      </c>
      <c r="G9" s="9">
        <f t="shared" si="1"/>
        <v>46307626.519848473</v>
      </c>
      <c r="H9" s="10">
        <f>G9*115%</f>
        <v>53253770.497825742</v>
      </c>
      <c r="I9" s="10">
        <f t="shared" si="2"/>
        <v>159761311.49347723</v>
      </c>
      <c r="J9" s="13">
        <f t="shared" si="3"/>
        <v>0.14999999999999991</v>
      </c>
      <c r="K9" s="4">
        <f t="shared" si="7"/>
        <v>47976369.817861028</v>
      </c>
      <c r="L9" s="4">
        <f t="shared" si="7"/>
        <v>143929109.45358306</v>
      </c>
      <c r="M9" s="15">
        <v>36697800.468636356</v>
      </c>
      <c r="N9" s="15">
        <v>102225079.09090908</v>
      </c>
      <c r="O9" s="15">
        <v>0</v>
      </c>
      <c r="P9" s="15">
        <f t="shared" si="8"/>
        <v>46307626.519848473</v>
      </c>
      <c r="Q9" s="13">
        <v>0.14999999999999991</v>
      </c>
      <c r="R9" s="21">
        <f t="shared" si="9"/>
        <v>53253770.497825742</v>
      </c>
      <c r="S9" s="21">
        <f t="shared" si="4"/>
        <v>159761311.49347723</v>
      </c>
      <c r="T9" s="21">
        <f t="shared" si="5"/>
        <v>47976369.817861028</v>
      </c>
      <c r="U9" s="21">
        <f t="shared" si="6"/>
        <v>143929109.45358306</v>
      </c>
    </row>
    <row r="10" spans="1:22" x14ac:dyDescent="0.3">
      <c r="A10" s="2" t="s">
        <v>113</v>
      </c>
      <c r="B10" s="3" t="s">
        <v>139</v>
      </c>
      <c r="C10" s="15">
        <v>30626687.500000007</v>
      </c>
      <c r="D10" s="15">
        <v>63506578.227272741</v>
      </c>
      <c r="E10" s="15">
        <v>18981967.909090906</v>
      </c>
      <c r="F10" s="8">
        <f t="shared" si="0"/>
        <v>113115233.63636366</v>
      </c>
      <c r="G10" s="9">
        <f t="shared" si="1"/>
        <v>37705077.878787883</v>
      </c>
      <c r="H10" s="10">
        <f>G10*120%</f>
        <v>45246093.454545461</v>
      </c>
      <c r="I10" s="10">
        <f t="shared" si="2"/>
        <v>135738280.36363637</v>
      </c>
      <c r="J10" s="13">
        <f t="shared" si="3"/>
        <v>0.19999999999999996</v>
      </c>
      <c r="K10" s="4">
        <f t="shared" si="7"/>
        <v>40762246.355446361</v>
      </c>
      <c r="L10" s="4">
        <f t="shared" si="7"/>
        <v>122286739.06633906</v>
      </c>
      <c r="M10" s="15">
        <v>30626687.500000007</v>
      </c>
      <c r="N10" s="15">
        <v>63506578.227272741</v>
      </c>
      <c r="O10" s="15">
        <v>18981967.909090906</v>
      </c>
      <c r="P10" s="15">
        <f t="shared" si="8"/>
        <v>37705077.878787883</v>
      </c>
      <c r="Q10" s="13">
        <v>0.19999999999999996</v>
      </c>
      <c r="R10" s="21">
        <f t="shared" si="9"/>
        <v>45246093.454545461</v>
      </c>
      <c r="S10" s="21">
        <f t="shared" si="4"/>
        <v>135738280.36363637</v>
      </c>
      <c r="T10" s="21">
        <f t="shared" si="5"/>
        <v>40762246.355446361</v>
      </c>
      <c r="U10" s="21">
        <f t="shared" si="6"/>
        <v>122286739.06633906</v>
      </c>
    </row>
    <row r="11" spans="1:22" x14ac:dyDescent="0.3">
      <c r="A11" s="2" t="s">
        <v>114</v>
      </c>
      <c r="B11" s="3" t="s">
        <v>140</v>
      </c>
      <c r="C11" s="15">
        <v>38245120.468636394</v>
      </c>
      <c r="D11" s="15">
        <v>52847397.499999955</v>
      </c>
      <c r="E11" s="15">
        <v>0</v>
      </c>
      <c r="F11" s="8">
        <f t="shared" si="0"/>
        <v>91092517.968636349</v>
      </c>
      <c r="G11" s="9">
        <f t="shared" si="1"/>
        <v>30364172.656212118</v>
      </c>
      <c r="H11" s="10">
        <f>G11*115%</f>
        <v>34918798.554643929</v>
      </c>
      <c r="I11" s="10">
        <f t="shared" si="2"/>
        <v>104756395.66393179</v>
      </c>
      <c r="J11" s="13">
        <f t="shared" si="3"/>
        <v>0.14999999999999969</v>
      </c>
      <c r="K11" s="4">
        <f t="shared" si="7"/>
        <v>31458377.076255791</v>
      </c>
      <c r="L11" s="4">
        <f t="shared" si="7"/>
        <v>94375131.228767365</v>
      </c>
      <c r="M11" s="15">
        <v>38245120.468636394</v>
      </c>
      <c r="N11" s="15">
        <v>52847397.499999955</v>
      </c>
      <c r="O11" s="15">
        <v>0</v>
      </c>
      <c r="P11" s="15">
        <f t="shared" si="8"/>
        <v>30364172.656212118</v>
      </c>
      <c r="Q11" s="13">
        <v>0.14999999999999969</v>
      </c>
      <c r="R11" s="21">
        <f t="shared" si="9"/>
        <v>34918798.554643929</v>
      </c>
      <c r="S11" s="21">
        <f t="shared" si="4"/>
        <v>104756395.66393179</v>
      </c>
      <c r="T11" s="21">
        <f t="shared" si="5"/>
        <v>31458377.076255791</v>
      </c>
      <c r="U11" s="21">
        <f t="shared" si="6"/>
        <v>94375131.228767365</v>
      </c>
    </row>
    <row r="12" spans="1:22" x14ac:dyDescent="0.3">
      <c r="A12" s="2" t="s">
        <v>115</v>
      </c>
      <c r="B12" s="3" t="s">
        <v>141</v>
      </c>
      <c r="C12" s="15">
        <v>19415091.818181828</v>
      </c>
      <c r="D12" s="15">
        <v>30162624.545454558</v>
      </c>
      <c r="E12" s="15">
        <v>34132170.272727281</v>
      </c>
      <c r="F12" s="8">
        <f t="shared" si="0"/>
        <v>83709886.63636367</v>
      </c>
      <c r="G12" s="9">
        <f t="shared" si="1"/>
        <v>27903295.545454558</v>
      </c>
      <c r="H12" s="10">
        <f t="shared" ref="H12" si="10">G12*110%</f>
        <v>30693625.100000016</v>
      </c>
      <c r="I12" s="10">
        <f>H12*3</f>
        <v>92080875.300000042</v>
      </c>
      <c r="J12" s="13">
        <f t="shared" si="3"/>
        <v>0.10000000000000009</v>
      </c>
      <c r="K12" s="4">
        <f t="shared" si="7"/>
        <v>27651914.504504517</v>
      </c>
      <c r="L12" s="4">
        <f t="shared" si="7"/>
        <v>82955743.51351355</v>
      </c>
      <c r="M12" s="15">
        <v>19415091.818181828</v>
      </c>
      <c r="N12" s="15">
        <v>30162624.545454558</v>
      </c>
      <c r="O12" s="15">
        <v>34132170.272727281</v>
      </c>
      <c r="P12" s="15">
        <f t="shared" si="8"/>
        <v>27903295.545454558</v>
      </c>
      <c r="Q12" s="13">
        <v>0.10000000000000009</v>
      </c>
      <c r="R12" s="21">
        <f>P12+(P12*Q12)</f>
        <v>30693625.100000016</v>
      </c>
      <c r="S12" s="21">
        <f t="shared" si="4"/>
        <v>92080875.300000042</v>
      </c>
      <c r="T12" s="21">
        <f t="shared" si="5"/>
        <v>27651914.504504517</v>
      </c>
      <c r="U12" s="21">
        <f t="shared" si="6"/>
        <v>82955743.51351355</v>
      </c>
    </row>
    <row r="13" spans="1:22" x14ac:dyDescent="0.3">
      <c r="A13" s="34" t="s">
        <v>142</v>
      </c>
      <c r="B13" s="35" t="s">
        <v>143</v>
      </c>
      <c r="C13" s="36"/>
      <c r="D13" s="36"/>
      <c r="E13" s="36"/>
      <c r="F13" s="37"/>
      <c r="G13" s="37"/>
      <c r="H13" s="37"/>
      <c r="I13" s="37"/>
      <c r="J13" s="38"/>
      <c r="K13" s="39"/>
      <c r="L13" s="39"/>
      <c r="M13" s="36">
        <v>15253186.772727277</v>
      </c>
      <c r="N13" s="36">
        <v>28025147.318181835</v>
      </c>
      <c r="O13" s="36">
        <v>10778918.318181818</v>
      </c>
      <c r="P13" s="36">
        <f t="shared" ref="P13:P14" si="11">AVERAGE(M13:O13)</f>
        <v>18019084.136363644</v>
      </c>
      <c r="Q13" s="38">
        <f>R13/P13-1</f>
        <v>0.10000000000000009</v>
      </c>
      <c r="R13" s="40">
        <v>19820992.550000012</v>
      </c>
      <c r="S13" s="40">
        <f t="shared" ref="S13:S14" si="12">R13*3</f>
        <v>59462977.650000036</v>
      </c>
      <c r="T13" s="40">
        <f t="shared" ref="T13:T14" si="13">R13/1.11</f>
        <v>17856750.045045055</v>
      </c>
      <c r="U13" s="40">
        <f t="shared" ref="U13:U14" si="14">S13/1.11</f>
        <v>53570250.135135166</v>
      </c>
      <c r="V13" s="41" t="s">
        <v>132</v>
      </c>
    </row>
    <row r="14" spans="1:22" x14ac:dyDescent="0.3">
      <c r="A14" s="34" t="s">
        <v>144</v>
      </c>
      <c r="B14" s="35" t="s">
        <v>145</v>
      </c>
      <c r="C14" s="36"/>
      <c r="D14" s="36"/>
      <c r="E14" s="36"/>
      <c r="F14" s="37"/>
      <c r="G14" s="37"/>
      <c r="H14" s="37"/>
      <c r="I14" s="37"/>
      <c r="J14" s="38"/>
      <c r="K14" s="39"/>
      <c r="L14" s="39"/>
      <c r="M14" s="36">
        <v>11539174.090909094</v>
      </c>
      <c r="N14" s="36">
        <v>16493293.63636364</v>
      </c>
      <c r="O14" s="36">
        <v>20604366.909090914</v>
      </c>
      <c r="P14" s="36">
        <f t="shared" si="11"/>
        <v>16212278.212121217</v>
      </c>
      <c r="Q14" s="38">
        <f>R14/P14-1</f>
        <v>0.10000000000000009</v>
      </c>
      <c r="R14" s="40">
        <v>17833506.033333339</v>
      </c>
      <c r="S14" s="40">
        <f t="shared" si="12"/>
        <v>53500518.100000016</v>
      </c>
      <c r="T14" s="40">
        <f t="shared" si="13"/>
        <v>16066221.651651654</v>
      </c>
      <c r="U14" s="40">
        <f t="shared" si="14"/>
        <v>48198664.954954967</v>
      </c>
      <c r="V14" s="41" t="s">
        <v>132</v>
      </c>
    </row>
    <row r="15" spans="1:22" s="57" customFormat="1" x14ac:dyDescent="0.3">
      <c r="A15" s="51" t="s">
        <v>116</v>
      </c>
      <c r="B15" s="51" t="s">
        <v>117</v>
      </c>
      <c r="C15" s="52">
        <v>0</v>
      </c>
      <c r="D15" s="52">
        <v>11942408.181818184</v>
      </c>
      <c r="E15" s="52">
        <v>25169216.045454547</v>
      </c>
      <c r="F15" s="53">
        <f t="shared" ref="F15" si="15">SUM(C15:E15)</f>
        <v>37111624.227272734</v>
      </c>
      <c r="G15" s="53">
        <f t="shared" ref="G15" si="16">AVERAGE(C15:E15)</f>
        <v>12370541.409090912</v>
      </c>
      <c r="H15" s="53">
        <f>G15*180%</f>
        <v>22266974.536363643</v>
      </c>
      <c r="I15" s="53">
        <f t="shared" ref="I15" si="17">H15*3</f>
        <v>66800923.609090924</v>
      </c>
      <c r="J15" s="54">
        <f t="shared" ref="J15" si="18">H15/G15-1</f>
        <v>0.8</v>
      </c>
      <c r="K15" s="55">
        <f t="shared" ref="K15" si="19">H15/1.11</f>
        <v>20060337.420147423</v>
      </c>
      <c r="L15" s="55">
        <f t="shared" ref="L15" si="20">I15/1.11</f>
        <v>60181012.260442272</v>
      </c>
      <c r="M15" s="52">
        <v>0</v>
      </c>
      <c r="N15" s="52">
        <v>11942408.181818184</v>
      </c>
      <c r="O15" s="52">
        <v>25169216.045454547</v>
      </c>
      <c r="P15" s="52">
        <f t="shared" ref="P15" si="21">AVERAGE(M15:O15)</f>
        <v>12370541.409090912</v>
      </c>
      <c r="Q15" s="54">
        <v>0.8</v>
      </c>
      <c r="R15" s="56">
        <f t="shared" ref="R15" si="22">P15+(P15*Q15)</f>
        <v>22266974.536363643</v>
      </c>
      <c r="S15" s="56">
        <f t="shared" si="4"/>
        <v>66800923.609090924</v>
      </c>
      <c r="T15" s="56">
        <f t="shared" si="5"/>
        <v>20060337.420147423</v>
      </c>
      <c r="U15" s="56">
        <f t="shared" ref="U15" si="23">S15/1.11</f>
        <v>60181012.260442272</v>
      </c>
    </row>
    <row r="16" spans="1:22" x14ac:dyDescent="0.3">
      <c r="A16" s="6" t="s">
        <v>49</v>
      </c>
      <c r="B16" s="6"/>
      <c r="C16" s="5">
        <f t="shared" ref="C16:I16" si="24">SUM(C6:C15)</f>
        <v>274408436.61909097</v>
      </c>
      <c r="D16" s="5">
        <f t="shared" si="24"/>
        <v>529135534.72727269</v>
      </c>
      <c r="E16" s="5">
        <f t="shared" si="24"/>
        <v>357990719.49999994</v>
      </c>
      <c r="F16" s="5">
        <f t="shared" si="24"/>
        <v>1161534690.8463635</v>
      </c>
      <c r="G16" s="5">
        <f t="shared" si="24"/>
        <v>387178230.28212124</v>
      </c>
      <c r="H16" s="5">
        <f t="shared" si="24"/>
        <v>453785905.85701513</v>
      </c>
      <c r="I16" s="5">
        <f t="shared" si="24"/>
        <v>1361357717.5710454</v>
      </c>
      <c r="J16" s="14">
        <f>H16/G16-1</f>
        <v>0.17203362783687393</v>
      </c>
      <c r="K16" s="5">
        <f>SUM(K6:K15)</f>
        <v>408816131.40271628</v>
      </c>
      <c r="L16" s="5">
        <f>SUM(L6:L15)</f>
        <v>1226448394.208149</v>
      </c>
      <c r="M16" s="22"/>
      <c r="N16" s="22"/>
      <c r="O16" s="22"/>
      <c r="P16" s="22"/>
      <c r="Q16" s="22"/>
      <c r="R16" s="22"/>
      <c r="S16" s="22"/>
      <c r="T16" s="22"/>
      <c r="U16" s="22"/>
    </row>
  </sheetData>
  <mergeCells count="3">
    <mergeCell ref="C4:D4"/>
    <mergeCell ref="A1:L2"/>
    <mergeCell ref="M4:U4"/>
  </mergeCells>
  <pageMargins left="0.25" right="0.25" top="0.75" bottom="0.75" header="0.3" footer="0.3"/>
  <pageSetup scale="6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BANDUNG</vt:lpstr>
      <vt:lpstr>CIREBON</vt:lpstr>
      <vt:lpstr>GARUT</vt:lpstr>
      <vt:lpstr>TASIKMALAYA</vt:lpstr>
      <vt:lpstr>SUKABUMI</vt:lpstr>
      <vt:lpstr>BANDUNG!Print_Area</vt:lpstr>
      <vt:lpstr>CIREBON!Print_Area</vt:lpstr>
      <vt:lpstr>SUKABUMI!Print_Area</vt:lpstr>
      <vt:lpstr>TASIKMALAYA!Print_Area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2025-03-18T05:47:58Z</cp:lastPrinted>
  <dcterms:created xsi:type="dcterms:W3CDTF">2025-03-04T07:01:09Z</dcterms:created>
  <dcterms:modified xsi:type="dcterms:W3CDTF">2025-05-08T02:48:21Z</dcterms:modified>
</cp:coreProperties>
</file>