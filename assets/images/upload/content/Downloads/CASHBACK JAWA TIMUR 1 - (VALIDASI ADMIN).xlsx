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JI 2025\07. SPV OPERASIONAL\CASHBACK MAR-MEI 2025\"/>
    </mc:Choice>
  </mc:AlternateContent>
  <xr:revisionPtr revIDLastSave="0" documentId="8_{D93A0380-29F7-4FCC-81D1-73673DDC4CD8}" xr6:coauthVersionLast="47" xr6:coauthVersionMax="47" xr10:uidLastSave="{00000000-0000-0000-0000-000000000000}"/>
  <bookViews>
    <workbookView xWindow="-108" yWindow="-108" windowWidth="23256" windowHeight="12456" activeTab="5" xr2:uid="{072F5A3E-891E-4FA4-93DA-D90B5A67AC4C}"/>
  </bookViews>
  <sheets>
    <sheet name="SURABAYA" sheetId="1" r:id="rId1"/>
    <sheet name="GRESIK" sheetId="7" r:id="rId2"/>
    <sheet name="SIDOARJO" sheetId="8" r:id="rId3"/>
    <sheet name="JOMBANG" sheetId="11" r:id="rId4"/>
    <sheet name="LAMONGAN" sheetId="9" r:id="rId5"/>
    <sheet name="MADURA" sheetId="10" r:id="rId6"/>
  </sheets>
  <externalReferences>
    <externalReference r:id="rId7"/>
  </externalReferences>
  <definedNames>
    <definedName name="_xlnm.Print_Area" localSheetId="1">GRESIK!$A$1:$V$8</definedName>
    <definedName name="_xlnm.Print_Area" localSheetId="3">JOMBANG!$A$1:$V$12</definedName>
    <definedName name="_xlnm.Print_Area" localSheetId="4">LAMONGAN!$A$1:$V$25</definedName>
    <definedName name="_xlnm.Print_Area" localSheetId="5">MADURA!$A$1:$V$19</definedName>
    <definedName name="_xlnm.Print_Area" localSheetId="2">SIDOARJO!$A$1:$V$27</definedName>
    <definedName name="_xlnm.Print_Area" localSheetId="0">SURABAYA!$A$1:$V$50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0" l="1"/>
  <c r="Q25" i="8"/>
  <c r="P11" i="10" l="1"/>
  <c r="R11" i="10" s="1"/>
  <c r="P10" i="10"/>
  <c r="R10" i="10" s="1"/>
  <c r="P6" i="9"/>
  <c r="R6" i="9" s="1"/>
  <c r="P15" i="9"/>
  <c r="R15" i="9" s="1"/>
  <c r="P14" i="9"/>
  <c r="P13" i="9"/>
  <c r="R13" i="9" s="1"/>
  <c r="P11" i="9"/>
  <c r="R11" i="9" s="1"/>
  <c r="P10" i="9"/>
  <c r="R10" i="9" s="1"/>
  <c r="P11" i="11"/>
  <c r="R11" i="11" s="1"/>
  <c r="P10" i="11"/>
  <c r="R10" i="11" s="1"/>
  <c r="P7" i="11"/>
  <c r="R7" i="11" s="1"/>
  <c r="P6" i="11"/>
  <c r="R6" i="11" s="1"/>
  <c r="P12" i="8"/>
  <c r="O16" i="8"/>
  <c r="P6" i="7"/>
  <c r="R6" i="7" s="1"/>
  <c r="P49" i="1"/>
  <c r="R49" i="1" s="1"/>
  <c r="P48" i="1"/>
  <c r="R48" i="1" s="1"/>
  <c r="P46" i="1"/>
  <c r="R46" i="1" s="1"/>
  <c r="R36" i="1"/>
  <c r="T36" i="1" s="1"/>
  <c r="R14" i="1"/>
  <c r="S14" i="1" s="1"/>
  <c r="U14" i="1" s="1"/>
  <c r="P36" i="1"/>
  <c r="P35" i="1"/>
  <c r="R35" i="1" s="1"/>
  <c r="P34" i="1"/>
  <c r="R34" i="1" s="1"/>
  <c r="P26" i="1"/>
  <c r="R26" i="1" s="1"/>
  <c r="P22" i="1"/>
  <c r="R22" i="1" s="1"/>
  <c r="P21" i="1"/>
  <c r="R21" i="1" s="1"/>
  <c r="P14" i="1"/>
  <c r="P10" i="1"/>
  <c r="R10" i="1" s="1"/>
  <c r="P39" i="1"/>
  <c r="R39" i="1" s="1"/>
  <c r="P38" i="1"/>
  <c r="R38" i="1" s="1"/>
  <c r="T38" i="1" s="1"/>
  <c r="P37" i="1"/>
  <c r="R37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5" i="1"/>
  <c r="R25" i="1" s="1"/>
  <c r="P24" i="1"/>
  <c r="R24" i="1" s="1"/>
  <c r="P23" i="1"/>
  <c r="R23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3" i="1"/>
  <c r="R13" i="1" s="1"/>
  <c r="P12" i="1"/>
  <c r="R12" i="1" s="1"/>
  <c r="P11" i="1"/>
  <c r="R11" i="1" s="1"/>
  <c r="P9" i="1"/>
  <c r="R9" i="1" s="1"/>
  <c r="P8" i="1"/>
  <c r="R8" i="1" s="1"/>
  <c r="P7" i="1"/>
  <c r="R7" i="1" s="1"/>
  <c r="P6" i="1"/>
  <c r="R6" i="1" s="1"/>
  <c r="H20" i="1"/>
  <c r="H18" i="1"/>
  <c r="H40" i="1" s="1"/>
  <c r="H14" i="1"/>
  <c r="H9" i="1"/>
  <c r="H48" i="1"/>
  <c r="H47" i="1"/>
  <c r="H10" i="8"/>
  <c r="H9" i="8"/>
  <c r="H16" i="8"/>
  <c r="I16" i="8"/>
  <c r="L16" i="8" s="1"/>
  <c r="G7" i="8"/>
  <c r="G8" i="8"/>
  <c r="G9" i="8"/>
  <c r="G10" i="8"/>
  <c r="G11" i="8"/>
  <c r="H11" i="8" s="1"/>
  <c r="J11" i="8" s="1"/>
  <c r="G13" i="8"/>
  <c r="H13" i="8" s="1"/>
  <c r="G14" i="8"/>
  <c r="H14" i="8" s="1"/>
  <c r="G15" i="8"/>
  <c r="H15" i="8" s="1"/>
  <c r="G16" i="8"/>
  <c r="F7" i="8"/>
  <c r="F8" i="8"/>
  <c r="F9" i="8"/>
  <c r="F10" i="8"/>
  <c r="F11" i="8"/>
  <c r="F12" i="8"/>
  <c r="F13" i="8"/>
  <c r="F14" i="8"/>
  <c r="F15" i="8"/>
  <c r="F16" i="8"/>
  <c r="D17" i="8"/>
  <c r="E17" i="8"/>
  <c r="C17" i="8"/>
  <c r="K12" i="8"/>
  <c r="I12" i="8"/>
  <c r="L12" i="8" s="1"/>
  <c r="H9" i="11"/>
  <c r="D13" i="11"/>
  <c r="E13" i="11"/>
  <c r="C13" i="11"/>
  <c r="K11" i="11"/>
  <c r="G7" i="11"/>
  <c r="H7" i="11" s="1"/>
  <c r="G8" i="11"/>
  <c r="H8" i="11" s="1"/>
  <c r="G9" i="11"/>
  <c r="G10" i="11"/>
  <c r="H10" i="11" s="1"/>
  <c r="G11" i="11"/>
  <c r="H11" i="11" s="1"/>
  <c r="J11" i="11" s="1"/>
  <c r="G12" i="11"/>
  <c r="H12" i="11" s="1"/>
  <c r="K12" i="11" s="1"/>
  <c r="F7" i="11"/>
  <c r="F8" i="11"/>
  <c r="F9" i="11"/>
  <c r="F10" i="11"/>
  <c r="F11" i="11"/>
  <c r="F12" i="11"/>
  <c r="G6" i="11"/>
  <c r="F6" i="11"/>
  <c r="D40" i="1"/>
  <c r="E40" i="1"/>
  <c r="F40" i="1"/>
  <c r="G40" i="1"/>
  <c r="C40" i="1"/>
  <c r="L38" i="1"/>
  <c r="L39" i="1"/>
  <c r="K38" i="1"/>
  <c r="K39" i="1"/>
  <c r="J38" i="1"/>
  <c r="J39" i="1"/>
  <c r="I38" i="1"/>
  <c r="I39" i="1"/>
  <c r="H39" i="1"/>
  <c r="H38" i="1"/>
  <c r="G38" i="1"/>
  <c r="G39" i="1"/>
  <c r="F38" i="1"/>
  <c r="F39" i="1"/>
  <c r="D50" i="1"/>
  <c r="E50" i="1"/>
  <c r="C50" i="1"/>
  <c r="G47" i="1"/>
  <c r="G48" i="1"/>
  <c r="G49" i="1"/>
  <c r="H49" i="1" s="1"/>
  <c r="F47" i="1"/>
  <c r="F48" i="1"/>
  <c r="F49" i="1"/>
  <c r="G37" i="1"/>
  <c r="H37" i="1" s="1"/>
  <c r="F37" i="1"/>
  <c r="H9" i="9"/>
  <c r="I9" i="9" s="1"/>
  <c r="H9" i="10"/>
  <c r="H7" i="10"/>
  <c r="K7" i="10" s="1"/>
  <c r="H11" i="10"/>
  <c r="H8" i="9"/>
  <c r="I8" i="9" s="1"/>
  <c r="H15" i="9"/>
  <c r="E16" i="9"/>
  <c r="G7" i="9"/>
  <c r="G8" i="9"/>
  <c r="G9" i="9"/>
  <c r="G10" i="9"/>
  <c r="G11" i="9"/>
  <c r="G12" i="9"/>
  <c r="G13" i="9"/>
  <c r="G14" i="9"/>
  <c r="H14" i="9" s="1"/>
  <c r="I14" i="9" s="1"/>
  <c r="G15" i="9"/>
  <c r="F7" i="9"/>
  <c r="F8" i="9"/>
  <c r="F9" i="9"/>
  <c r="F10" i="9"/>
  <c r="F11" i="9"/>
  <c r="F12" i="9"/>
  <c r="F13" i="9"/>
  <c r="F14" i="9"/>
  <c r="F15" i="9"/>
  <c r="D16" i="9"/>
  <c r="C16" i="9"/>
  <c r="H8" i="7"/>
  <c r="H19" i="10"/>
  <c r="H6" i="10"/>
  <c r="H22" i="9"/>
  <c r="H11" i="9"/>
  <c r="I11" i="9" s="1"/>
  <c r="L11" i="9" s="1"/>
  <c r="H10" i="9"/>
  <c r="I10" i="9" s="1"/>
  <c r="H7" i="9"/>
  <c r="I7" i="9" s="1"/>
  <c r="I13" i="9"/>
  <c r="H12" i="9"/>
  <c r="I12" i="9" s="1"/>
  <c r="H13" i="9"/>
  <c r="H6" i="9"/>
  <c r="E20" i="10"/>
  <c r="D20" i="10"/>
  <c r="C20" i="10"/>
  <c r="G19" i="10"/>
  <c r="F19" i="10"/>
  <c r="E13" i="10"/>
  <c r="D13" i="10"/>
  <c r="C13" i="10"/>
  <c r="G12" i="10"/>
  <c r="H12" i="10" s="1"/>
  <c r="F12" i="10"/>
  <c r="G11" i="10"/>
  <c r="F11" i="10"/>
  <c r="G10" i="10"/>
  <c r="H10" i="10" s="1"/>
  <c r="J10" i="10" s="1"/>
  <c r="F10" i="10"/>
  <c r="G9" i="10"/>
  <c r="F9" i="10"/>
  <c r="G8" i="10"/>
  <c r="H8" i="10" s="1"/>
  <c r="F8" i="10"/>
  <c r="G7" i="10"/>
  <c r="F7" i="10"/>
  <c r="G6" i="10"/>
  <c r="F6" i="10"/>
  <c r="L23" i="9"/>
  <c r="L24" i="9"/>
  <c r="L25" i="9"/>
  <c r="K23" i="9"/>
  <c r="K24" i="9"/>
  <c r="K25" i="9"/>
  <c r="J23" i="9"/>
  <c r="J24" i="9"/>
  <c r="J25" i="9"/>
  <c r="I23" i="9"/>
  <c r="I24" i="9"/>
  <c r="I25" i="9"/>
  <c r="H23" i="9"/>
  <c r="H24" i="9"/>
  <c r="H25" i="9"/>
  <c r="G23" i="9"/>
  <c r="G24" i="9"/>
  <c r="G25" i="9"/>
  <c r="F23" i="9"/>
  <c r="F24" i="9"/>
  <c r="F25" i="9"/>
  <c r="E26" i="9"/>
  <c r="D26" i="9"/>
  <c r="C26" i="9"/>
  <c r="G22" i="9"/>
  <c r="F22" i="9"/>
  <c r="G6" i="9"/>
  <c r="F6" i="9"/>
  <c r="E26" i="8"/>
  <c r="D26" i="8"/>
  <c r="C26" i="8"/>
  <c r="G25" i="8"/>
  <c r="H25" i="8" s="1"/>
  <c r="F25" i="8"/>
  <c r="G24" i="8"/>
  <c r="H24" i="8" s="1"/>
  <c r="F24" i="8"/>
  <c r="G23" i="8"/>
  <c r="F23" i="8"/>
  <c r="H8" i="8"/>
  <c r="K8" i="8" s="1"/>
  <c r="H7" i="8"/>
  <c r="G6" i="8"/>
  <c r="H6" i="8" s="1"/>
  <c r="F6" i="8"/>
  <c r="G46" i="1"/>
  <c r="H46" i="1" s="1"/>
  <c r="F46" i="1"/>
  <c r="E9" i="7"/>
  <c r="D9" i="7"/>
  <c r="C9" i="7"/>
  <c r="G8" i="7"/>
  <c r="F8" i="7"/>
  <c r="G7" i="7"/>
  <c r="H7" i="7" s="1"/>
  <c r="F7" i="7"/>
  <c r="G6" i="7"/>
  <c r="H6" i="7" s="1"/>
  <c r="F6" i="7"/>
  <c r="G36" i="1"/>
  <c r="H36" i="1" s="1"/>
  <c r="K36" i="1" s="1"/>
  <c r="F36" i="1"/>
  <c r="G35" i="1"/>
  <c r="H35" i="1" s="1"/>
  <c r="F35" i="1"/>
  <c r="G34" i="1"/>
  <c r="H34" i="1" s="1"/>
  <c r="F34" i="1"/>
  <c r="G33" i="1"/>
  <c r="H33" i="1" s="1"/>
  <c r="K33" i="1" s="1"/>
  <c r="F33" i="1"/>
  <c r="G32" i="1"/>
  <c r="H32" i="1" s="1"/>
  <c r="F32" i="1"/>
  <c r="G31" i="1"/>
  <c r="H31" i="1" s="1"/>
  <c r="F31" i="1"/>
  <c r="G30" i="1"/>
  <c r="H30" i="1" s="1"/>
  <c r="F30" i="1"/>
  <c r="G28" i="1"/>
  <c r="H28" i="1" s="1"/>
  <c r="J28" i="1" s="1"/>
  <c r="G7" i="1"/>
  <c r="H7" i="1" s="1"/>
  <c r="G21" i="1"/>
  <c r="H21" i="1" s="1"/>
  <c r="J21" i="1" s="1"/>
  <c r="G27" i="1"/>
  <c r="H27" i="1" s="1"/>
  <c r="J27" i="1" s="1"/>
  <c r="G14" i="1"/>
  <c r="G25" i="1"/>
  <c r="H25" i="1" s="1"/>
  <c r="J25" i="1" s="1"/>
  <c r="G10" i="1"/>
  <c r="H10" i="1" s="1"/>
  <c r="J10" i="1" s="1"/>
  <c r="G20" i="1"/>
  <c r="G12" i="1"/>
  <c r="H12" i="1" s="1"/>
  <c r="G29" i="1"/>
  <c r="H29" i="1" s="1"/>
  <c r="J29" i="1" s="1"/>
  <c r="G19" i="1"/>
  <c r="H19" i="1" s="1"/>
  <c r="G11" i="1"/>
  <c r="H11" i="1" s="1"/>
  <c r="K11" i="1" s="1"/>
  <c r="G23" i="1"/>
  <c r="H23" i="1" s="1"/>
  <c r="I23" i="1" s="1"/>
  <c r="L23" i="1" s="1"/>
  <c r="G9" i="1"/>
  <c r="G15" i="1"/>
  <c r="H15" i="1" s="1"/>
  <c r="G6" i="1"/>
  <c r="H6" i="1" s="1"/>
  <c r="J6" i="1" s="1"/>
  <c r="G17" i="1"/>
  <c r="H17" i="1" s="1"/>
  <c r="G13" i="1"/>
  <c r="H13" i="1" s="1"/>
  <c r="G22" i="1"/>
  <c r="H22" i="1" s="1"/>
  <c r="K22" i="1" s="1"/>
  <c r="G24" i="1"/>
  <c r="H24" i="1" s="1"/>
  <c r="I24" i="1" s="1"/>
  <c r="L24" i="1" s="1"/>
  <c r="G8" i="1"/>
  <c r="H8" i="1" s="1"/>
  <c r="G16" i="1"/>
  <c r="H16" i="1" s="1"/>
  <c r="K16" i="1" s="1"/>
  <c r="G18" i="1"/>
  <c r="G26" i="1"/>
  <c r="H26" i="1" s="1"/>
  <c r="J26" i="1" s="1"/>
  <c r="F28" i="1"/>
  <c r="F7" i="1"/>
  <c r="F21" i="1"/>
  <c r="F27" i="1"/>
  <c r="F14" i="1"/>
  <c r="F25" i="1"/>
  <c r="F10" i="1"/>
  <c r="F20" i="1"/>
  <c r="F12" i="1"/>
  <c r="F29" i="1"/>
  <c r="F19" i="1"/>
  <c r="F11" i="1"/>
  <c r="F23" i="1"/>
  <c r="F9" i="1"/>
  <c r="F15" i="1"/>
  <c r="F6" i="1"/>
  <c r="F17" i="1"/>
  <c r="F13" i="1"/>
  <c r="F22" i="1"/>
  <c r="F24" i="1"/>
  <c r="F8" i="1"/>
  <c r="F16" i="1"/>
  <c r="F18" i="1"/>
  <c r="F26" i="1"/>
  <c r="S13" i="1" l="1"/>
  <c r="U13" i="1" s="1"/>
  <c r="T13" i="1"/>
  <c r="T17" i="1"/>
  <c r="S17" i="1"/>
  <c r="U17" i="1" s="1"/>
  <c r="T30" i="1"/>
  <c r="S30" i="1"/>
  <c r="U30" i="1" s="1"/>
  <c r="S31" i="1"/>
  <c r="U31" i="1" s="1"/>
  <c r="T31" i="1"/>
  <c r="S10" i="1"/>
  <c r="U10" i="1" s="1"/>
  <c r="T10" i="1"/>
  <c r="T27" i="1"/>
  <c r="S27" i="1"/>
  <c r="U27" i="1" s="1"/>
  <c r="T32" i="1"/>
  <c r="S32" i="1"/>
  <c r="U32" i="1" s="1"/>
  <c r="T18" i="1"/>
  <c r="S18" i="1"/>
  <c r="U18" i="1" s="1"/>
  <c r="T15" i="1"/>
  <c r="S15" i="1"/>
  <c r="U15" i="1" s="1"/>
  <c r="T21" i="1"/>
  <c r="S21" i="1"/>
  <c r="U21" i="1" s="1"/>
  <c r="T9" i="1"/>
  <c r="S9" i="1"/>
  <c r="U9" i="1" s="1"/>
  <c r="T7" i="1"/>
  <c r="S7" i="1"/>
  <c r="U7" i="1" s="1"/>
  <c r="T11" i="1"/>
  <c r="S11" i="1"/>
  <c r="U11" i="1" s="1"/>
  <c r="S19" i="1"/>
  <c r="U19" i="1" s="1"/>
  <c r="T19" i="1"/>
  <c r="S23" i="1"/>
  <c r="U23" i="1" s="1"/>
  <c r="T23" i="1"/>
  <c r="T37" i="1"/>
  <c r="S37" i="1"/>
  <c r="U37" i="1" s="1"/>
  <c r="S22" i="1"/>
  <c r="U22" i="1" s="1"/>
  <c r="T22" i="1"/>
  <c r="T24" i="1"/>
  <c r="S24" i="1"/>
  <c r="U24" i="1" s="1"/>
  <c r="S28" i="1"/>
  <c r="U28" i="1" s="1"/>
  <c r="T28" i="1"/>
  <c r="T33" i="1"/>
  <c r="S33" i="1"/>
  <c r="U33" i="1" s="1"/>
  <c r="T26" i="1"/>
  <c r="S26" i="1"/>
  <c r="U26" i="1" s="1"/>
  <c r="T16" i="1"/>
  <c r="S16" i="1"/>
  <c r="U16" i="1" s="1"/>
  <c r="T20" i="1"/>
  <c r="S20" i="1"/>
  <c r="U20" i="1" s="1"/>
  <c r="T34" i="1"/>
  <c r="S34" i="1"/>
  <c r="U34" i="1" s="1"/>
  <c r="T39" i="1"/>
  <c r="S39" i="1"/>
  <c r="U39" i="1" s="1"/>
  <c r="T8" i="1"/>
  <c r="S8" i="1"/>
  <c r="U8" i="1" s="1"/>
  <c r="T12" i="1"/>
  <c r="S12" i="1"/>
  <c r="U12" i="1" s="1"/>
  <c r="T35" i="1"/>
  <c r="S35" i="1"/>
  <c r="U35" i="1" s="1"/>
  <c r="T25" i="1"/>
  <c r="S25" i="1"/>
  <c r="U25" i="1" s="1"/>
  <c r="T29" i="1"/>
  <c r="S29" i="1"/>
  <c r="U29" i="1" s="1"/>
  <c r="T14" i="1"/>
  <c r="P47" i="1"/>
  <c r="R47" i="1" s="1"/>
  <c r="T47" i="1" s="1"/>
  <c r="P12" i="9"/>
  <c r="R12" i="9" s="1"/>
  <c r="T12" i="9" s="1"/>
  <c r="P8" i="7"/>
  <c r="R8" i="7" s="1"/>
  <c r="P8" i="9"/>
  <c r="R8" i="9" s="1"/>
  <c r="P6" i="10"/>
  <c r="R6" i="10" s="1"/>
  <c r="S36" i="1"/>
  <c r="U36" i="1" s="1"/>
  <c r="P9" i="9"/>
  <c r="R9" i="9" s="1"/>
  <c r="T9" i="9" s="1"/>
  <c r="P7" i="10"/>
  <c r="R7" i="10" s="1"/>
  <c r="T7" i="10" s="1"/>
  <c r="P12" i="11"/>
  <c r="R12" i="11" s="1"/>
  <c r="S12" i="11" s="1"/>
  <c r="U12" i="11" s="1"/>
  <c r="P8" i="10"/>
  <c r="R8" i="10" s="1"/>
  <c r="S8" i="10" s="1"/>
  <c r="U8" i="10" s="1"/>
  <c r="P12" i="10"/>
  <c r="R12" i="10" s="1"/>
  <c r="T12" i="10" s="1"/>
  <c r="P24" i="8"/>
  <c r="P8" i="11"/>
  <c r="R8" i="11" s="1"/>
  <c r="P7" i="7"/>
  <c r="R7" i="7" s="1"/>
  <c r="P7" i="9"/>
  <c r="R7" i="9" s="1"/>
  <c r="P9" i="10"/>
  <c r="R9" i="10" s="1"/>
  <c r="P19" i="10"/>
  <c r="P25" i="8"/>
  <c r="T25" i="8" s="1"/>
  <c r="P9" i="11"/>
  <c r="R9" i="11" s="1"/>
  <c r="T9" i="11" s="1"/>
  <c r="T19" i="10"/>
  <c r="S19" i="10"/>
  <c r="U19" i="10" s="1"/>
  <c r="T9" i="10"/>
  <c r="S9" i="10"/>
  <c r="U9" i="10" s="1"/>
  <c r="T10" i="10"/>
  <c r="S10" i="10"/>
  <c r="U10" i="10" s="1"/>
  <c r="S11" i="10"/>
  <c r="U11" i="10" s="1"/>
  <c r="T11" i="10"/>
  <c r="T6" i="10"/>
  <c r="S6" i="10"/>
  <c r="U6" i="10" s="1"/>
  <c r="P16" i="8"/>
  <c r="R16" i="8" s="1"/>
  <c r="T16" i="8" s="1"/>
  <c r="P10" i="8"/>
  <c r="T10" i="8" s="1"/>
  <c r="K15" i="8"/>
  <c r="I15" i="8"/>
  <c r="L15" i="8" s="1"/>
  <c r="J15" i="8"/>
  <c r="P22" i="9"/>
  <c r="R22" i="9" s="1"/>
  <c r="T22" i="9" s="1"/>
  <c r="P23" i="9"/>
  <c r="R23" i="9" s="1"/>
  <c r="S23" i="9" s="1"/>
  <c r="U23" i="9" s="1"/>
  <c r="P24" i="9"/>
  <c r="R24" i="9" s="1"/>
  <c r="T24" i="9" s="1"/>
  <c r="P25" i="9"/>
  <c r="R25" i="9" s="1"/>
  <c r="T25" i="9" s="1"/>
  <c r="T6" i="9"/>
  <c r="S6" i="9"/>
  <c r="U6" i="9" s="1"/>
  <c r="S8" i="9"/>
  <c r="U8" i="9" s="1"/>
  <c r="T8" i="9"/>
  <c r="T13" i="9"/>
  <c r="S13" i="9"/>
  <c r="U13" i="9" s="1"/>
  <c r="S10" i="9"/>
  <c r="U10" i="9" s="1"/>
  <c r="T10" i="9"/>
  <c r="S14" i="9"/>
  <c r="U14" i="9" s="1"/>
  <c r="T14" i="9"/>
  <c r="T11" i="9"/>
  <c r="S11" i="9"/>
  <c r="U11" i="9" s="1"/>
  <c r="T15" i="9"/>
  <c r="S15" i="9"/>
  <c r="U15" i="9" s="1"/>
  <c r="T7" i="9"/>
  <c r="S7" i="9"/>
  <c r="U7" i="9" s="1"/>
  <c r="T10" i="11"/>
  <c r="S10" i="11"/>
  <c r="U10" i="11" s="1"/>
  <c r="T7" i="11"/>
  <c r="S7" i="11"/>
  <c r="U7" i="11" s="1"/>
  <c r="S11" i="11"/>
  <c r="U11" i="11" s="1"/>
  <c r="T11" i="11"/>
  <c r="T8" i="11"/>
  <c r="S8" i="11"/>
  <c r="U8" i="11" s="1"/>
  <c r="T6" i="11"/>
  <c r="S6" i="11"/>
  <c r="U6" i="11" s="1"/>
  <c r="P13" i="8"/>
  <c r="R13" i="8" s="1"/>
  <c r="T13" i="8" s="1"/>
  <c r="R24" i="8"/>
  <c r="T24" i="8" s="1"/>
  <c r="P23" i="8"/>
  <c r="R23" i="8" s="1"/>
  <c r="T23" i="8" s="1"/>
  <c r="P9" i="8"/>
  <c r="R9" i="8" s="1"/>
  <c r="T9" i="8" s="1"/>
  <c r="P11" i="8"/>
  <c r="P15" i="8"/>
  <c r="P7" i="8"/>
  <c r="R7" i="8" s="1"/>
  <c r="T7" i="8" s="1"/>
  <c r="P8" i="8"/>
  <c r="R8" i="8" s="1"/>
  <c r="S8" i="8" s="1"/>
  <c r="U8" i="8" s="1"/>
  <c r="P14" i="8"/>
  <c r="P6" i="8"/>
  <c r="R6" i="8" s="1"/>
  <c r="T6" i="8" s="1"/>
  <c r="T12" i="8"/>
  <c r="U12" i="8"/>
  <c r="T8" i="7"/>
  <c r="S8" i="7"/>
  <c r="U8" i="7" s="1"/>
  <c r="T6" i="7"/>
  <c r="S6" i="7"/>
  <c r="U6" i="7" s="1"/>
  <c r="T7" i="7"/>
  <c r="S7" i="7"/>
  <c r="U7" i="7" s="1"/>
  <c r="S47" i="1"/>
  <c r="U47" i="1" s="1"/>
  <c r="T48" i="1"/>
  <c r="S48" i="1"/>
  <c r="U48" i="1" s="1"/>
  <c r="T49" i="1"/>
  <c r="S49" i="1"/>
  <c r="U49" i="1" s="1"/>
  <c r="T46" i="1"/>
  <c r="S46" i="1"/>
  <c r="U46" i="1" s="1"/>
  <c r="S38" i="1"/>
  <c r="U38" i="1" s="1"/>
  <c r="T6" i="1"/>
  <c r="J47" i="1"/>
  <c r="K16" i="8"/>
  <c r="J16" i="8"/>
  <c r="H17" i="8"/>
  <c r="F17" i="8"/>
  <c r="G17" i="8"/>
  <c r="I14" i="8"/>
  <c r="L14" i="8" s="1"/>
  <c r="J14" i="8"/>
  <c r="K14" i="8"/>
  <c r="K13" i="8"/>
  <c r="J13" i="8"/>
  <c r="I13" i="8"/>
  <c r="L13" i="8" s="1"/>
  <c r="K11" i="8"/>
  <c r="I11" i="8"/>
  <c r="L11" i="8" s="1"/>
  <c r="G26" i="8"/>
  <c r="I11" i="11"/>
  <c r="L11" i="11" s="1"/>
  <c r="F13" i="11"/>
  <c r="G13" i="11"/>
  <c r="H13" i="11"/>
  <c r="I12" i="11"/>
  <c r="L12" i="11" s="1"/>
  <c r="J12" i="11"/>
  <c r="K10" i="11"/>
  <c r="J7" i="11"/>
  <c r="I7" i="11"/>
  <c r="H6" i="11"/>
  <c r="I6" i="11" s="1"/>
  <c r="L6" i="11" s="1"/>
  <c r="K7" i="11"/>
  <c r="K8" i="11"/>
  <c r="J8" i="11"/>
  <c r="I8" i="11"/>
  <c r="L8" i="11" s="1"/>
  <c r="K9" i="11"/>
  <c r="J9" i="11"/>
  <c r="I9" i="11"/>
  <c r="L9" i="11" s="1"/>
  <c r="I10" i="11"/>
  <c r="L10" i="11" s="1"/>
  <c r="J10" i="11"/>
  <c r="H23" i="8"/>
  <c r="H26" i="8" s="1"/>
  <c r="F50" i="1"/>
  <c r="H50" i="1"/>
  <c r="K49" i="1"/>
  <c r="J49" i="1"/>
  <c r="I49" i="1"/>
  <c r="L49" i="1" s="1"/>
  <c r="G50" i="1"/>
  <c r="J37" i="1"/>
  <c r="K37" i="1"/>
  <c r="I37" i="1"/>
  <c r="L37" i="1" s="1"/>
  <c r="I15" i="9"/>
  <c r="L15" i="9" s="1"/>
  <c r="J15" i="9"/>
  <c r="K15" i="9"/>
  <c r="J9" i="10"/>
  <c r="K14" i="9"/>
  <c r="G13" i="10"/>
  <c r="F20" i="10"/>
  <c r="F13" i="10"/>
  <c r="K10" i="10"/>
  <c r="I10" i="10"/>
  <c r="L10" i="10" s="1"/>
  <c r="K8" i="10"/>
  <c r="I8" i="10"/>
  <c r="L8" i="10" s="1"/>
  <c r="J8" i="10"/>
  <c r="J12" i="10"/>
  <c r="I12" i="10"/>
  <c r="L12" i="10" s="1"/>
  <c r="K12" i="10"/>
  <c r="K19" i="10"/>
  <c r="K20" i="10" s="1"/>
  <c r="J19" i="10"/>
  <c r="I19" i="10"/>
  <c r="H20" i="10"/>
  <c r="I11" i="10"/>
  <c r="L11" i="10" s="1"/>
  <c r="K11" i="10"/>
  <c r="J11" i="10"/>
  <c r="I9" i="10"/>
  <c r="L9" i="10" s="1"/>
  <c r="G20" i="10"/>
  <c r="I7" i="10"/>
  <c r="L7" i="10" s="1"/>
  <c r="K9" i="10"/>
  <c r="J7" i="10"/>
  <c r="L8" i="9"/>
  <c r="K8" i="9"/>
  <c r="J10" i="9"/>
  <c r="L10" i="9"/>
  <c r="K13" i="9"/>
  <c r="J13" i="9"/>
  <c r="L13" i="9"/>
  <c r="L14" i="9"/>
  <c r="J14" i="9"/>
  <c r="K9" i="9"/>
  <c r="J9" i="9"/>
  <c r="L9" i="9"/>
  <c r="L7" i="9"/>
  <c r="J7" i="9"/>
  <c r="K7" i="9"/>
  <c r="L12" i="9"/>
  <c r="J12" i="9"/>
  <c r="K12" i="9"/>
  <c r="J8" i="9"/>
  <c r="K11" i="9"/>
  <c r="J11" i="9"/>
  <c r="K10" i="9"/>
  <c r="F26" i="9"/>
  <c r="F16" i="9"/>
  <c r="H16" i="9"/>
  <c r="I6" i="9"/>
  <c r="K6" i="9"/>
  <c r="J6" i="9"/>
  <c r="K22" i="9"/>
  <c r="J22" i="9"/>
  <c r="I22" i="9"/>
  <c r="H26" i="9"/>
  <c r="G26" i="9"/>
  <c r="G16" i="9"/>
  <c r="I10" i="8"/>
  <c r="L10" i="8" s="1"/>
  <c r="J10" i="8"/>
  <c r="F26" i="8"/>
  <c r="K25" i="8"/>
  <c r="J25" i="8"/>
  <c r="I25" i="8"/>
  <c r="L25" i="8" s="1"/>
  <c r="K7" i="8"/>
  <c r="I7" i="8"/>
  <c r="L7" i="8" s="1"/>
  <c r="J7" i="8"/>
  <c r="K24" i="8"/>
  <c r="J24" i="8"/>
  <c r="I24" i="8"/>
  <c r="L24" i="8" s="1"/>
  <c r="K9" i="8"/>
  <c r="I9" i="8"/>
  <c r="L9" i="8" s="1"/>
  <c r="J9" i="8"/>
  <c r="I8" i="8"/>
  <c r="L8" i="8" s="1"/>
  <c r="K10" i="8"/>
  <c r="J8" i="8"/>
  <c r="I6" i="1"/>
  <c r="K6" i="1"/>
  <c r="K7" i="1"/>
  <c r="K18" i="1"/>
  <c r="F9" i="7"/>
  <c r="G9" i="7"/>
  <c r="K48" i="1"/>
  <c r="I48" i="1"/>
  <c r="L48" i="1" s="1"/>
  <c r="J48" i="1"/>
  <c r="I46" i="1"/>
  <c r="J46" i="1"/>
  <c r="K46" i="1"/>
  <c r="K47" i="1"/>
  <c r="I47" i="1"/>
  <c r="L47" i="1" s="1"/>
  <c r="J8" i="7"/>
  <c r="K8" i="7"/>
  <c r="I7" i="7"/>
  <c r="L7" i="7" s="1"/>
  <c r="J7" i="7"/>
  <c r="K7" i="7"/>
  <c r="I8" i="7"/>
  <c r="L8" i="7" s="1"/>
  <c r="I15" i="1"/>
  <c r="L15" i="1" s="1"/>
  <c r="K14" i="1"/>
  <c r="J12" i="1"/>
  <c r="I8" i="1"/>
  <c r="L8" i="1" s="1"/>
  <c r="I30" i="1"/>
  <c r="L30" i="1" s="1"/>
  <c r="K30" i="1"/>
  <c r="J30" i="1"/>
  <c r="I34" i="1"/>
  <c r="L34" i="1" s="1"/>
  <c r="K34" i="1"/>
  <c r="J34" i="1"/>
  <c r="K32" i="1"/>
  <c r="J32" i="1"/>
  <c r="I32" i="1"/>
  <c r="L32" i="1" s="1"/>
  <c r="J31" i="1"/>
  <c r="I31" i="1"/>
  <c r="L31" i="1" s="1"/>
  <c r="K31" i="1"/>
  <c r="J35" i="1"/>
  <c r="K35" i="1"/>
  <c r="I35" i="1"/>
  <c r="L35" i="1" s="1"/>
  <c r="I36" i="1"/>
  <c r="L36" i="1" s="1"/>
  <c r="J36" i="1"/>
  <c r="I33" i="1"/>
  <c r="L33" i="1" s="1"/>
  <c r="J33" i="1"/>
  <c r="K24" i="1"/>
  <c r="K15" i="1"/>
  <c r="K8" i="1"/>
  <c r="K23" i="1"/>
  <c r="K19" i="1"/>
  <c r="I19" i="1"/>
  <c r="L19" i="1" s="1"/>
  <c r="I25" i="1"/>
  <c r="L25" i="1" s="1"/>
  <c r="K25" i="1"/>
  <c r="I7" i="1"/>
  <c r="L7" i="1" s="1"/>
  <c r="I10" i="1"/>
  <c r="L10" i="1" s="1"/>
  <c r="I18" i="1"/>
  <c r="L18" i="1" s="1"/>
  <c r="I26" i="1"/>
  <c r="L26" i="1" s="1"/>
  <c r="K10" i="1"/>
  <c r="K26" i="1"/>
  <c r="I16" i="1"/>
  <c r="L16" i="1" s="1"/>
  <c r="I11" i="1"/>
  <c r="L11" i="1" s="1"/>
  <c r="I27" i="1"/>
  <c r="L27" i="1" s="1"/>
  <c r="K27" i="1"/>
  <c r="I12" i="1"/>
  <c r="L12" i="1" s="1"/>
  <c r="I28" i="1"/>
  <c r="L28" i="1" s="1"/>
  <c r="K12" i="1"/>
  <c r="K28" i="1"/>
  <c r="I29" i="1"/>
  <c r="L29" i="1" s="1"/>
  <c r="I21" i="1"/>
  <c r="L21" i="1" s="1"/>
  <c r="K21" i="1"/>
  <c r="K29" i="1"/>
  <c r="I14" i="1"/>
  <c r="L14" i="1" s="1"/>
  <c r="I22" i="1"/>
  <c r="L22" i="1" s="1"/>
  <c r="J14" i="1"/>
  <c r="J22" i="1"/>
  <c r="J8" i="1"/>
  <c r="J40" i="1"/>
  <c r="J13" i="1"/>
  <c r="J7" i="1"/>
  <c r="J24" i="1"/>
  <c r="J23" i="1"/>
  <c r="J19" i="1"/>
  <c r="J18" i="1"/>
  <c r="J16" i="1"/>
  <c r="J15" i="1"/>
  <c r="J11" i="1"/>
  <c r="S22" i="9" l="1"/>
  <c r="U22" i="9" s="1"/>
  <c r="S16" i="8"/>
  <c r="U16" i="8" s="1"/>
  <c r="S7" i="10"/>
  <c r="U7" i="10" s="1"/>
  <c r="T23" i="9"/>
  <c r="S9" i="11"/>
  <c r="U9" i="11" s="1"/>
  <c r="S25" i="8"/>
  <c r="U25" i="8" s="1"/>
  <c r="T8" i="8"/>
  <c r="S10" i="8"/>
  <c r="U10" i="8" s="1"/>
  <c r="S14" i="8"/>
  <c r="U14" i="8" s="1"/>
  <c r="Q14" i="8"/>
  <c r="T12" i="11"/>
  <c r="T8" i="10"/>
  <c r="S15" i="8"/>
  <c r="U15" i="8" s="1"/>
  <c r="Q15" i="8"/>
  <c r="S12" i="9"/>
  <c r="U12" i="9" s="1"/>
  <c r="S12" i="10"/>
  <c r="U12" i="10" s="1"/>
  <c r="T11" i="8"/>
  <c r="Q11" i="8"/>
  <c r="S9" i="9"/>
  <c r="U9" i="9" s="1"/>
  <c r="S9" i="8"/>
  <c r="U9" i="8" s="1"/>
  <c r="S13" i="8"/>
  <c r="U13" i="8" s="1"/>
  <c r="S25" i="9"/>
  <c r="U25" i="9" s="1"/>
  <c r="S24" i="9"/>
  <c r="U24" i="9" s="1"/>
  <c r="T14" i="8"/>
  <c r="S23" i="8"/>
  <c r="U23" i="8" s="1"/>
  <c r="S24" i="8"/>
  <c r="U24" i="8" s="1"/>
  <c r="T15" i="8"/>
  <c r="S7" i="8"/>
  <c r="U7" i="8" s="1"/>
  <c r="S11" i="8"/>
  <c r="U11" i="8" s="1"/>
  <c r="S6" i="8"/>
  <c r="U6" i="8" s="1"/>
  <c r="S6" i="1"/>
  <c r="U6" i="1" s="1"/>
  <c r="K50" i="1"/>
  <c r="J26" i="8"/>
  <c r="K13" i="11"/>
  <c r="L7" i="11"/>
  <c r="L13" i="11" s="1"/>
  <c r="I13" i="11"/>
  <c r="J13" i="11"/>
  <c r="J6" i="11"/>
  <c r="K6" i="11"/>
  <c r="J17" i="8"/>
  <c r="J50" i="1"/>
  <c r="L46" i="1"/>
  <c r="L50" i="1" s="1"/>
  <c r="I50" i="1"/>
  <c r="I20" i="10"/>
  <c r="L19" i="10"/>
  <c r="L20" i="10" s="1"/>
  <c r="K6" i="10"/>
  <c r="K13" i="10" s="1"/>
  <c r="H13" i="10"/>
  <c r="J13" i="10" s="1"/>
  <c r="J6" i="10"/>
  <c r="I6" i="10"/>
  <c r="J20" i="10"/>
  <c r="J26" i="9"/>
  <c r="K16" i="9"/>
  <c r="J16" i="9"/>
  <c r="I26" i="9"/>
  <c r="L22" i="9"/>
  <c r="L26" i="9" s="1"/>
  <c r="K26" i="9"/>
  <c r="I16" i="9"/>
  <c r="L6" i="9"/>
  <c r="L16" i="9" s="1"/>
  <c r="K6" i="8"/>
  <c r="K17" i="8" s="1"/>
  <c r="I6" i="8"/>
  <c r="J6" i="8"/>
  <c r="K23" i="8"/>
  <c r="K26" i="8" s="1"/>
  <c r="J23" i="8"/>
  <c r="I23" i="8"/>
  <c r="L23" i="8" s="1"/>
  <c r="L26" i="8" s="1"/>
  <c r="H9" i="7"/>
  <c r="J9" i="7" s="1"/>
  <c r="J6" i="7"/>
  <c r="I6" i="7"/>
  <c r="L6" i="7" s="1"/>
  <c r="L9" i="7" s="1"/>
  <c r="K6" i="7"/>
  <c r="K9" i="7" s="1"/>
  <c r="K20" i="1"/>
  <c r="I20" i="1"/>
  <c r="L20" i="1" s="1"/>
  <c r="K9" i="1"/>
  <c r="I9" i="1"/>
  <c r="K17" i="1"/>
  <c r="I17" i="1"/>
  <c r="L17" i="1" s="1"/>
  <c r="J9" i="1"/>
  <c r="K13" i="1"/>
  <c r="I13" i="1"/>
  <c r="L13" i="1" s="1"/>
  <c r="J20" i="1"/>
  <c r="J17" i="1"/>
  <c r="K40" i="1" l="1"/>
  <c r="L9" i="1"/>
  <c r="L40" i="1" s="1"/>
  <c r="I40" i="1"/>
  <c r="L6" i="8"/>
  <c r="L17" i="8" s="1"/>
  <c r="I17" i="8"/>
  <c r="I26" i="8"/>
  <c r="L6" i="10"/>
  <c r="L13" i="10" s="1"/>
  <c r="I13" i="10"/>
  <c r="I9" i="7"/>
  <c r="L6" i="1"/>
</calcChain>
</file>

<file path=xl/sharedStrings.xml><?xml version="1.0" encoding="utf-8"?>
<sst xmlns="http://schemas.openxmlformats.org/spreadsheetml/2006/main" count="432" uniqueCount="202">
  <si>
    <t>KODE CUST</t>
  </si>
  <si>
    <t>CUSTOMER</t>
  </si>
  <si>
    <t>11. NOV</t>
  </si>
  <si>
    <t>12. DEC</t>
  </si>
  <si>
    <t>01. JAN</t>
  </si>
  <si>
    <t>Grand Total</t>
  </si>
  <si>
    <t>BEAUTY COSMETIC</t>
  </si>
  <si>
    <t>TOTAL</t>
  </si>
  <si>
    <t>AVERAGE</t>
  </si>
  <si>
    <t>TARGET</t>
  </si>
  <si>
    <t>GR</t>
  </si>
  <si>
    <t>TARGET HET 3 BULAN</t>
  </si>
  <si>
    <t>TARGET DPP</t>
  </si>
  <si>
    <t>TARGET DPP 3 BULAN</t>
  </si>
  <si>
    <t>CASHBACK SURABAYA</t>
  </si>
  <si>
    <t>CL29099</t>
  </si>
  <si>
    <t>CL43132</t>
  </si>
  <si>
    <t>CL35429</t>
  </si>
  <si>
    <t>CL00213</t>
  </si>
  <si>
    <t>CL32361</t>
  </si>
  <si>
    <t>CL43759</t>
  </si>
  <si>
    <t>CL40932</t>
  </si>
  <si>
    <t>CL33193</t>
  </si>
  <si>
    <t>CL29488</t>
  </si>
  <si>
    <t>CL32103</t>
  </si>
  <si>
    <t>CL35241</t>
  </si>
  <si>
    <t>CL35145</t>
  </si>
  <si>
    <t>CL12247</t>
  </si>
  <si>
    <t>CL00118</t>
  </si>
  <si>
    <t>CL03735</t>
  </si>
  <si>
    <t>CL35147</t>
  </si>
  <si>
    <t>CL29177</t>
  </si>
  <si>
    <t>CL39908</t>
  </si>
  <si>
    <t>CL41602</t>
  </si>
  <si>
    <t>CL27217</t>
  </si>
  <si>
    <t>CL25986</t>
  </si>
  <si>
    <t>CL29195</t>
  </si>
  <si>
    <t>CL29470</t>
  </si>
  <si>
    <t>CL44613</t>
  </si>
  <si>
    <t>CL36552</t>
  </si>
  <si>
    <t>CL24977</t>
  </si>
  <si>
    <t>CL40741</t>
  </si>
  <si>
    <t>CL43262</t>
  </si>
  <si>
    <t>CL40542</t>
  </si>
  <si>
    <t>CL35674</t>
  </si>
  <si>
    <t>CL04264</t>
  </si>
  <si>
    <t>CV. BELIA BERKAT ABADI</t>
  </si>
  <si>
    <t>ENVIO STORE, CV</t>
  </si>
  <si>
    <t>CITRA SEJAHTERA, CV</t>
  </si>
  <si>
    <t>STAR, CV</t>
  </si>
  <si>
    <t>CV. LARIS BERLIMPAH BERKAT</t>
  </si>
  <si>
    <t>HERMOSA TRIMITRA UTAMA, CV</t>
  </si>
  <si>
    <t>CECE MANDIRI SEJAHTERA, CV</t>
  </si>
  <si>
    <t>MITRA BERSAMA, CV</t>
  </si>
  <si>
    <t>RAHMAD, TOKO</t>
  </si>
  <si>
    <t>CV. CAHAYA SUKSES BERSAMA</t>
  </si>
  <si>
    <t>QUEEN  BEAUTY SHOP</t>
  </si>
  <si>
    <t>BAHTERA YENDI SEJAHTERA, CV</t>
  </si>
  <si>
    <t>MIRACLE PESONA SEMESTA, CV</t>
  </si>
  <si>
    <t>PADMA WIJAYA</t>
  </si>
  <si>
    <t>DEWI AYU ABADI, CV</t>
  </si>
  <si>
    <t>LINA OKTAVIA, UD</t>
  </si>
  <si>
    <t>SYAFA</t>
  </si>
  <si>
    <t>AELLA COSMETIC</t>
  </si>
  <si>
    <t>HARIS RIADI</t>
  </si>
  <si>
    <t>FENITA</t>
  </si>
  <si>
    <t>ROYAL GALAXY, CV</t>
  </si>
  <si>
    <t>LANCAR ONLINE SHOP</t>
  </si>
  <si>
    <t>PT. MAJU MAKMUR GRUP</t>
  </si>
  <si>
    <t>LACICI SUKSES BERSAMA, CV</t>
  </si>
  <si>
    <t>LOVE ME COSMETIC</t>
  </si>
  <si>
    <t>HIE LITA ( TK JELITA )</t>
  </si>
  <si>
    <t>MALIKA LITANI KOSMETIK INDONESIA, PT</t>
  </si>
  <si>
    <t>DARA ANNISA</t>
  </si>
  <si>
    <t>CAHAYA RETAIL PAPUA, PT</t>
  </si>
  <si>
    <t>SENTRAL SUKSES RETAILINDO,CV</t>
  </si>
  <si>
    <t>MEGAH JAYA</t>
  </si>
  <si>
    <t>GT CHANNEL</t>
  </si>
  <si>
    <t>MT CHANNEL</t>
  </si>
  <si>
    <t>CL41530</t>
  </si>
  <si>
    <t>BINTANG MUARA SWALAYAN, PT</t>
  </si>
  <si>
    <t>CL00155</t>
  </si>
  <si>
    <t>PALAPA MEGA GALAKSI, PT</t>
  </si>
  <si>
    <t>CL40310</t>
  </si>
  <si>
    <t>THALITA</t>
  </si>
  <si>
    <t>CL01894</t>
  </si>
  <si>
    <t>RENY, MINI MARKET</t>
  </si>
  <si>
    <t>CL31384</t>
  </si>
  <si>
    <t>CLARISSA</t>
  </si>
  <si>
    <t>CL43479</t>
  </si>
  <si>
    <t>VINA</t>
  </si>
  <si>
    <t>CL29905</t>
  </si>
  <si>
    <t>BUDI CELL</t>
  </si>
  <si>
    <t>CASHBACK GRESIK</t>
  </si>
  <si>
    <t>CASHBACK SIDOARJO</t>
  </si>
  <si>
    <t>CL28570</t>
  </si>
  <si>
    <t>PT. MEGA SEPANJANG PERMAI</t>
  </si>
  <si>
    <t>CL39874</t>
  </si>
  <si>
    <t>CV. GRAND RETAILINDO ANUGERAH</t>
  </si>
  <si>
    <t>CL42348</t>
  </si>
  <si>
    <t>PT. MEGA KRIAN PERMAI</t>
  </si>
  <si>
    <t>CL30612</t>
  </si>
  <si>
    <t>DANI / BELIA</t>
  </si>
  <si>
    <t>CL33651</t>
  </si>
  <si>
    <t>CL29355</t>
  </si>
  <si>
    <t>GRAB N SHOP</t>
  </si>
  <si>
    <t>CL35968</t>
  </si>
  <si>
    <t>SINARTA BEAUTY</t>
  </si>
  <si>
    <t>CL11197</t>
  </si>
  <si>
    <t>SUMBER REJEKI / LANCAR REJEKI</t>
  </si>
  <si>
    <t>CASHBACK LAMONGAN</t>
  </si>
  <si>
    <t>CL28910</t>
  </si>
  <si>
    <t>DEVI PURNAMAWATI</t>
  </si>
  <si>
    <t>CL42067</t>
  </si>
  <si>
    <t>CV. RENA BEAUTY</t>
  </si>
  <si>
    <t>CL42068</t>
  </si>
  <si>
    <t>RENA FACTORY LAMONGAN</t>
  </si>
  <si>
    <t>CL40084</t>
  </si>
  <si>
    <t>RIRI KOSMETIK</t>
  </si>
  <si>
    <t>CL42629</t>
  </si>
  <si>
    <t>RENA FAKTORY BOJONEGORO</t>
  </si>
  <si>
    <t>CL33375</t>
  </si>
  <si>
    <t>BALQIS STORE</t>
  </si>
  <si>
    <t>CL43980</t>
  </si>
  <si>
    <t>RENA BEAUTY PASURUAN</t>
  </si>
  <si>
    <t>CL28995</t>
  </si>
  <si>
    <t>RIRIS KOSMETIK</t>
  </si>
  <si>
    <t>CL30868</t>
  </si>
  <si>
    <t>DEOLINDA</t>
  </si>
  <si>
    <t>CL25738</t>
  </si>
  <si>
    <t>KARUNIA DAMAI SENTOSA CV</t>
  </si>
  <si>
    <t>CL25977</t>
  </si>
  <si>
    <t>BRAVO TUBAN</t>
  </si>
  <si>
    <t>CL20291</t>
  </si>
  <si>
    <t>PONPES SUNAN DRAJAT TOSERBA</t>
  </si>
  <si>
    <t>CL19194</t>
  </si>
  <si>
    <t>PT. AWAM BERSAUDARA</t>
  </si>
  <si>
    <t>CASHBACK MADURA</t>
  </si>
  <si>
    <t>MDR-WS-ABCNEW-00001</t>
  </si>
  <si>
    <t>CV ABC SWALAYAN &amp; GROSIR</t>
  </si>
  <si>
    <t>MDR-R-DAHLIA-00001</t>
  </si>
  <si>
    <t>DAHLIA STORE</t>
  </si>
  <si>
    <t>MDR-R-MURNI-00001</t>
  </si>
  <si>
    <t>MURNI II</t>
  </si>
  <si>
    <t>MDR-SWS-T.CHYSEHAT-1</t>
  </si>
  <si>
    <t>TO CAHAYA SEHAT</t>
  </si>
  <si>
    <t>MDR-R-MESSY-00001</t>
  </si>
  <si>
    <t>MESSY COSMETIK</t>
  </si>
  <si>
    <t>MDR-R-NOER-00001</t>
  </si>
  <si>
    <t>NOER</t>
  </si>
  <si>
    <t>MDR-R-MECCA-00001</t>
  </si>
  <si>
    <t>ELVIRA NOVITA SARI</t>
  </si>
  <si>
    <t>MDR-R-ARABELA-00001</t>
  </si>
  <si>
    <t>ARABELA FRIEDNY</t>
  </si>
  <si>
    <t>CL43093</t>
  </si>
  <si>
    <t>BERLISHOPPA</t>
  </si>
  <si>
    <t>DOSIDO</t>
  </si>
  <si>
    <t>CL42766</t>
  </si>
  <si>
    <t>CL31524</t>
  </si>
  <si>
    <t>ANTHONY GUNADI</t>
  </si>
  <si>
    <t>CL40712</t>
  </si>
  <si>
    <t>FE BEAUTY COSMETIC &amp; SKINCARE</t>
  </si>
  <si>
    <t>CASHBACK JOMBANG</t>
  </si>
  <si>
    <t>CL27833</t>
  </si>
  <si>
    <t xml:space="preserve">CV. MORODADI UTAMA_x000D_
</t>
  </si>
  <si>
    <t>CL27083</t>
  </si>
  <si>
    <t>CV. PUTRO JOYO</t>
  </si>
  <si>
    <t>CL27794</t>
  </si>
  <si>
    <t>BELEZZA</t>
  </si>
  <si>
    <t>CL35780</t>
  </si>
  <si>
    <t>OXY, CV</t>
  </si>
  <si>
    <t>CL33362</t>
  </si>
  <si>
    <t>PT. MILENIAL MANDIRI INDONESIA</t>
  </si>
  <si>
    <t>CL11104</t>
  </si>
  <si>
    <t>CV. SUBUR BERKAT ANUGERAH</t>
  </si>
  <si>
    <t>CL35172</t>
  </si>
  <si>
    <t>PADI PUTRA</t>
  </si>
  <si>
    <t>CL30679</t>
  </si>
  <si>
    <t>GUGUGAGA STORE</t>
  </si>
  <si>
    <t>CL31608</t>
  </si>
  <si>
    <t>MISBAHUL MUNIR</t>
  </si>
  <si>
    <t>CL40714</t>
  </si>
  <si>
    <t>PURI SHOP</t>
  </si>
  <si>
    <t>CL44491</t>
  </si>
  <si>
    <t>PT. ITSME COSME INDONESIA</t>
  </si>
  <si>
    <t>CL39543</t>
  </si>
  <si>
    <t>CANTIKKU, TK</t>
  </si>
  <si>
    <t>CL39145</t>
  </si>
  <si>
    <t>SHE BEAUTY</t>
  </si>
  <si>
    <t>VALIDASI ADMIN SALES</t>
  </si>
  <si>
    <t>12. DES</t>
  </si>
  <si>
    <t>AVG</t>
  </si>
  <si>
    <t>Growth</t>
  </si>
  <si>
    <t>Target/bulan HET</t>
  </si>
  <si>
    <t>Target 3 bulan HET</t>
  </si>
  <si>
    <t>Target/bulan DPP</t>
  </si>
  <si>
    <t>Target 3 bulan DPP</t>
  </si>
  <si>
    <t>NOO</t>
  </si>
  <si>
    <t>average dibawah 20jt</t>
  </si>
  <si>
    <t>propose toko BA</t>
  </si>
  <si>
    <t>Average dibawah 20jt</t>
  </si>
  <si>
    <t>propose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</si>
</sst>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165" fontId="0" fillId="0" borderId="1" xfId="0" applyNumberFormat="1" applyBorder="1"/>
    <xf numFmtId="165" fontId="2" fillId="5" borderId="1" xfId="0" applyNumberFormat="1" applyFont="1" applyFill="1" applyBorder="1"/>
    <xf numFmtId="0" fontId="2" fillId="5" borderId="1" xfId="0" applyFont="1" applyFill="1" applyBorder="1"/>
    <xf numFmtId="0" fontId="3" fillId="2" borderId="1" xfId="0" applyFont="1" applyFill="1" applyBorder="1" applyAlignment="1">
      <alignment horizontal="center"/>
    </xf>
    <xf numFmtId="165" fontId="3" fillId="7" borderId="1" xfId="0" applyNumberFormat="1" applyFont="1" applyFill="1" applyBorder="1"/>
    <xf numFmtId="165" fontId="3" fillId="8" borderId="1" xfId="0" applyNumberFormat="1" applyFont="1" applyFill="1" applyBorder="1"/>
    <xf numFmtId="165" fontId="3" fillId="9" borderId="1" xfId="0" applyNumberFormat="1" applyFont="1" applyFill="1" applyBorder="1"/>
    <xf numFmtId="0" fontId="3" fillId="4" borderId="2" xfId="0" applyFont="1" applyFill="1" applyBorder="1" applyAlignment="1">
      <alignment horizontal="center"/>
    </xf>
    <xf numFmtId="9" fontId="0" fillId="0" borderId="1" xfId="2" applyFont="1" applyBorder="1"/>
    <xf numFmtId="9" fontId="2" fillId="6" borderId="1" xfId="2" applyFont="1" applyFill="1" applyBorder="1"/>
    <xf numFmtId="165" fontId="0" fillId="0" borderId="1" xfId="1" applyNumberFormat="1" applyFont="1" applyBorder="1"/>
    <xf numFmtId="165" fontId="0" fillId="0" borderId="1" xfId="1" applyNumberFormat="1" applyFont="1" applyFill="1" applyBorder="1"/>
    <xf numFmtId="9" fontId="0" fillId="0" borderId="1" xfId="2" applyFont="1" applyFill="1" applyBorder="1"/>
    <xf numFmtId="0" fontId="3" fillId="3" borderId="0" xfId="0" applyFont="1" applyFill="1"/>
    <xf numFmtId="165" fontId="1" fillId="3" borderId="1" xfId="4" applyNumberFormat="1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165" fontId="6" fillId="0" borderId="1" xfId="4" applyNumberFormat="1" applyFont="1" applyBorder="1"/>
    <xf numFmtId="9" fontId="6" fillId="0" borderId="1" xfId="2" applyFont="1" applyBorder="1"/>
    <xf numFmtId="9" fontId="0" fillId="0" borderId="0" xfId="2" applyFont="1"/>
    <xf numFmtId="165" fontId="6" fillId="0" borderId="1" xfId="2" applyNumberFormat="1" applyFont="1" applyBorder="1"/>
    <xf numFmtId="0" fontId="3" fillId="10" borderId="1" xfId="0" applyFont="1" applyFill="1" applyBorder="1"/>
    <xf numFmtId="165" fontId="0" fillId="10" borderId="1" xfId="1" applyNumberFormat="1" applyFont="1" applyFill="1" applyBorder="1"/>
    <xf numFmtId="165" fontId="3" fillId="10" borderId="1" xfId="0" applyNumberFormat="1" applyFont="1" applyFill="1" applyBorder="1"/>
    <xf numFmtId="9" fontId="0" fillId="10" borderId="1" xfId="2" applyFont="1" applyFill="1" applyBorder="1"/>
    <xf numFmtId="165" fontId="0" fillId="10" borderId="1" xfId="0" applyNumberFormat="1" applyFill="1" applyBorder="1"/>
    <xf numFmtId="165" fontId="6" fillId="10" borderId="1" xfId="4" applyNumberFormat="1" applyFont="1" applyFill="1" applyBorder="1"/>
    <xf numFmtId="165" fontId="6" fillId="10" borderId="1" xfId="2" applyNumberFormat="1" applyFont="1" applyFill="1" applyBorder="1"/>
    <xf numFmtId="9" fontId="6" fillId="10" borderId="1" xfId="2" applyFont="1" applyFill="1" applyBorder="1"/>
    <xf numFmtId="0" fontId="0" fillId="10" borderId="0" xfId="0" applyFill="1"/>
    <xf numFmtId="165" fontId="3" fillId="0" borderId="1" xfId="0" applyNumberFormat="1" applyFont="1" applyBorder="1"/>
    <xf numFmtId="165" fontId="6" fillId="0" borderId="1" xfId="4" applyNumberFormat="1" applyFont="1" applyFill="1" applyBorder="1"/>
    <xf numFmtId="165" fontId="6" fillId="0" borderId="1" xfId="2" applyNumberFormat="1" applyFont="1" applyFill="1" applyBorder="1"/>
    <xf numFmtId="9" fontId="6" fillId="0" borderId="1" xfId="2" applyFont="1" applyFill="1" applyBorder="1"/>
    <xf numFmtId="0" fontId="3" fillId="11" borderId="1" xfId="0" applyFont="1" applyFill="1" applyBorder="1"/>
    <xf numFmtId="165" fontId="0" fillId="11" borderId="1" xfId="1" applyNumberFormat="1" applyFont="1" applyFill="1" applyBorder="1"/>
    <xf numFmtId="165" fontId="3" fillId="11" borderId="1" xfId="0" applyNumberFormat="1" applyFont="1" applyFill="1" applyBorder="1"/>
    <xf numFmtId="9" fontId="0" fillId="11" borderId="1" xfId="2" applyFont="1" applyFill="1" applyBorder="1"/>
    <xf numFmtId="165" fontId="0" fillId="11" borderId="1" xfId="0" applyNumberFormat="1" applyFill="1" applyBorder="1"/>
    <xf numFmtId="165" fontId="6" fillId="11" borderId="1" xfId="4" applyNumberFormat="1" applyFont="1" applyFill="1" applyBorder="1"/>
    <xf numFmtId="165" fontId="6" fillId="11" borderId="1" xfId="2" applyNumberFormat="1" applyFont="1" applyFill="1" applyBorder="1"/>
    <xf numFmtId="9" fontId="6" fillId="11" borderId="1" xfId="2" applyFont="1" applyFill="1" applyBorder="1"/>
    <xf numFmtId="0" fontId="0" fillId="11" borderId="0" xfId="0" applyFill="1"/>
    <xf numFmtId="165" fontId="2" fillId="5" borderId="3" xfId="0" applyNumberFormat="1" applyFont="1" applyFill="1" applyBorder="1"/>
    <xf numFmtId="165" fontId="6" fillId="0" borderId="6" xfId="4" applyNumberFormat="1" applyFont="1" applyBorder="1"/>
    <xf numFmtId="165" fontId="6" fillId="0" borderId="6" xfId="2" applyNumberFormat="1" applyFont="1" applyBorder="1"/>
    <xf numFmtId="9" fontId="6" fillId="0" borderId="6" xfId="2" applyFont="1" applyBorder="1"/>
    <xf numFmtId="0" fontId="3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/>
    </xf>
    <xf numFmtId="0" fontId="5" fillId="3" borderId="5" xfId="3" applyFont="1" applyFill="1" applyBorder="1" applyAlignment="1">
      <alignment horizontal="center"/>
    </xf>
    <xf numFmtId="0" fontId="3" fillId="12" borderId="1" xfId="0" applyFont="1" applyFill="1" applyBorder="1"/>
    <xf numFmtId="165" fontId="0" fillId="12" borderId="1" xfId="1" applyNumberFormat="1" applyFont="1" applyFill="1" applyBorder="1"/>
    <xf numFmtId="165" fontId="3" fillId="12" borderId="1" xfId="0" applyNumberFormat="1" applyFont="1" applyFill="1" applyBorder="1"/>
    <xf numFmtId="9" fontId="0" fillId="12" borderId="1" xfId="2" applyFont="1" applyFill="1" applyBorder="1"/>
    <xf numFmtId="165" fontId="0" fillId="12" borderId="1" xfId="0" applyNumberFormat="1" applyFill="1" applyBorder="1"/>
    <xf numFmtId="165" fontId="6" fillId="12" borderId="1" xfId="4" applyNumberFormat="1" applyFont="1" applyFill="1" applyBorder="1"/>
    <xf numFmtId="165" fontId="6" fillId="12" borderId="1" xfId="2" applyNumberFormat="1" applyFont="1" applyFill="1" applyBorder="1"/>
    <xf numFmtId="9" fontId="6" fillId="12" borderId="1" xfId="2" applyFont="1" applyFill="1" applyBorder="1"/>
    <xf numFmtId="0" fontId="0" fillId="12" borderId="0" xfId="0" applyFill="1"/>
    <xf numFmtId="0" fontId="3" fillId="13" borderId="1" xfId="0" applyFont="1" applyFill="1" applyBorder="1"/>
    <xf numFmtId="165" fontId="0" fillId="13" borderId="1" xfId="1" applyNumberFormat="1" applyFont="1" applyFill="1" applyBorder="1"/>
    <xf numFmtId="165" fontId="3" fillId="13" borderId="1" xfId="0" applyNumberFormat="1" applyFont="1" applyFill="1" applyBorder="1"/>
    <xf numFmtId="9" fontId="0" fillId="13" borderId="1" xfId="2" applyFont="1" applyFill="1" applyBorder="1"/>
    <xf numFmtId="165" fontId="0" fillId="13" borderId="1" xfId="0" applyNumberFormat="1" applyFill="1" applyBorder="1"/>
    <xf numFmtId="165" fontId="6" fillId="13" borderId="1" xfId="4" applyNumberFormat="1" applyFont="1" applyFill="1" applyBorder="1"/>
    <xf numFmtId="165" fontId="6" fillId="13" borderId="1" xfId="2" applyNumberFormat="1" applyFont="1" applyFill="1" applyBorder="1"/>
    <xf numFmtId="9" fontId="6" fillId="13" borderId="1" xfId="2" applyFont="1" applyFill="1" applyBorder="1"/>
    <xf numFmtId="0" fontId="0" fillId="13" borderId="0" xfId="0" applyFill="1"/>
  </cellXfs>
  <cellStyles count="5">
    <cellStyle name="Comma" xfId="1" builtinId="3"/>
    <cellStyle name="Comma 2" xfId="4" xr:uid="{FF4C068E-5F4F-486C-B3D0-52739039EC26}"/>
    <cellStyle name="Normal" xfId="0" builtinId="0"/>
    <cellStyle name="Normal 8 2" xfId="3" xr:uid="{DE078422-2330-480B-BAD5-FDDB1392603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JENG/01.%20DATA%20SI%20STM/CLOSING%202025/01.%20JAN%202025/08.%20DATA%20STM%20JANUARI%202025%20(HANASU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MASTER"/>
    </sheetNames>
    <sheetDataSet>
      <sheetData sheetId="0">
        <row r="1">
          <cell r="A1" t="str">
            <v>REGION</v>
          </cell>
          <cell r="B1" t="str">
            <v>JAWA BARAT</v>
          </cell>
        </row>
        <row r="2">
          <cell r="A2" t="str">
            <v>AREA</v>
          </cell>
          <cell r="B2" t="str">
            <v>(All)</v>
          </cell>
        </row>
        <row r="4">
          <cell r="A4" t="str">
            <v>Sum of TOTAL HET</v>
          </cell>
        </row>
        <row r="5">
          <cell r="A5" t="str">
            <v>KODE CUST</v>
          </cell>
          <cell r="B5" t="str">
            <v>CUSTOMER</v>
          </cell>
          <cell r="C5" t="str">
            <v>Total</v>
          </cell>
        </row>
        <row r="6">
          <cell r="A6">
            <v>1095</v>
          </cell>
          <cell r="B6" t="str">
            <v>UMI KOSMETIK, TK Palimanan</v>
          </cell>
          <cell r="C6">
            <v>158931.81818181818</v>
          </cell>
        </row>
        <row r="7">
          <cell r="A7">
            <v>1379</v>
          </cell>
          <cell r="B7" t="str">
            <v>ICA COSMETIK, TK Jalaksana</v>
          </cell>
          <cell r="C7">
            <v>935926.36363636353</v>
          </cell>
        </row>
        <row r="8">
          <cell r="A8">
            <v>1771</v>
          </cell>
          <cell r="B8" t="str">
            <v>GRIYA MAJALENGKA (175)</v>
          </cell>
          <cell r="C8">
            <v>1397151.8181818181</v>
          </cell>
        </row>
        <row r="9">
          <cell r="A9">
            <v>2223</v>
          </cell>
          <cell r="B9" t="str">
            <v>BLIMBING, TK</v>
          </cell>
          <cell r="C9">
            <v>317863.63636363635</v>
          </cell>
        </row>
        <row r="10">
          <cell r="A10">
            <v>3299</v>
          </cell>
          <cell r="B10" t="str">
            <v>INA COSMETIK, TK</v>
          </cell>
          <cell r="C10">
            <v>5180779.6363636367</v>
          </cell>
        </row>
        <row r="11">
          <cell r="A11">
            <v>3313</v>
          </cell>
          <cell r="B11" t="str">
            <v>DEAN MINIMARKET</v>
          </cell>
          <cell r="C11">
            <v>211909.09090909088</v>
          </cell>
        </row>
        <row r="12">
          <cell r="A12">
            <v>3314</v>
          </cell>
          <cell r="B12" t="str">
            <v>INDAH GROSIR MARKET</v>
          </cell>
          <cell r="C12">
            <v>2679188.1818181826</v>
          </cell>
        </row>
        <row r="13">
          <cell r="A13">
            <v>3324</v>
          </cell>
          <cell r="B13" t="str">
            <v>PARADIGMA, TK Losari</v>
          </cell>
          <cell r="C13">
            <v>371597.72727272729</v>
          </cell>
        </row>
        <row r="14">
          <cell r="A14">
            <v>3367</v>
          </cell>
          <cell r="B14" t="str">
            <v>YURI MEDIKA, TK Cikijing</v>
          </cell>
          <cell r="C14">
            <v>-425937.27272727276</v>
          </cell>
        </row>
        <row r="15">
          <cell r="A15">
            <v>3397</v>
          </cell>
          <cell r="B15" t="str">
            <v>ALBA, TK</v>
          </cell>
          <cell r="C15">
            <v>2125484.0909090908</v>
          </cell>
        </row>
        <row r="16">
          <cell r="A16">
            <v>3638</v>
          </cell>
          <cell r="B16" t="str">
            <v>UD. TS UTAMA</v>
          </cell>
          <cell r="C16">
            <v>425628.40909090906</v>
          </cell>
        </row>
        <row r="17">
          <cell r="A17">
            <v>3820</v>
          </cell>
          <cell r="B17" t="str">
            <v>MAS JAMU, TK</v>
          </cell>
          <cell r="C17">
            <v>317863.63636363635</v>
          </cell>
        </row>
        <row r="18">
          <cell r="A18">
            <v>3911</v>
          </cell>
          <cell r="B18" t="str">
            <v>DEASY COSMETIK, TK</v>
          </cell>
          <cell r="C18">
            <v>2280001.0454545468</v>
          </cell>
        </row>
        <row r="19">
          <cell r="A19">
            <v>3930</v>
          </cell>
          <cell r="B19" t="str">
            <v>SANTI KOSMETIK, TK</v>
          </cell>
          <cell r="C19">
            <v>189000</v>
          </cell>
        </row>
        <row r="20">
          <cell r="A20">
            <v>4045</v>
          </cell>
          <cell r="B20" t="str">
            <v>ERWIN, TK Celancang</v>
          </cell>
          <cell r="C20">
            <v>3354310.9090909087</v>
          </cell>
        </row>
        <row r="21">
          <cell r="A21">
            <v>4148</v>
          </cell>
          <cell r="B21" t="str">
            <v>PT CLANDYS JAYA MAKMUR</v>
          </cell>
          <cell r="C21">
            <v>2244936.9545454546</v>
          </cell>
        </row>
        <row r="22">
          <cell r="A22">
            <v>4154</v>
          </cell>
          <cell r="B22" t="str">
            <v>PAMEKA, TK</v>
          </cell>
          <cell r="C22">
            <v>3559401.1363636362</v>
          </cell>
        </row>
        <row r="23">
          <cell r="A23">
            <v>4247</v>
          </cell>
          <cell r="B23" t="str">
            <v>DIAN KOSMETIK, TK</v>
          </cell>
          <cell r="C23">
            <v>1009205.4545454546</v>
          </cell>
        </row>
        <row r="24">
          <cell r="A24">
            <v>4263</v>
          </cell>
          <cell r="B24" t="str">
            <v>NENI KALIKOA, TK (Cosmetik)</v>
          </cell>
          <cell r="C24">
            <v>424665.81818181823</v>
          </cell>
        </row>
        <row r="25">
          <cell r="A25">
            <v>4264</v>
          </cell>
          <cell r="B25" t="str">
            <v>DIFFA COSMETIK, TK</v>
          </cell>
          <cell r="C25">
            <v>6773292.8181818184</v>
          </cell>
        </row>
        <row r="26">
          <cell r="A26">
            <v>4285</v>
          </cell>
          <cell r="B26" t="str">
            <v>DENISYAH, TK</v>
          </cell>
          <cell r="C26">
            <v>150000</v>
          </cell>
        </row>
        <row r="27">
          <cell r="A27">
            <v>4322</v>
          </cell>
          <cell r="B27" t="str">
            <v>PRINCESS KOSMETIK Pabuaran</v>
          </cell>
          <cell r="C27">
            <v>1708744.0909090911</v>
          </cell>
        </row>
        <row r="28">
          <cell r="A28">
            <v>4327</v>
          </cell>
          <cell r="B28" t="str">
            <v>PT CLANDYS JAYA MAKMUR, Cirendang</v>
          </cell>
          <cell r="C28">
            <v>1993257.5454545454</v>
          </cell>
        </row>
        <row r="29">
          <cell r="A29">
            <v>4344</v>
          </cell>
          <cell r="B29" t="str">
            <v>EMBUN COSMETIC, TK</v>
          </cell>
          <cell r="C29">
            <v>1262453.3181818181</v>
          </cell>
        </row>
        <row r="30">
          <cell r="A30">
            <v>4351</v>
          </cell>
          <cell r="B30" t="str">
            <v>UD PUTRA TS</v>
          </cell>
          <cell r="C30">
            <v>23792913.000000011</v>
          </cell>
        </row>
        <row r="31">
          <cell r="A31">
            <v>4380</v>
          </cell>
          <cell r="B31" t="str">
            <v>VALENTINE COSMETIK</v>
          </cell>
          <cell r="C31">
            <v>6428037.2727272734</v>
          </cell>
        </row>
        <row r="32">
          <cell r="A32">
            <v>4395</v>
          </cell>
          <cell r="B32" t="str">
            <v>VALLYN, TK</v>
          </cell>
          <cell r="C32">
            <v>27759660.636363644</v>
          </cell>
        </row>
        <row r="33">
          <cell r="A33">
            <v>4439</v>
          </cell>
          <cell r="B33" t="str">
            <v>JAELANI KOSMETIK</v>
          </cell>
          <cell r="C33">
            <v>317863.63636363635</v>
          </cell>
        </row>
        <row r="34">
          <cell r="A34">
            <v>4441</v>
          </cell>
          <cell r="B34" t="str">
            <v>MARVEL KOSMETIK</v>
          </cell>
          <cell r="C34">
            <v>317863.63636363635</v>
          </cell>
        </row>
        <row r="35">
          <cell r="A35">
            <v>4477</v>
          </cell>
          <cell r="B35" t="str">
            <v>SERBA ADA CIREBON</v>
          </cell>
          <cell r="C35">
            <v>73416939.000000015</v>
          </cell>
        </row>
        <row r="36">
          <cell r="A36">
            <v>4483</v>
          </cell>
          <cell r="B36" t="str">
            <v>NB,TK</v>
          </cell>
          <cell r="C36">
            <v>1753959.2727272729</v>
          </cell>
        </row>
        <row r="37">
          <cell r="A37">
            <v>4506</v>
          </cell>
          <cell r="B37" t="str">
            <v>MAY COSMETIK,TK</v>
          </cell>
          <cell r="C37">
            <v>233100.00000000006</v>
          </cell>
        </row>
        <row r="38">
          <cell r="A38">
            <v>4542</v>
          </cell>
          <cell r="B38" t="str">
            <v>CANTIK KOSMETIK, TK Sukaraja</v>
          </cell>
          <cell r="C38">
            <v>973206.818181818</v>
          </cell>
        </row>
        <row r="39">
          <cell r="A39">
            <v>4557</v>
          </cell>
          <cell r="B39" t="str">
            <v>APOTEK MADINAH</v>
          </cell>
          <cell r="C39">
            <v>397329.54545454541</v>
          </cell>
        </row>
        <row r="40">
          <cell r="A40">
            <v>4590</v>
          </cell>
          <cell r="B40" t="str">
            <v>APOTEK HOKI</v>
          </cell>
          <cell r="C40">
            <v>190718.18181818182</v>
          </cell>
        </row>
        <row r="41">
          <cell r="A41">
            <v>4592</v>
          </cell>
          <cell r="B41" t="str">
            <v>APOTEK ERLANGGA</v>
          </cell>
          <cell r="C41">
            <v>150000</v>
          </cell>
        </row>
        <row r="42">
          <cell r="A42">
            <v>4754</v>
          </cell>
          <cell r="B42" t="str">
            <v>PT CLANDYS JAYA MAKMUR, Plumbon</v>
          </cell>
          <cell r="C42">
            <v>2628040.2272727275</v>
          </cell>
        </row>
        <row r="43">
          <cell r="A43">
            <v>4980</v>
          </cell>
          <cell r="B43" t="str">
            <v>JESSICA COSMETIK</v>
          </cell>
          <cell r="C43">
            <v>103987370.6363636</v>
          </cell>
        </row>
        <row r="44">
          <cell r="A44">
            <v>5135</v>
          </cell>
          <cell r="B44" t="str">
            <v>BERKAH MULYA 2, TK</v>
          </cell>
          <cell r="C44">
            <v>779842.27272727271</v>
          </cell>
        </row>
        <row r="45">
          <cell r="A45">
            <v>5216</v>
          </cell>
          <cell r="B45" t="str">
            <v>PAS SHOP, TK Maja Utara</v>
          </cell>
          <cell r="C45">
            <v>1383074.4545454544</v>
          </cell>
        </row>
        <row r="46">
          <cell r="A46">
            <v>5226</v>
          </cell>
          <cell r="B46" t="str">
            <v>TOSKA,TK Dk Puntang</v>
          </cell>
          <cell r="C46">
            <v>-35480.454545454544</v>
          </cell>
        </row>
        <row r="47">
          <cell r="A47">
            <v>5309</v>
          </cell>
          <cell r="B47" t="str">
            <v>ZAHRAH KOSMETIK, TK</v>
          </cell>
          <cell r="C47">
            <v>317863.63636363635</v>
          </cell>
        </row>
        <row r="48">
          <cell r="A48">
            <v>5373</v>
          </cell>
          <cell r="B48" t="str">
            <v>SINAR KOSMETIK, TK Kuningan</v>
          </cell>
          <cell r="C48">
            <v>51093155.818181761</v>
          </cell>
        </row>
        <row r="49">
          <cell r="A49">
            <v>5464</v>
          </cell>
          <cell r="B49" t="str">
            <v>EKA KOSMETIK,TK</v>
          </cell>
          <cell r="C49">
            <v>6515477.1818181816</v>
          </cell>
        </row>
        <row r="50">
          <cell r="A50">
            <v>5488</v>
          </cell>
          <cell r="B50" t="str">
            <v>APOTEK PERJUANGAN</v>
          </cell>
          <cell r="C50">
            <v>317863.63636363635</v>
          </cell>
        </row>
        <row r="51">
          <cell r="A51">
            <v>5548</v>
          </cell>
          <cell r="B51" t="str">
            <v>ARSY BEAUTY GLOW,TK</v>
          </cell>
          <cell r="C51">
            <v>151200</v>
          </cell>
        </row>
        <row r="52">
          <cell r="A52">
            <v>5566</v>
          </cell>
          <cell r="B52" t="str">
            <v>YOSSI COSMETIK</v>
          </cell>
          <cell r="C52">
            <v>126000</v>
          </cell>
        </row>
        <row r="53">
          <cell r="A53">
            <v>5572</v>
          </cell>
          <cell r="B53" t="str">
            <v>GRIZZLY GROSIR,TK</v>
          </cell>
          <cell r="C53">
            <v>10026640.63636364</v>
          </cell>
        </row>
        <row r="54">
          <cell r="A54">
            <v>5574</v>
          </cell>
          <cell r="B54" t="str">
            <v>SOFIE,TK Arjawinangun</v>
          </cell>
          <cell r="C54">
            <v>15648624.545454549</v>
          </cell>
        </row>
        <row r="55">
          <cell r="A55">
            <v>5616</v>
          </cell>
          <cell r="B55" t="str">
            <v>RATU, TK</v>
          </cell>
          <cell r="C55">
            <v>2277073.4090909096</v>
          </cell>
        </row>
        <row r="56">
          <cell r="A56">
            <v>5629</v>
          </cell>
          <cell r="B56" t="str">
            <v>IDA OLSHOP,TK</v>
          </cell>
          <cell r="C56">
            <v>7928770.9090909082</v>
          </cell>
        </row>
        <row r="57">
          <cell r="A57">
            <v>5637</v>
          </cell>
          <cell r="B57" t="str">
            <v>DUA PUTRA, TK</v>
          </cell>
          <cell r="C57">
            <v>461961.81818181812</v>
          </cell>
        </row>
        <row r="58">
          <cell r="A58">
            <v>5642</v>
          </cell>
          <cell r="B58" t="str">
            <v>FAMILY,TK Penpen</v>
          </cell>
          <cell r="C58">
            <v>20092235.454545453</v>
          </cell>
        </row>
        <row r="59">
          <cell r="A59">
            <v>5684</v>
          </cell>
          <cell r="B59" t="str">
            <v>WANGI COSMETIK, TK</v>
          </cell>
          <cell r="C59">
            <v>13074704.727272732</v>
          </cell>
        </row>
        <row r="60">
          <cell r="A60">
            <v>5798</v>
          </cell>
          <cell r="B60" t="str">
            <v>HARYANI COSMETIK,TK</v>
          </cell>
          <cell r="C60">
            <v>2042184.5454545454</v>
          </cell>
        </row>
        <row r="61">
          <cell r="A61">
            <v>5800</v>
          </cell>
          <cell r="B61" t="str">
            <v>YULIA COSMETIK, TK</v>
          </cell>
          <cell r="C61">
            <v>1089747.0909090911</v>
          </cell>
        </row>
        <row r="62">
          <cell r="A62">
            <v>5831</v>
          </cell>
          <cell r="B62" t="str">
            <v>TALAGA MANGGUNG KOSMETIK,TK</v>
          </cell>
          <cell r="C62">
            <v>10105270.636363639</v>
          </cell>
        </row>
        <row r="63">
          <cell r="A63">
            <v>5833</v>
          </cell>
          <cell r="B63" t="str">
            <v>RENI JAYA 4,TK</v>
          </cell>
          <cell r="C63">
            <v>4384434.5454545449</v>
          </cell>
        </row>
        <row r="64">
          <cell r="A64">
            <v>5835</v>
          </cell>
          <cell r="B64" t="str">
            <v>RENI JAYA 3,TK</v>
          </cell>
          <cell r="C64">
            <v>-37084.090909090912</v>
          </cell>
        </row>
        <row r="65">
          <cell r="A65">
            <v>5860</v>
          </cell>
          <cell r="B65" t="str">
            <v>KASANTO,TK</v>
          </cell>
          <cell r="C65">
            <v>-681237.27272727271</v>
          </cell>
        </row>
        <row r="66">
          <cell r="A66">
            <v>5884</v>
          </cell>
          <cell r="B66" t="str">
            <v>AA KOSMETIK, TK</v>
          </cell>
          <cell r="C66">
            <v>3287804.5454545454</v>
          </cell>
        </row>
        <row r="67">
          <cell r="A67">
            <v>5894</v>
          </cell>
          <cell r="B67" t="str">
            <v>SAHABATKU,TK</v>
          </cell>
          <cell r="C67">
            <v>3523191.8181818193</v>
          </cell>
        </row>
        <row r="68">
          <cell r="A68">
            <v>5912</v>
          </cell>
          <cell r="B68" t="str">
            <v>AD. UTAMA</v>
          </cell>
          <cell r="C68">
            <v>3103598.1363636367</v>
          </cell>
        </row>
        <row r="69">
          <cell r="A69">
            <v>5918</v>
          </cell>
          <cell r="B69" t="str">
            <v>ANUGRAH BANDUNG</v>
          </cell>
          <cell r="C69">
            <v>-1190806.2727272729</v>
          </cell>
        </row>
        <row r="70">
          <cell r="A70">
            <v>5928</v>
          </cell>
          <cell r="B70" t="str">
            <v>SASABILA</v>
          </cell>
          <cell r="C70">
            <v>786081.81818181812</v>
          </cell>
        </row>
        <row r="71">
          <cell r="A71">
            <v>5932</v>
          </cell>
          <cell r="B71" t="str">
            <v>DUDUNG COSMETIK,TK</v>
          </cell>
          <cell r="C71">
            <v>41830557.272727281</v>
          </cell>
        </row>
        <row r="72">
          <cell r="A72">
            <v>5998</v>
          </cell>
          <cell r="B72" t="str">
            <v>PT CLANDYS JAYA MAKMUR, Mundu</v>
          </cell>
          <cell r="C72">
            <v>838280.45454545459</v>
          </cell>
        </row>
        <row r="73">
          <cell r="A73">
            <v>6000</v>
          </cell>
          <cell r="B73" t="str">
            <v>ARA KOSMETIK, Tk, Buntet</v>
          </cell>
          <cell r="C73">
            <v>3065602.0909090908</v>
          </cell>
        </row>
        <row r="74">
          <cell r="A74">
            <v>6008</v>
          </cell>
          <cell r="B74" t="str">
            <v>TUKUO COSMETIK</v>
          </cell>
          <cell r="C74">
            <v>22943700.000000007</v>
          </cell>
        </row>
        <row r="75">
          <cell r="A75">
            <v>6024</v>
          </cell>
          <cell r="B75" t="str">
            <v>AD.UTAMA KOREAK</v>
          </cell>
          <cell r="C75">
            <v>1456612.5</v>
          </cell>
        </row>
        <row r="76">
          <cell r="A76">
            <v>6026</v>
          </cell>
          <cell r="B76" t="str">
            <v>APOTEK PUTERA MAKSUM</v>
          </cell>
          <cell r="C76">
            <v>537709.09090909094</v>
          </cell>
        </row>
        <row r="77">
          <cell r="A77">
            <v>6028</v>
          </cell>
          <cell r="B77" t="str">
            <v>SANDANG MURAH, kuningan</v>
          </cell>
          <cell r="C77">
            <v>1384697.7272727273</v>
          </cell>
        </row>
        <row r="78">
          <cell r="A78">
            <v>6061</v>
          </cell>
          <cell r="B78" t="str">
            <v>MATANU,Tk</v>
          </cell>
          <cell r="C78">
            <v>129850144.36363637</v>
          </cell>
        </row>
        <row r="79">
          <cell r="A79">
            <v>6099</v>
          </cell>
          <cell r="B79" t="str">
            <v>TIFANY, TK</v>
          </cell>
          <cell r="C79">
            <v>10444220.454545455</v>
          </cell>
        </row>
        <row r="80">
          <cell r="A80">
            <v>6101</v>
          </cell>
          <cell r="B80" t="str">
            <v>FLOW BEAUTY BAR, TK, kandang haur</v>
          </cell>
          <cell r="C80">
            <v>2269530</v>
          </cell>
        </row>
        <row r="81">
          <cell r="A81">
            <v>6103</v>
          </cell>
          <cell r="B81" t="str">
            <v>AD. UTAMA FASHION</v>
          </cell>
          <cell r="C81">
            <v>758736.90909090894</v>
          </cell>
        </row>
        <row r="82">
          <cell r="A82">
            <v>6120</v>
          </cell>
          <cell r="B82" t="str">
            <v>DIAN KOSMETIK</v>
          </cell>
          <cell r="C82">
            <v>421636.36363636365</v>
          </cell>
        </row>
        <row r="83">
          <cell r="A83">
            <v>6128</v>
          </cell>
          <cell r="B83" t="str">
            <v>ELLA SHOP</v>
          </cell>
          <cell r="C83">
            <v>2712586.3636363642</v>
          </cell>
        </row>
        <row r="84">
          <cell r="A84">
            <v>6137</v>
          </cell>
          <cell r="B84" t="str">
            <v>LINDA LEA, TK Lohbener</v>
          </cell>
          <cell r="C84">
            <v>12522531.818181816</v>
          </cell>
        </row>
        <row r="85">
          <cell r="A85">
            <v>6143</v>
          </cell>
          <cell r="B85" t="str">
            <v>RENI JAYA 7</v>
          </cell>
          <cell r="C85">
            <v>0</v>
          </cell>
        </row>
        <row r="86">
          <cell r="A86">
            <v>6151</v>
          </cell>
          <cell r="B86" t="str">
            <v>BEAUTY QUEENZE</v>
          </cell>
          <cell r="C86">
            <v>19727830.90909091</v>
          </cell>
        </row>
        <row r="87">
          <cell r="A87">
            <v>6155</v>
          </cell>
          <cell r="B87" t="str">
            <v>PINNATA STORE</v>
          </cell>
          <cell r="C87">
            <v>21732872.181818187</v>
          </cell>
        </row>
        <row r="88">
          <cell r="A88">
            <v>6158</v>
          </cell>
          <cell r="B88" t="str">
            <v>RARA/DENA, TK, losari</v>
          </cell>
          <cell r="C88">
            <v>513463.63636363635</v>
          </cell>
        </row>
        <row r="89">
          <cell r="A89">
            <v>6159</v>
          </cell>
          <cell r="B89" t="str">
            <v>ANNASYA STORE,TK, majalengka</v>
          </cell>
          <cell r="C89">
            <v>9888661.909090912</v>
          </cell>
        </row>
        <row r="90">
          <cell r="A90">
            <v>6191</v>
          </cell>
          <cell r="B90" t="str">
            <v>CHRISTINE COLLECTION, TK, patrol</v>
          </cell>
          <cell r="C90">
            <v>31749929.181818187</v>
          </cell>
        </row>
        <row r="91">
          <cell r="A91">
            <v>6196</v>
          </cell>
          <cell r="B91" t="str">
            <v>PUTRI KOSMETIK, TK, Sumber</v>
          </cell>
          <cell r="C91">
            <v>7355489.4545454569</v>
          </cell>
        </row>
        <row r="92">
          <cell r="A92">
            <v>6228</v>
          </cell>
          <cell r="B92" t="str">
            <v>INDAH SHOP, TK, kalimanggis</v>
          </cell>
          <cell r="C92">
            <v>10289923.22727273</v>
          </cell>
        </row>
        <row r="93">
          <cell r="A93">
            <v>6232</v>
          </cell>
          <cell r="B93" t="str">
            <v>MS BEAUTY</v>
          </cell>
          <cell r="C93">
            <v>1233677.2727272729</v>
          </cell>
        </row>
        <row r="94">
          <cell r="A94">
            <v>6259</v>
          </cell>
          <cell r="B94" t="str">
            <v>ALULA KOSMETIK,TK, ciawi gebang</v>
          </cell>
          <cell r="C94">
            <v>6347053.1363636358</v>
          </cell>
        </row>
        <row r="95">
          <cell r="A95">
            <v>6262</v>
          </cell>
          <cell r="B95" t="str">
            <v>NIA STORE,Pangkalan</v>
          </cell>
          <cell r="C95">
            <v>-1369696.2272727271</v>
          </cell>
        </row>
        <row r="96">
          <cell r="A96">
            <v>6273</v>
          </cell>
          <cell r="B96" t="str">
            <v>ADZRYE, TK, jamblang</v>
          </cell>
          <cell r="C96">
            <v>257166.81818181818</v>
          </cell>
        </row>
        <row r="97">
          <cell r="A97">
            <v>6275</v>
          </cell>
          <cell r="B97" t="str">
            <v>ESCANA OUTFIT, TK, awn</v>
          </cell>
          <cell r="C97">
            <v>1834891.3636363638</v>
          </cell>
        </row>
        <row r="98">
          <cell r="A98">
            <v>6297</v>
          </cell>
          <cell r="B98" t="str">
            <v>OLALA, TK, indramayu</v>
          </cell>
          <cell r="C98">
            <v>2107854.5454545454</v>
          </cell>
        </row>
        <row r="99">
          <cell r="A99">
            <v>6299</v>
          </cell>
          <cell r="B99" t="str">
            <v>TB STORE, TK, panguragan</v>
          </cell>
          <cell r="C99">
            <v>10737874.636363639</v>
          </cell>
        </row>
        <row r="100">
          <cell r="A100">
            <v>6340</v>
          </cell>
          <cell r="B100" t="str">
            <v>ORIGINAL SKINCARE, TK, weru</v>
          </cell>
          <cell r="C100">
            <v>917863.63636363635</v>
          </cell>
        </row>
        <row r="101">
          <cell r="A101">
            <v>6349</v>
          </cell>
          <cell r="B101" t="str">
            <v>KOSMETIK 99</v>
          </cell>
          <cell r="C101">
            <v>17493481.909090906</v>
          </cell>
        </row>
        <row r="102">
          <cell r="A102">
            <v>6359</v>
          </cell>
          <cell r="B102" t="str">
            <v>KITTY OHAY, TK</v>
          </cell>
          <cell r="C102">
            <v>2048374.0909090906</v>
          </cell>
        </row>
        <row r="103">
          <cell r="A103">
            <v>6360</v>
          </cell>
          <cell r="B103" t="str">
            <v>YOGYA CILEDUG</v>
          </cell>
          <cell r="C103">
            <v>2219626.3636363638</v>
          </cell>
        </row>
        <row r="104">
          <cell r="A104">
            <v>6369</v>
          </cell>
          <cell r="B104" t="str">
            <v>RUMAH KOSMETIK, TK, gebang</v>
          </cell>
          <cell r="C104">
            <v>5133699.545454544</v>
          </cell>
        </row>
        <row r="105">
          <cell r="A105">
            <v>6387</v>
          </cell>
          <cell r="B105" t="str">
            <v>PUTRI SUNDA 2, TK</v>
          </cell>
          <cell r="C105">
            <v>2988914.6818181812</v>
          </cell>
        </row>
        <row r="106">
          <cell r="A106">
            <v>6392</v>
          </cell>
          <cell r="B106" t="str">
            <v>ECA STORE</v>
          </cell>
          <cell r="C106">
            <v>1492754.0909090908</v>
          </cell>
        </row>
        <row r="107">
          <cell r="A107">
            <v>6411</v>
          </cell>
          <cell r="B107" t="str">
            <v>SHIVIA SHOP, TK, jatiwangi</v>
          </cell>
          <cell r="C107">
            <v>2086674.0909090906</v>
          </cell>
        </row>
        <row r="108">
          <cell r="A108">
            <v>6414</v>
          </cell>
          <cell r="B108" t="str">
            <v>FEBRIANTI STORE, TK. trisi</v>
          </cell>
          <cell r="C108">
            <v>17407227.09090909</v>
          </cell>
        </row>
        <row r="109">
          <cell r="A109">
            <v>6417</v>
          </cell>
          <cell r="B109" t="str">
            <v>AYU FABESTORE, TK, babakan</v>
          </cell>
          <cell r="C109">
            <v>23358457.772727277</v>
          </cell>
        </row>
        <row r="110">
          <cell r="A110">
            <v>6419</v>
          </cell>
          <cell r="B110" t="str">
            <v>AYU FABESTORE,Pabuaran</v>
          </cell>
          <cell r="C110">
            <v>10276860.363636367</v>
          </cell>
        </row>
        <row r="111">
          <cell r="A111">
            <v>6435</v>
          </cell>
          <cell r="B111" t="str">
            <v>RESTI COLLECTION</v>
          </cell>
          <cell r="C111">
            <v>4272600</v>
          </cell>
        </row>
        <row r="112">
          <cell r="A112">
            <v>6442</v>
          </cell>
          <cell r="B112" t="str">
            <v>RARA KOSMETIK MAJALENGKA</v>
          </cell>
          <cell r="C112">
            <v>5593383.8181818174</v>
          </cell>
        </row>
        <row r="113">
          <cell r="A113">
            <v>6446</v>
          </cell>
          <cell r="B113" t="str">
            <v>TOKO MELIANHA</v>
          </cell>
          <cell r="C113">
            <v>1317567.2727272727</v>
          </cell>
        </row>
        <row r="114">
          <cell r="A114">
            <v>6447</v>
          </cell>
          <cell r="B114" t="str">
            <v>WIJAYA KOSMETIK, TK Anjatan</v>
          </cell>
          <cell r="C114">
            <v>4392664.0909090918</v>
          </cell>
        </row>
        <row r="115">
          <cell r="A115">
            <v>6503</v>
          </cell>
          <cell r="B115" t="str">
            <v>VIAN KOSMETIK, TK</v>
          </cell>
          <cell r="C115">
            <v>6239192.7272727266</v>
          </cell>
        </row>
        <row r="116">
          <cell r="A116">
            <v>6516</v>
          </cell>
          <cell r="B116" t="str">
            <v>HONEY BUNNY, TK</v>
          </cell>
          <cell r="C116">
            <v>823921.81818181812</v>
          </cell>
        </row>
        <row r="117">
          <cell r="A117">
            <v>6521</v>
          </cell>
          <cell r="B117" t="str">
            <v>PRATIKWO</v>
          </cell>
          <cell r="C117">
            <v>2424936.2727272729</v>
          </cell>
        </row>
        <row r="118">
          <cell r="A118">
            <v>6522</v>
          </cell>
          <cell r="B118" t="str">
            <v>FI ART STORE</v>
          </cell>
          <cell r="C118">
            <v>4307651.2727272734</v>
          </cell>
        </row>
        <row r="119">
          <cell r="A119">
            <v>6523</v>
          </cell>
          <cell r="B119" t="str">
            <v>YUNRI, TK</v>
          </cell>
          <cell r="C119">
            <v>1305950.9090909089</v>
          </cell>
        </row>
        <row r="120">
          <cell r="A120">
            <v>6535</v>
          </cell>
          <cell r="B120" t="str">
            <v>PERMATA BEAUTY STORE</v>
          </cell>
          <cell r="C120">
            <v>0</v>
          </cell>
        </row>
        <row r="121">
          <cell r="A121">
            <v>6540</v>
          </cell>
          <cell r="B121" t="str">
            <v>SUHANA SHOP, TK Trisi</v>
          </cell>
          <cell r="C121">
            <v>4101600</v>
          </cell>
        </row>
        <row r="122">
          <cell r="A122">
            <v>6548</v>
          </cell>
          <cell r="B122" t="str">
            <v>GLAMORA</v>
          </cell>
          <cell r="C122">
            <v>18342534.818181824</v>
          </cell>
        </row>
        <row r="123">
          <cell r="A123">
            <v>6550</v>
          </cell>
          <cell r="B123" t="str">
            <v>BIBI, TK</v>
          </cell>
          <cell r="C123">
            <v>3895538.1818181826</v>
          </cell>
        </row>
        <row r="124">
          <cell r="A124">
            <v>6570</v>
          </cell>
          <cell r="B124" t="str">
            <v>AYRAA SHOP, TK</v>
          </cell>
          <cell r="C124">
            <v>5060799.3181818184</v>
          </cell>
        </row>
        <row r="125">
          <cell r="A125">
            <v>6599</v>
          </cell>
          <cell r="B125" t="str">
            <v>TANJUNG 2, TK Kuningan</v>
          </cell>
          <cell r="C125">
            <v>139954.5</v>
          </cell>
        </row>
        <row r="126">
          <cell r="A126">
            <v>6619</v>
          </cell>
          <cell r="B126" t="str">
            <v>YUMI, TK Talun</v>
          </cell>
          <cell r="C126">
            <v>42935438.045454532</v>
          </cell>
        </row>
        <row r="127">
          <cell r="A127">
            <v>6628</v>
          </cell>
          <cell r="B127" t="str">
            <v>ELITA KOSMETIK, TK</v>
          </cell>
          <cell r="C127">
            <v>2889748.6363636362</v>
          </cell>
        </row>
        <row r="128">
          <cell r="A128">
            <v>6631</v>
          </cell>
          <cell r="B128" t="str">
            <v>RAHAYU FASHION</v>
          </cell>
          <cell r="C128">
            <v>1681283.6363636365</v>
          </cell>
        </row>
        <row r="129">
          <cell r="A129">
            <v>10015</v>
          </cell>
          <cell r="B129" t="str">
            <v>ELSINTA MM</v>
          </cell>
          <cell r="C129">
            <v>1291773.6818181819</v>
          </cell>
        </row>
        <row r="130">
          <cell r="A130">
            <v>10160</v>
          </cell>
          <cell r="B130" t="str">
            <v>YOGYA BANJAR</v>
          </cell>
          <cell r="C130">
            <v>1178833.0909090908</v>
          </cell>
        </row>
        <row r="131">
          <cell r="A131">
            <v>10973</v>
          </cell>
          <cell r="B131" t="str">
            <v>BAROKAH. 0973 TK</v>
          </cell>
          <cell r="C131">
            <v>1589447.9090909089</v>
          </cell>
        </row>
        <row r="132">
          <cell r="A132">
            <v>12595</v>
          </cell>
          <cell r="B132" t="str">
            <v>APOTIK ENGGAL WARAS</v>
          </cell>
          <cell r="C132">
            <v>157036</v>
          </cell>
        </row>
        <row r="133">
          <cell r="A133">
            <v>12625</v>
          </cell>
          <cell r="B133" t="str">
            <v>APOTIK POPULER</v>
          </cell>
          <cell r="C133">
            <v>1255425</v>
          </cell>
        </row>
        <row r="134">
          <cell r="A134">
            <v>13366</v>
          </cell>
          <cell r="B134" t="str">
            <v>SURYA COSMETIK</v>
          </cell>
          <cell r="C134">
            <v>891974.09090909106</v>
          </cell>
        </row>
        <row r="135">
          <cell r="A135">
            <v>15240</v>
          </cell>
          <cell r="B135" t="str">
            <v>TK AZMI K</v>
          </cell>
          <cell r="C135">
            <v>1972269.2727272729</v>
          </cell>
        </row>
        <row r="136">
          <cell r="A136">
            <v>16185</v>
          </cell>
          <cell r="B136" t="str">
            <v>TK. BERKAH</v>
          </cell>
          <cell r="C136">
            <v>1031127.2727272727</v>
          </cell>
        </row>
        <row r="137">
          <cell r="A137">
            <v>17801</v>
          </cell>
          <cell r="B137" t="str">
            <v>TK. NALA COSMETIC</v>
          </cell>
          <cell r="C137">
            <v>250443.18181818177</v>
          </cell>
        </row>
        <row r="138">
          <cell r="A138">
            <v>20127</v>
          </cell>
          <cell r="B138" t="str">
            <v>ANDIKA MM</v>
          </cell>
          <cell r="C138">
            <v>1135576.8181818181</v>
          </cell>
        </row>
        <row r="139">
          <cell r="A139">
            <v>20131</v>
          </cell>
          <cell r="B139" t="str">
            <v>TASCO CILOLOHAN</v>
          </cell>
          <cell r="C139">
            <v>63000</v>
          </cell>
        </row>
        <row r="140">
          <cell r="A140">
            <v>20280</v>
          </cell>
          <cell r="B140" t="str">
            <v>TOKO FARIDA</v>
          </cell>
          <cell r="C140">
            <v>211909.45454545453</v>
          </cell>
        </row>
        <row r="141">
          <cell r="A141">
            <v>20287</v>
          </cell>
          <cell r="B141" t="str">
            <v>GUNA SALMA</v>
          </cell>
          <cell r="C141">
            <v>3834954.3636363638</v>
          </cell>
        </row>
        <row r="142">
          <cell r="A142">
            <v>20420</v>
          </cell>
          <cell r="B142" t="str">
            <v>GUNA SALMA III</v>
          </cell>
          <cell r="C142">
            <v>3299759.8181818193</v>
          </cell>
        </row>
        <row r="143">
          <cell r="A143">
            <v>20649</v>
          </cell>
          <cell r="B143" t="str">
            <v>TOKO SAMUDRA</v>
          </cell>
          <cell r="C143">
            <v>186400</v>
          </cell>
        </row>
        <row r="144">
          <cell r="A144">
            <v>20772</v>
          </cell>
          <cell r="B144" t="str">
            <v>TOKO HEMAT</v>
          </cell>
          <cell r="C144">
            <v>510309.09090909088</v>
          </cell>
        </row>
        <row r="145">
          <cell r="A145">
            <v>20804</v>
          </cell>
          <cell r="B145" t="str">
            <v>YOGYA CIAMIS</v>
          </cell>
          <cell r="C145">
            <v>1716250.2272727273</v>
          </cell>
        </row>
        <row r="146">
          <cell r="A146">
            <v>40058</v>
          </cell>
          <cell r="B146" t="str">
            <v>CAHAYA MART</v>
          </cell>
          <cell r="C146">
            <v>424772.86363636359</v>
          </cell>
        </row>
        <row r="147">
          <cell r="A147">
            <v>40066</v>
          </cell>
          <cell r="B147" t="str">
            <v>PT.ASIA TRITUNGGAL JAYA(PLAZA)</v>
          </cell>
          <cell r="C147">
            <v>4250296.9090909092</v>
          </cell>
        </row>
        <row r="148">
          <cell r="A148">
            <v>40067</v>
          </cell>
          <cell r="B148" t="str">
            <v>PT.ASIA TRITUNGGAL JAYA</v>
          </cell>
          <cell r="C148">
            <v>936175.90909090906</v>
          </cell>
        </row>
        <row r="149">
          <cell r="A149">
            <v>40163</v>
          </cell>
          <cell r="B149" t="str">
            <v>TASCO BRP</v>
          </cell>
          <cell r="C149">
            <v>72402.090909090912</v>
          </cell>
        </row>
        <row r="150">
          <cell r="A150">
            <v>40355</v>
          </cell>
          <cell r="B150" t="str">
            <v>TASCO 2</v>
          </cell>
          <cell r="C150">
            <v>314111.18181818182</v>
          </cell>
        </row>
        <row r="151">
          <cell r="A151">
            <v>40393</v>
          </cell>
          <cell r="B151" t="str">
            <v>YOGYA HZ</v>
          </cell>
          <cell r="C151">
            <v>2827253.9090909092</v>
          </cell>
        </row>
        <row r="152">
          <cell r="A152">
            <v>40394</v>
          </cell>
          <cell r="B152" t="str">
            <v>YOGYA MITRA BATIK</v>
          </cell>
          <cell r="C152">
            <v>2067753.0909090908</v>
          </cell>
        </row>
        <row r="153">
          <cell r="A153">
            <v>40438</v>
          </cell>
          <cell r="B153" t="str">
            <v>EL SHINTA</v>
          </cell>
          <cell r="C153">
            <v>3565878.8636363638</v>
          </cell>
        </row>
        <row r="154">
          <cell r="A154">
            <v>40447</v>
          </cell>
          <cell r="B154" t="str">
            <v>ELSINTA 2</v>
          </cell>
          <cell r="C154">
            <v>2097540.2727272734</v>
          </cell>
        </row>
        <row r="155">
          <cell r="A155">
            <v>40569</v>
          </cell>
          <cell r="B155" t="str">
            <v>TK AGUS TITA</v>
          </cell>
          <cell r="C155">
            <v>79465.909090909088</v>
          </cell>
        </row>
        <row r="156">
          <cell r="A156">
            <v>40573</v>
          </cell>
          <cell r="B156" t="str">
            <v>TASCO 9 PASEH</v>
          </cell>
          <cell r="C156">
            <v>168954</v>
          </cell>
        </row>
        <row r="157">
          <cell r="A157">
            <v>40590</v>
          </cell>
          <cell r="B157" t="str">
            <v>AL MUSLIM MM</v>
          </cell>
          <cell r="C157">
            <v>1242433.0909090908</v>
          </cell>
        </row>
        <row r="158">
          <cell r="A158">
            <v>40719</v>
          </cell>
          <cell r="B158" t="str">
            <v>FAJAR MM</v>
          </cell>
          <cell r="C158">
            <v>2305605.2727272725</v>
          </cell>
        </row>
        <row r="159">
          <cell r="A159">
            <v>40732</v>
          </cell>
          <cell r="B159" t="str">
            <v>GRIYA CIAWI</v>
          </cell>
          <cell r="C159">
            <v>2550029.2272727275</v>
          </cell>
        </row>
        <row r="160">
          <cell r="A160">
            <v>40826</v>
          </cell>
          <cell r="B160" t="str">
            <v>JUMBO TK</v>
          </cell>
          <cell r="C160">
            <v>333989.09090909094</v>
          </cell>
        </row>
        <row r="161">
          <cell r="A161">
            <v>41002</v>
          </cell>
          <cell r="B161" t="str">
            <v>PEPEN.TK</v>
          </cell>
          <cell r="C161">
            <v>-211909.09090909091</v>
          </cell>
        </row>
        <row r="162">
          <cell r="A162">
            <v>41007</v>
          </cell>
          <cell r="B162" t="str">
            <v>QINI MART</v>
          </cell>
          <cell r="C162">
            <v>445193.54545454553</v>
          </cell>
        </row>
        <row r="163">
          <cell r="A163">
            <v>41030</v>
          </cell>
          <cell r="B163" t="str">
            <v>RR MART</v>
          </cell>
          <cell r="C163">
            <v>-13000</v>
          </cell>
        </row>
        <row r="164">
          <cell r="A164">
            <v>41043</v>
          </cell>
          <cell r="B164" t="str">
            <v>TOKO SUMERAH</v>
          </cell>
          <cell r="C164">
            <v>214389.54545454547</v>
          </cell>
        </row>
        <row r="165">
          <cell r="A165">
            <v>41079</v>
          </cell>
          <cell r="B165" t="str">
            <v>SODARA MM</v>
          </cell>
          <cell r="C165">
            <v>2147244.2727272729</v>
          </cell>
        </row>
        <row r="166">
          <cell r="A166">
            <v>41099</v>
          </cell>
          <cell r="B166" t="str">
            <v>SAHABAT MM</v>
          </cell>
          <cell r="C166">
            <v>584036.18181818177</v>
          </cell>
        </row>
        <row r="167">
          <cell r="A167">
            <v>41144</v>
          </cell>
          <cell r="B167" t="str">
            <v>TK TAWAKAL</v>
          </cell>
          <cell r="C167">
            <v>187400</v>
          </cell>
        </row>
        <row r="168">
          <cell r="A168">
            <v>41184</v>
          </cell>
          <cell r="B168" t="str">
            <v>WINNS MART</v>
          </cell>
          <cell r="C168">
            <v>535798.18181818188</v>
          </cell>
        </row>
        <row r="169">
          <cell r="A169">
            <v>50001</v>
          </cell>
          <cell r="B169" t="str">
            <v>SMESCO MART</v>
          </cell>
          <cell r="C169">
            <v>198019.31818181818</v>
          </cell>
        </row>
        <row r="170">
          <cell r="A170">
            <v>50015</v>
          </cell>
          <cell r="B170" t="str">
            <v>TOKO SUKAMAJU</v>
          </cell>
          <cell r="C170">
            <v>1185133.3636363638</v>
          </cell>
        </row>
        <row r="171">
          <cell r="A171">
            <v>50017</v>
          </cell>
          <cell r="B171" t="str">
            <v>QINI MART KAWALU</v>
          </cell>
          <cell r="C171">
            <v>317863.63636363635</v>
          </cell>
        </row>
        <row r="172">
          <cell r="A172">
            <v>50023</v>
          </cell>
          <cell r="B172" t="str">
            <v>TK NUSA LAUT</v>
          </cell>
          <cell r="C172">
            <v>145157.5</v>
          </cell>
        </row>
        <row r="173">
          <cell r="A173">
            <v>50065</v>
          </cell>
          <cell r="B173" t="str">
            <v>RASYA CELL</v>
          </cell>
          <cell r="C173">
            <v>154643.18181818182</v>
          </cell>
        </row>
        <row r="174">
          <cell r="A174">
            <v>50255</v>
          </cell>
          <cell r="B174" t="str">
            <v>TOKO KARTINI</v>
          </cell>
          <cell r="C174">
            <v>149509.09090909091</v>
          </cell>
        </row>
        <row r="175">
          <cell r="A175">
            <v>50464</v>
          </cell>
          <cell r="B175" t="str">
            <v>TOKO TEH EMA</v>
          </cell>
          <cell r="C175">
            <v>391840.36363636365</v>
          </cell>
        </row>
        <row r="176">
          <cell r="A176">
            <v>50606</v>
          </cell>
          <cell r="B176" t="str">
            <v>TASCO PURBARATU</v>
          </cell>
          <cell r="C176">
            <v>19500.681818181831</v>
          </cell>
        </row>
        <row r="177">
          <cell r="A177">
            <v>50804</v>
          </cell>
          <cell r="B177" t="str">
            <v>TASCO 4</v>
          </cell>
          <cell r="C177">
            <v>206038.09090909094</v>
          </cell>
        </row>
        <row r="178">
          <cell r="A178">
            <v>51137</v>
          </cell>
          <cell r="B178" t="str">
            <v>IIS</v>
          </cell>
          <cell r="C178">
            <v>150456.18181818182</v>
          </cell>
        </row>
        <row r="179">
          <cell r="A179">
            <v>51563</v>
          </cell>
          <cell r="B179" t="str">
            <v>GUNA SALMA2</v>
          </cell>
          <cell r="C179">
            <v>1073658</v>
          </cell>
        </row>
        <row r="180">
          <cell r="A180">
            <v>52161</v>
          </cell>
          <cell r="B180" t="str">
            <v>TASCO CISALAK</v>
          </cell>
          <cell r="C180">
            <v>18542.045454545463</v>
          </cell>
        </row>
        <row r="181">
          <cell r="A181">
            <v>52162</v>
          </cell>
          <cell r="B181" t="str">
            <v>TASCO INDIHIANG</v>
          </cell>
          <cell r="C181">
            <v>81542.045454545456</v>
          </cell>
        </row>
        <row r="182">
          <cell r="A182">
            <v>52345</v>
          </cell>
          <cell r="B182" t="str">
            <v>CAHAYA MART</v>
          </cell>
          <cell r="C182">
            <v>317596.59090909094</v>
          </cell>
        </row>
        <row r="183">
          <cell r="A183">
            <v>52446</v>
          </cell>
          <cell r="B183" t="str">
            <v>KOPERASI PAJAK</v>
          </cell>
          <cell r="C183">
            <v>157731.63636363638</v>
          </cell>
        </row>
        <row r="184">
          <cell r="A184">
            <v>53055</v>
          </cell>
          <cell r="B184" t="str">
            <v>TK SWAKOP</v>
          </cell>
          <cell r="C184">
            <v>291375</v>
          </cell>
        </row>
        <row r="185">
          <cell r="A185">
            <v>53132</v>
          </cell>
          <cell r="B185" t="str">
            <v>SINGAPARNA PLAZA</v>
          </cell>
          <cell r="C185">
            <v>22836844.727272723</v>
          </cell>
        </row>
        <row r="186">
          <cell r="A186">
            <v>53136</v>
          </cell>
          <cell r="B186" t="str">
            <v>TASCO MART KAWALU</v>
          </cell>
          <cell r="C186">
            <v>-82644.545454545441</v>
          </cell>
        </row>
        <row r="187">
          <cell r="A187">
            <v>53148</v>
          </cell>
          <cell r="B187" t="str">
            <v>KOPERASI AMQC MUTAQIN</v>
          </cell>
          <cell r="C187">
            <v>138438.09090909091</v>
          </cell>
        </row>
        <row r="188">
          <cell r="A188">
            <v>53258</v>
          </cell>
          <cell r="B188" t="str">
            <v>TK SINAR MULYA</v>
          </cell>
          <cell r="C188">
            <v>4500738.0454545459</v>
          </cell>
        </row>
        <row r="189">
          <cell r="A189">
            <v>53284</v>
          </cell>
          <cell r="B189" t="str">
            <v>YOGYA CIKONENG</v>
          </cell>
          <cell r="C189">
            <v>658692.40909090918</v>
          </cell>
        </row>
        <row r="190">
          <cell r="A190">
            <v>53386</v>
          </cell>
          <cell r="B190" t="str">
            <v>TASCO TAMANSARI</v>
          </cell>
          <cell r="C190">
            <v>209696.04545454547</v>
          </cell>
        </row>
        <row r="191">
          <cell r="A191">
            <v>53455</v>
          </cell>
          <cell r="B191" t="str">
            <v>TOKO TIGA</v>
          </cell>
          <cell r="C191">
            <v>264886.72727272724</v>
          </cell>
        </row>
        <row r="192">
          <cell r="A192">
            <v>53485</v>
          </cell>
          <cell r="B192" t="str">
            <v>TOKO ZIAN</v>
          </cell>
          <cell r="C192">
            <v>111603.18181818182</v>
          </cell>
        </row>
        <row r="193">
          <cell r="A193">
            <v>53552</v>
          </cell>
          <cell r="B193" t="str">
            <v>TASCO GOBRAS</v>
          </cell>
          <cell r="C193">
            <v>65648.863636363632</v>
          </cell>
        </row>
        <row r="194">
          <cell r="A194">
            <v>53575</v>
          </cell>
          <cell r="B194" t="str">
            <v>TASCO CILEMBANG</v>
          </cell>
          <cell r="C194">
            <v>206038.09090909091</v>
          </cell>
        </row>
        <row r="195">
          <cell r="A195">
            <v>130981</v>
          </cell>
          <cell r="B195" t="str">
            <v xml:space="preserve"> MULYANA </v>
          </cell>
          <cell r="C195">
            <v>3355631.0000000005</v>
          </cell>
        </row>
        <row r="196">
          <cell r="A196">
            <v>132572</v>
          </cell>
          <cell r="B196" t="str">
            <v xml:space="preserve"> AAN ANITA NINGRUM </v>
          </cell>
          <cell r="C196">
            <v>203925</v>
          </cell>
        </row>
        <row r="197">
          <cell r="A197">
            <v>135119</v>
          </cell>
          <cell r="B197" t="str">
            <v xml:space="preserve"> LINA IBU </v>
          </cell>
          <cell r="C197">
            <v>5840949.8181818193</v>
          </cell>
        </row>
        <row r="198">
          <cell r="A198">
            <v>135231</v>
          </cell>
          <cell r="B198" t="str">
            <v xml:space="preserve"> AGUS ARIFIN </v>
          </cell>
          <cell r="C198">
            <v>614179.09090909094</v>
          </cell>
        </row>
        <row r="199">
          <cell r="A199">
            <v>135783</v>
          </cell>
          <cell r="B199" t="str">
            <v xml:space="preserve"> RAFIL </v>
          </cell>
          <cell r="C199">
            <v>1359186.2727272725</v>
          </cell>
        </row>
        <row r="200">
          <cell r="A200">
            <v>138404</v>
          </cell>
          <cell r="B200" t="str">
            <v xml:space="preserve"> MOCHAMAD NAIF </v>
          </cell>
          <cell r="C200">
            <v>7268531.4545454569</v>
          </cell>
        </row>
        <row r="201">
          <cell r="A201">
            <v>200510</v>
          </cell>
          <cell r="B201" t="str">
            <v xml:space="preserve"> RISNA  ROSDIANA </v>
          </cell>
          <cell r="C201">
            <v>2823871.6363636362</v>
          </cell>
        </row>
        <row r="202">
          <cell r="A202">
            <v>535181</v>
          </cell>
          <cell r="B202" t="str">
            <v>TASMART</v>
          </cell>
          <cell r="C202">
            <v>1127667.1363636362</v>
          </cell>
        </row>
        <row r="203">
          <cell r="A203">
            <v>535307</v>
          </cell>
          <cell r="B203" t="str">
            <v xml:space="preserve">PELITA </v>
          </cell>
          <cell r="C203">
            <v>109295.27272727274</v>
          </cell>
        </row>
        <row r="204">
          <cell r="A204">
            <v>535332</v>
          </cell>
          <cell r="B204" t="str">
            <v>TASMART CIAWI</v>
          </cell>
          <cell r="C204">
            <v>18542.045454545456</v>
          </cell>
        </row>
        <row r="205">
          <cell r="A205">
            <v>535371</v>
          </cell>
          <cell r="B205" t="str">
            <v>DOLAR MART</v>
          </cell>
          <cell r="C205">
            <v>-299886.36363636365</v>
          </cell>
        </row>
        <row r="206">
          <cell r="A206">
            <v>535421</v>
          </cell>
          <cell r="B206" t="str">
            <v>TOKO INTAN MANDIRI</v>
          </cell>
          <cell r="C206">
            <v>111000.00000000003</v>
          </cell>
        </row>
        <row r="207">
          <cell r="A207">
            <v>535435</v>
          </cell>
          <cell r="B207" t="str">
            <v>TASCO GEGER NOONG</v>
          </cell>
          <cell r="C207">
            <v>347890.49999999994</v>
          </cell>
        </row>
        <row r="208">
          <cell r="A208">
            <v>535471</v>
          </cell>
          <cell r="B208" t="str">
            <v>TOKO BIMBIM</v>
          </cell>
          <cell r="C208">
            <v>153734.77272727274</v>
          </cell>
        </row>
        <row r="209">
          <cell r="A209">
            <v>535498</v>
          </cell>
          <cell r="B209" t="str">
            <v>TOKO KAIRO</v>
          </cell>
          <cell r="C209">
            <v>398087.09090909094</v>
          </cell>
        </row>
        <row r="210">
          <cell r="A210">
            <v>535517</v>
          </cell>
          <cell r="B210" t="str">
            <v xml:space="preserve">TASCO MANGKUBUMI </v>
          </cell>
          <cell r="C210">
            <v>63000</v>
          </cell>
        </row>
        <row r="211">
          <cell r="A211">
            <v>535565</v>
          </cell>
          <cell r="B211" t="str">
            <v>TASCO GUNUNG KALONG</v>
          </cell>
          <cell r="C211">
            <v>126000</v>
          </cell>
        </row>
        <row r="212">
          <cell r="A212">
            <v>535588</v>
          </cell>
          <cell r="B212" t="str">
            <v>TOKO TASELA</v>
          </cell>
          <cell r="C212">
            <v>1059549.0909090908</v>
          </cell>
        </row>
        <row r="213">
          <cell r="A213">
            <v>535600</v>
          </cell>
          <cell r="B213" t="str">
            <v>ELSHINTA CIPATUJAH</v>
          </cell>
          <cell r="C213">
            <v>2634039.9090909096</v>
          </cell>
        </row>
        <row r="214">
          <cell r="A214">
            <v>535615</v>
          </cell>
          <cell r="B214" t="str">
            <v>TEH WULAN UTAMI HERMAWAN - WIO MART</v>
          </cell>
          <cell r="C214">
            <v>231672.54545454547</v>
          </cell>
        </row>
        <row r="215">
          <cell r="A215">
            <v>535678</v>
          </cell>
          <cell r="B215" t="str">
            <v>BUMDES BANGKELUNG</v>
          </cell>
          <cell r="C215">
            <v>205552.54545454547</v>
          </cell>
        </row>
        <row r="216">
          <cell r="A216">
            <v>535771</v>
          </cell>
          <cell r="B216" t="str">
            <v>TASCO GARUDA</v>
          </cell>
          <cell r="C216">
            <v>168954</v>
          </cell>
        </row>
        <row r="217">
          <cell r="A217">
            <v>535773</v>
          </cell>
          <cell r="B217" t="str">
            <v>TASCO BKR</v>
          </cell>
          <cell r="C217">
            <v>52447.499999999993</v>
          </cell>
        </row>
        <row r="218">
          <cell r="A218">
            <v>535775</v>
          </cell>
          <cell r="B218" t="str">
            <v>TOKO JAJANG</v>
          </cell>
          <cell r="C218">
            <v>-238397.72727272729</v>
          </cell>
        </row>
        <row r="219">
          <cell r="A219">
            <v>535783</v>
          </cell>
          <cell r="B219" t="str">
            <v>TASCO IBRAHIM ADJIE</v>
          </cell>
          <cell r="C219">
            <v>63000</v>
          </cell>
        </row>
        <row r="220">
          <cell r="A220">
            <v>535794</v>
          </cell>
          <cell r="B220" t="str">
            <v>TASCO CIGEUREUNG</v>
          </cell>
          <cell r="C220">
            <v>269038.09090909094</v>
          </cell>
        </row>
        <row r="221">
          <cell r="A221">
            <v>535796</v>
          </cell>
          <cell r="B221" t="str">
            <v xml:space="preserve">PAK II - UPK LEUWISARI </v>
          </cell>
          <cell r="C221">
            <v>140007.95454545453</v>
          </cell>
        </row>
        <row r="222">
          <cell r="A222">
            <v>535813</v>
          </cell>
          <cell r="B222" t="str">
            <v>MANDIRI JAYA PLAZA</v>
          </cell>
          <cell r="C222">
            <v>1419320.0454545456</v>
          </cell>
        </row>
        <row r="223">
          <cell r="A223">
            <v>535818</v>
          </cell>
          <cell r="B223" t="str">
            <v>TASCO JUANDA</v>
          </cell>
          <cell r="C223">
            <v>55626.136363636375</v>
          </cell>
        </row>
        <row r="224">
          <cell r="A224">
            <v>535847</v>
          </cell>
          <cell r="B224" t="str">
            <v>KTT COSMETIC</v>
          </cell>
          <cell r="C224">
            <v>189827946.77272719</v>
          </cell>
        </row>
        <row r="225">
          <cell r="A225">
            <v>535848</v>
          </cell>
          <cell r="B225" t="str">
            <v>MUARA COSMETIC</v>
          </cell>
          <cell r="C225">
            <v>54852008.181818187</v>
          </cell>
        </row>
        <row r="226">
          <cell r="A226">
            <v>535852</v>
          </cell>
          <cell r="B226" t="str">
            <v>VIVI KOSMETIK</v>
          </cell>
          <cell r="C226">
            <v>3948065.4545454551</v>
          </cell>
        </row>
        <row r="227">
          <cell r="A227">
            <v>535853</v>
          </cell>
          <cell r="B227" t="str">
            <v>ANUGRAH JAYA LESTARI</v>
          </cell>
          <cell r="C227">
            <v>63097422.636363573</v>
          </cell>
        </row>
        <row r="228">
          <cell r="A228">
            <v>535854</v>
          </cell>
          <cell r="B228" t="str">
            <v>HANA COSMETIC</v>
          </cell>
          <cell r="C228">
            <v>26407281.136363637</v>
          </cell>
        </row>
        <row r="229">
          <cell r="A229">
            <v>535855</v>
          </cell>
          <cell r="B229" t="str">
            <v>BAM STORE</v>
          </cell>
          <cell r="C229">
            <v>1237586.2727272727</v>
          </cell>
        </row>
        <row r="230">
          <cell r="A230">
            <v>535856</v>
          </cell>
          <cell r="B230" t="str">
            <v>SEMPANA COSMETIC</v>
          </cell>
          <cell r="C230">
            <v>25709866.363636363</v>
          </cell>
        </row>
        <row r="231">
          <cell r="A231">
            <v>535857</v>
          </cell>
          <cell r="B231" t="str">
            <v>KATARA STORE</v>
          </cell>
          <cell r="C231">
            <v>7511314.0000000009</v>
          </cell>
        </row>
        <row r="232">
          <cell r="A232">
            <v>535858</v>
          </cell>
          <cell r="B232" t="str">
            <v>TIARA STORE</v>
          </cell>
          <cell r="C232">
            <v>1351632</v>
          </cell>
        </row>
        <row r="233">
          <cell r="A233">
            <v>535859</v>
          </cell>
          <cell r="B233" t="str">
            <v>FAMILY COSMETIC BAPAK ASEP</v>
          </cell>
          <cell r="C233">
            <v>2200955.1363636362</v>
          </cell>
        </row>
        <row r="234">
          <cell r="A234">
            <v>535860</v>
          </cell>
          <cell r="B234" t="str">
            <v>LAWANG SEHAT</v>
          </cell>
          <cell r="C234">
            <v>19920012.227272727</v>
          </cell>
        </row>
        <row r="235">
          <cell r="A235">
            <v>535861</v>
          </cell>
          <cell r="B235" t="str">
            <v>TOKO HENDRI</v>
          </cell>
          <cell r="C235">
            <v>1700765.4545454544</v>
          </cell>
        </row>
        <row r="236">
          <cell r="A236">
            <v>535862</v>
          </cell>
          <cell r="B236" t="str">
            <v>TOKO YEYET / DEVI COSMETIC</v>
          </cell>
          <cell r="C236">
            <v>1525793</v>
          </cell>
        </row>
        <row r="237">
          <cell r="A237">
            <v>535863</v>
          </cell>
          <cell r="B237" t="str">
            <v>TOKO BIDADARI COSMETIC</v>
          </cell>
          <cell r="C237">
            <v>2677631.7272727275</v>
          </cell>
        </row>
        <row r="238">
          <cell r="A238">
            <v>535864</v>
          </cell>
          <cell r="B238" t="str">
            <v>ADZRA COSMETIC</v>
          </cell>
          <cell r="C238">
            <v>2299834.9545454546</v>
          </cell>
        </row>
        <row r="239">
          <cell r="A239">
            <v>535865</v>
          </cell>
          <cell r="B239" t="str">
            <v>APOTEK SEHAT</v>
          </cell>
          <cell r="C239">
            <v>1919256.4090909087</v>
          </cell>
        </row>
        <row r="240">
          <cell r="A240">
            <v>535866</v>
          </cell>
          <cell r="B240" t="str">
            <v>TOKO BAREULIAN COSMETIC</v>
          </cell>
          <cell r="C240">
            <v>2585698.3181818193</v>
          </cell>
        </row>
        <row r="241">
          <cell r="A241">
            <v>535867</v>
          </cell>
          <cell r="B241" t="str">
            <v>LEVINA COSMETIC</v>
          </cell>
          <cell r="C241">
            <v>11319107.363636361</v>
          </cell>
        </row>
        <row r="242">
          <cell r="A242">
            <v>535868</v>
          </cell>
          <cell r="B242" t="str">
            <v>TOKO PUSPA COSMETIC</v>
          </cell>
          <cell r="C242">
            <v>3849586.2272727275</v>
          </cell>
        </row>
        <row r="243">
          <cell r="A243">
            <v>535869</v>
          </cell>
          <cell r="B243" t="str">
            <v>TOKO ABANG ADEK</v>
          </cell>
          <cell r="C243">
            <v>3537074.0000000014</v>
          </cell>
        </row>
        <row r="244">
          <cell r="A244">
            <v>535870</v>
          </cell>
          <cell r="B244" t="str">
            <v>HELLO BEAUTY COSMETIC</v>
          </cell>
          <cell r="C244">
            <v>688527.27272727271</v>
          </cell>
        </row>
        <row r="245">
          <cell r="A245">
            <v>535871</v>
          </cell>
          <cell r="B245" t="str">
            <v>TOKO NUSA INDAH SPA</v>
          </cell>
          <cell r="C245">
            <v>3164616.5454545454</v>
          </cell>
        </row>
        <row r="246">
          <cell r="A246">
            <v>535873</v>
          </cell>
          <cell r="B246" t="str">
            <v>ADE SOBANDI</v>
          </cell>
          <cell r="C246">
            <v>1275173.9090909089</v>
          </cell>
        </row>
        <row r="247">
          <cell r="A247">
            <v>535874</v>
          </cell>
          <cell r="B247" t="str">
            <v>TOKO LINDA COSMETC</v>
          </cell>
          <cell r="C247">
            <v>8277610.0000000028</v>
          </cell>
        </row>
        <row r="248">
          <cell r="A248">
            <v>535875</v>
          </cell>
          <cell r="B248" t="str">
            <v>ROS COSMETIC</v>
          </cell>
          <cell r="C248">
            <v>4912030.0454545449</v>
          </cell>
        </row>
        <row r="249">
          <cell r="A249">
            <v>535876</v>
          </cell>
          <cell r="B249" t="str">
            <v>VR PROJECT</v>
          </cell>
          <cell r="C249">
            <v>7612630.3636363633</v>
          </cell>
        </row>
        <row r="250">
          <cell r="A250">
            <v>535877</v>
          </cell>
          <cell r="B250" t="str">
            <v>TOKO DINOL</v>
          </cell>
          <cell r="C250">
            <v>6670888.9090909092</v>
          </cell>
        </row>
        <row r="251">
          <cell r="A251">
            <v>535878</v>
          </cell>
          <cell r="B251" t="str">
            <v>TOKO MUARA KOSMETIK BANJAR</v>
          </cell>
          <cell r="C251">
            <v>50131328.818181805</v>
          </cell>
        </row>
        <row r="252">
          <cell r="A252">
            <v>535880</v>
          </cell>
          <cell r="B252" t="str">
            <v>BFS KOSMETIK</v>
          </cell>
          <cell r="C252">
            <v>144421390.45454547</v>
          </cell>
        </row>
        <row r="253">
          <cell r="A253">
            <v>535881</v>
          </cell>
          <cell r="B253" t="str">
            <v>KAKA COSMETIC</v>
          </cell>
          <cell r="C253">
            <v>11405846.545454549</v>
          </cell>
        </row>
        <row r="254">
          <cell r="A254">
            <v>535882</v>
          </cell>
          <cell r="B254" t="str">
            <v>TOKO ABADI CELL KOSMETIK</v>
          </cell>
          <cell r="C254">
            <v>5958345.2727272725</v>
          </cell>
        </row>
        <row r="255">
          <cell r="A255">
            <v>535883</v>
          </cell>
          <cell r="B255" t="str">
            <v>TOKO MANDIRI COSMETIC</v>
          </cell>
          <cell r="C255">
            <v>1697391.8181818179</v>
          </cell>
        </row>
        <row r="256">
          <cell r="A256">
            <v>535884</v>
          </cell>
          <cell r="B256" t="str">
            <v>TOKO DEWI COSMETIC</v>
          </cell>
          <cell r="C256">
            <v>3653925.9545454546</v>
          </cell>
        </row>
        <row r="257">
          <cell r="A257">
            <v>535885</v>
          </cell>
          <cell r="B257" t="str">
            <v>TOKO INDAH JAYA KOSMETIK</v>
          </cell>
          <cell r="C257">
            <v>1211684.0909090908</v>
          </cell>
        </row>
        <row r="258">
          <cell r="A258">
            <v>535886</v>
          </cell>
          <cell r="B258" t="str">
            <v>TOKO NAY COSMETIC</v>
          </cell>
          <cell r="C258">
            <v>2150793.7727272725</v>
          </cell>
        </row>
        <row r="259">
          <cell r="A259">
            <v>535887</v>
          </cell>
          <cell r="B259" t="str">
            <v>TOKO NITA COSMETIC</v>
          </cell>
          <cell r="C259">
            <v>1858549.7727272725</v>
          </cell>
        </row>
        <row r="260">
          <cell r="A260">
            <v>535888</v>
          </cell>
          <cell r="B260" t="str">
            <v>ICHA OLDSHOP</v>
          </cell>
          <cell r="C260">
            <v>7555041.0000000009</v>
          </cell>
        </row>
        <row r="261">
          <cell r="A261">
            <v>535889</v>
          </cell>
          <cell r="B261" t="str">
            <v>NITA JAYA COSMETIC</v>
          </cell>
          <cell r="C261">
            <v>3031730.454545456</v>
          </cell>
        </row>
        <row r="262">
          <cell r="A262">
            <v>535892</v>
          </cell>
          <cell r="B262" t="str">
            <v>APOTEK SBR</v>
          </cell>
          <cell r="C262">
            <v>451063.63636363635</v>
          </cell>
        </row>
        <row r="263">
          <cell r="A263">
            <v>535894</v>
          </cell>
          <cell r="B263" t="str">
            <v>TOKO PANDITA</v>
          </cell>
          <cell r="C263">
            <v>10856160.590909094</v>
          </cell>
        </row>
        <row r="264">
          <cell r="A264">
            <v>535895</v>
          </cell>
          <cell r="B264" t="str">
            <v>TOKO AZRIE ACCECORIES</v>
          </cell>
          <cell r="C264">
            <v>6091336.9999999991</v>
          </cell>
        </row>
        <row r="265">
          <cell r="A265">
            <v>535896</v>
          </cell>
          <cell r="B265" t="str">
            <v>APOTEK SAPUTRA PADAHERANG</v>
          </cell>
          <cell r="C265">
            <v>681181.77272727259</v>
          </cell>
        </row>
        <row r="266">
          <cell r="A266">
            <v>535897</v>
          </cell>
          <cell r="B266" t="str">
            <v>CANTIK STORE</v>
          </cell>
          <cell r="C266">
            <v>4861453.5681818174</v>
          </cell>
        </row>
        <row r="267">
          <cell r="A267">
            <v>535898</v>
          </cell>
          <cell r="B267" t="str">
            <v>CANTIK COSMETIC</v>
          </cell>
          <cell r="C267">
            <v>1859859.2272727273</v>
          </cell>
        </row>
        <row r="268">
          <cell r="A268">
            <v>535899</v>
          </cell>
          <cell r="B268" t="str">
            <v>DETYA COSMETIC</v>
          </cell>
          <cell r="C268">
            <v>1603379.7272727271</v>
          </cell>
        </row>
        <row r="269">
          <cell r="A269">
            <v>535901</v>
          </cell>
          <cell r="B269" t="str">
            <v>BEAUTY BOX</v>
          </cell>
          <cell r="C269">
            <v>4186860.4545454546</v>
          </cell>
        </row>
        <row r="270">
          <cell r="A270">
            <v>535906</v>
          </cell>
          <cell r="B270" t="str">
            <v>TK DEWI SRI 2</v>
          </cell>
          <cell r="C270">
            <v>1097837.2727272727</v>
          </cell>
        </row>
        <row r="271">
          <cell r="A271">
            <v>535907</v>
          </cell>
          <cell r="B271" t="str">
            <v>TK KURNIA</v>
          </cell>
          <cell r="C271">
            <v>1040659.2727272727</v>
          </cell>
        </row>
        <row r="272">
          <cell r="A272">
            <v>535909</v>
          </cell>
          <cell r="B272" t="str">
            <v>KATIGA BABY AND BEAUTY</v>
          </cell>
          <cell r="C272">
            <v>834942.81818181812</v>
          </cell>
        </row>
        <row r="273">
          <cell r="A273">
            <v>535911</v>
          </cell>
          <cell r="B273" t="str">
            <v>TK AMANAH COSMETIC</v>
          </cell>
          <cell r="C273">
            <v>1542445.0909090908</v>
          </cell>
        </row>
        <row r="274">
          <cell r="A274">
            <v>535912</v>
          </cell>
          <cell r="B274" t="str">
            <v xml:space="preserve">TK TANJUNG JAYA </v>
          </cell>
          <cell r="C274">
            <v>1503151.3636363635</v>
          </cell>
        </row>
        <row r="275">
          <cell r="A275">
            <v>535914</v>
          </cell>
          <cell r="B275" t="str">
            <v>APOTEK AYUGNIA</v>
          </cell>
          <cell r="C275">
            <v>0</v>
          </cell>
        </row>
        <row r="276">
          <cell r="A276">
            <v>535917</v>
          </cell>
          <cell r="B276" t="str">
            <v>ENDRO COSMETIC</v>
          </cell>
          <cell r="C276">
            <v>6066694.6363636367</v>
          </cell>
        </row>
        <row r="277">
          <cell r="A277">
            <v>535918</v>
          </cell>
          <cell r="B277" t="str">
            <v>KURNIA COSMETIC</v>
          </cell>
          <cell r="C277">
            <v>814963.27272727259</v>
          </cell>
        </row>
        <row r="278">
          <cell r="A278">
            <v>535919</v>
          </cell>
          <cell r="B278" t="str">
            <v>FEMME COSMETIC</v>
          </cell>
          <cell r="C278">
            <v>9573631.9545454551</v>
          </cell>
        </row>
        <row r="279">
          <cell r="A279">
            <v>535920</v>
          </cell>
          <cell r="B279" t="str">
            <v>MGR SHOP</v>
          </cell>
          <cell r="C279">
            <v>635727.63636363624</v>
          </cell>
        </row>
        <row r="280">
          <cell r="A280">
            <v>535921</v>
          </cell>
          <cell r="B280" t="str">
            <v xml:space="preserve">ALDI JAYA </v>
          </cell>
          <cell r="C280">
            <v>265800</v>
          </cell>
        </row>
        <row r="281">
          <cell r="A281">
            <v>535923</v>
          </cell>
          <cell r="B281" t="str">
            <v>APOTEK HAFIDZ FARMA 1 INDIHIANG</v>
          </cell>
          <cell r="C281">
            <v>129600.00000000001</v>
          </cell>
        </row>
        <row r="282">
          <cell r="A282">
            <v>535924</v>
          </cell>
          <cell r="B282" t="str">
            <v>DIARA COSMETIC</v>
          </cell>
          <cell r="C282">
            <v>1897619.1818181816</v>
          </cell>
        </row>
        <row r="283">
          <cell r="A283">
            <v>535925</v>
          </cell>
          <cell r="B283" t="str">
            <v>QUEEN COSMETIC</v>
          </cell>
          <cell r="C283">
            <v>1114439.5454545454</v>
          </cell>
        </row>
        <row r="284">
          <cell r="A284">
            <v>535926</v>
          </cell>
          <cell r="B284" t="str">
            <v>TOKO HARAPAN 2</v>
          </cell>
          <cell r="C284">
            <v>1430579.8181818181</v>
          </cell>
        </row>
        <row r="285">
          <cell r="A285">
            <v>535930</v>
          </cell>
          <cell r="B285" t="str">
            <v>TOKO DADANG SIDAMULIH</v>
          </cell>
          <cell r="C285">
            <v>1980409.5</v>
          </cell>
        </row>
        <row r="286">
          <cell r="A286">
            <v>535931</v>
          </cell>
          <cell r="B286" t="str">
            <v>APOTEK KAIZAN</v>
          </cell>
          <cell r="C286">
            <v>936015.86363636341</v>
          </cell>
        </row>
        <row r="287">
          <cell r="A287">
            <v>535932</v>
          </cell>
          <cell r="B287" t="str">
            <v>TOKO MEGA KOSMETIK</v>
          </cell>
          <cell r="C287">
            <v>3332751.0454545459</v>
          </cell>
        </row>
        <row r="288">
          <cell r="A288">
            <v>535935</v>
          </cell>
          <cell r="B288" t="str">
            <v>TOKO ARIRANG MART</v>
          </cell>
          <cell r="C288">
            <v>922764.99999999965</v>
          </cell>
        </row>
        <row r="289">
          <cell r="A289">
            <v>535937</v>
          </cell>
          <cell r="B289" t="str">
            <v>APOTEK MEGA PANJALU</v>
          </cell>
          <cell r="C289">
            <v>2619742.7272727275</v>
          </cell>
        </row>
        <row r="290">
          <cell r="A290">
            <v>535938</v>
          </cell>
          <cell r="B290" t="str">
            <v>TOKO WIDYA COSMETIC</v>
          </cell>
          <cell r="C290">
            <v>3803090.4545454551</v>
          </cell>
        </row>
        <row r="291">
          <cell r="A291">
            <v>535940</v>
          </cell>
          <cell r="B291" t="str">
            <v>APOTEK ENGGAL FARMA</v>
          </cell>
          <cell r="C291">
            <v>1999188.7272727278</v>
          </cell>
        </row>
        <row r="292">
          <cell r="A292">
            <v>535943</v>
          </cell>
          <cell r="B292" t="str">
            <v>TOKO DELIMA</v>
          </cell>
          <cell r="C292">
            <v>321142.95454545453</v>
          </cell>
        </row>
        <row r="293">
          <cell r="A293">
            <v>535944</v>
          </cell>
          <cell r="B293" t="str">
            <v>NDA SOFLENS</v>
          </cell>
          <cell r="C293">
            <v>2237383.4545454546</v>
          </cell>
        </row>
        <row r="294">
          <cell r="A294">
            <v>535945</v>
          </cell>
          <cell r="B294" t="str">
            <v>ZADA FARMA</v>
          </cell>
          <cell r="C294">
            <v>251309.54545454547</v>
          </cell>
        </row>
        <row r="295">
          <cell r="A295">
            <v>535946</v>
          </cell>
          <cell r="B295" t="str">
            <v>TOKO HJ EE</v>
          </cell>
          <cell r="C295">
            <v>47488.636363636368</v>
          </cell>
        </row>
        <row r="296">
          <cell r="A296">
            <v>535948</v>
          </cell>
          <cell r="B296" t="str">
            <v>TOKO SAHILA COSMETIC</v>
          </cell>
          <cell r="C296">
            <v>5699014.8181818193</v>
          </cell>
        </row>
        <row r="297">
          <cell r="A297">
            <v>535950</v>
          </cell>
          <cell r="B297" t="str">
            <v>APOTEK TANJUNG MULYA</v>
          </cell>
          <cell r="C297">
            <v>1395757</v>
          </cell>
        </row>
        <row r="298">
          <cell r="A298">
            <v>535951</v>
          </cell>
          <cell r="B298" t="str">
            <v>SUMBER REZEKI</v>
          </cell>
          <cell r="C298">
            <v>8775340.363636367</v>
          </cell>
        </row>
        <row r="299">
          <cell r="A299">
            <v>535953</v>
          </cell>
          <cell r="B299" t="str">
            <v>TOKO PANJI</v>
          </cell>
          <cell r="C299">
            <v>518894.81818181812</v>
          </cell>
        </row>
        <row r="300">
          <cell r="A300">
            <v>535955</v>
          </cell>
          <cell r="B300" t="str">
            <v>TK.VINA ACCESSORIES RANCAH</v>
          </cell>
          <cell r="C300">
            <v>4914096.5909090936</v>
          </cell>
        </row>
        <row r="301">
          <cell r="A301">
            <v>535958</v>
          </cell>
          <cell r="B301" t="str">
            <v>MARTINI 2</v>
          </cell>
          <cell r="C301">
            <v>752463.63636363635</v>
          </cell>
        </row>
        <row r="302">
          <cell r="A302">
            <v>535959</v>
          </cell>
          <cell r="B302" t="str">
            <v xml:space="preserve">APOTEK KLM </v>
          </cell>
          <cell r="C302">
            <v>1552830.2727272727</v>
          </cell>
        </row>
        <row r="303">
          <cell r="A303">
            <v>535960</v>
          </cell>
          <cell r="B303" t="str">
            <v>RIO MART</v>
          </cell>
          <cell r="C303">
            <v>-239239.45454545453</v>
          </cell>
        </row>
        <row r="304">
          <cell r="A304">
            <v>535963</v>
          </cell>
          <cell r="B304" t="str">
            <v>KARANG COSMETIC</v>
          </cell>
          <cell r="C304">
            <v>2839551.1363636367</v>
          </cell>
        </row>
        <row r="305">
          <cell r="A305">
            <v>535964</v>
          </cell>
          <cell r="B305" t="str">
            <v>SAKURA KOSMETIK</v>
          </cell>
          <cell r="C305">
            <v>1110086.7272727271</v>
          </cell>
        </row>
        <row r="306">
          <cell r="A306">
            <v>535965</v>
          </cell>
          <cell r="B306" t="str">
            <v>TK BADRIAH</v>
          </cell>
          <cell r="C306">
            <v>1017649.9090909089</v>
          </cell>
        </row>
        <row r="307">
          <cell r="A307">
            <v>535966</v>
          </cell>
          <cell r="B307" t="str">
            <v>HJS KOSMETIK</v>
          </cell>
          <cell r="C307">
            <v>500700</v>
          </cell>
        </row>
        <row r="308">
          <cell r="A308">
            <v>535967</v>
          </cell>
          <cell r="B308" t="str">
            <v>ARKA COSMETIC</v>
          </cell>
          <cell r="C308">
            <v>3446952.4999999995</v>
          </cell>
        </row>
        <row r="309">
          <cell r="A309">
            <v>535971</v>
          </cell>
          <cell r="B309" t="str">
            <v xml:space="preserve">TOKO SEJAHTERA </v>
          </cell>
          <cell r="C309">
            <v>1264491.8181818181</v>
          </cell>
        </row>
        <row r="310">
          <cell r="A310">
            <v>535972</v>
          </cell>
          <cell r="B310" t="str">
            <v>ARINI KOSMETIK</v>
          </cell>
          <cell r="C310">
            <v>3172151.1818181826</v>
          </cell>
        </row>
        <row r="311">
          <cell r="A311">
            <v>535974</v>
          </cell>
          <cell r="B311" t="str">
            <v>LE AMOURE COSMETICS</v>
          </cell>
          <cell r="C311">
            <v>4182393.1363636362</v>
          </cell>
        </row>
        <row r="312">
          <cell r="A312">
            <v>535975</v>
          </cell>
          <cell r="B312" t="str">
            <v>APOTEK AL NAIRA</v>
          </cell>
          <cell r="C312">
            <v>552103.77272727271</v>
          </cell>
        </row>
        <row r="313">
          <cell r="A313">
            <v>535976</v>
          </cell>
          <cell r="B313" t="str">
            <v>PERIANG KOSMETIK</v>
          </cell>
          <cell r="C313">
            <v>518441.909090909</v>
          </cell>
        </row>
        <row r="314">
          <cell r="A314">
            <v>535979</v>
          </cell>
          <cell r="B314" t="str">
            <v xml:space="preserve">TOKO ILHAM </v>
          </cell>
          <cell r="C314">
            <v>215538.63636363641</v>
          </cell>
        </row>
        <row r="315">
          <cell r="A315">
            <v>535982</v>
          </cell>
          <cell r="B315" t="str">
            <v>APOTEK SINAR FARMA</v>
          </cell>
          <cell r="C315">
            <v>128154.54545454546</v>
          </cell>
        </row>
        <row r="316">
          <cell r="A316">
            <v>535985</v>
          </cell>
          <cell r="B316" t="str">
            <v>NISA KOSMETIK</v>
          </cell>
          <cell r="C316">
            <v>1356952.4545454544</v>
          </cell>
        </row>
        <row r="317">
          <cell r="A317">
            <v>535986</v>
          </cell>
          <cell r="B317" t="str">
            <v>TK APOTEK MITRA MEDIS</v>
          </cell>
          <cell r="C317">
            <v>264886.36363636365</v>
          </cell>
        </row>
        <row r="318">
          <cell r="A318">
            <v>535991</v>
          </cell>
          <cell r="B318" t="str">
            <v>UKM MART</v>
          </cell>
          <cell r="C318">
            <v>0</v>
          </cell>
        </row>
        <row r="319">
          <cell r="A319">
            <v>536002</v>
          </cell>
          <cell r="B319" t="str">
            <v>TK TRIGUNA</v>
          </cell>
          <cell r="C319">
            <v>105954.54545454546</v>
          </cell>
        </row>
        <row r="320">
          <cell r="A320">
            <v>536003</v>
          </cell>
          <cell r="B320" t="str">
            <v>TOKO FARHEN SUKAPURA</v>
          </cell>
          <cell r="C320">
            <v>150977.27272727274</v>
          </cell>
        </row>
        <row r="321">
          <cell r="A321">
            <v>536006</v>
          </cell>
          <cell r="B321" t="str">
            <v>ARKARNA COSMETIC</v>
          </cell>
          <cell r="C321">
            <v>401852.27272727271</v>
          </cell>
        </row>
        <row r="322">
          <cell r="A322">
            <v>536008</v>
          </cell>
          <cell r="B322" t="str">
            <v>HAFIDZ FARMA</v>
          </cell>
          <cell r="C322">
            <v>416997.72727272724</v>
          </cell>
        </row>
        <row r="323">
          <cell r="A323">
            <v>536010</v>
          </cell>
          <cell r="B323" t="str">
            <v>APOTEK MATAHARI</v>
          </cell>
          <cell r="C323">
            <v>433798.90909090906</v>
          </cell>
        </row>
        <row r="324">
          <cell r="A324">
            <v>536012</v>
          </cell>
          <cell r="B324" t="str">
            <v>APOTEK CAHAYA</v>
          </cell>
          <cell r="C324">
            <v>1214173.3636363635</v>
          </cell>
        </row>
        <row r="325">
          <cell r="A325">
            <v>536013</v>
          </cell>
          <cell r="B325" t="str">
            <v>TK WARGI COSM</v>
          </cell>
          <cell r="C325">
            <v>571511.18181818177</v>
          </cell>
        </row>
        <row r="326">
          <cell r="A326">
            <v>536018</v>
          </cell>
          <cell r="B326" t="str">
            <v xml:space="preserve">SCR SRI RAHAYU </v>
          </cell>
          <cell r="C326">
            <v>51488.636363636368</v>
          </cell>
        </row>
        <row r="327">
          <cell r="A327">
            <v>536019</v>
          </cell>
          <cell r="B327" t="str">
            <v>TK ALEH</v>
          </cell>
          <cell r="C327">
            <v>1271463.2727272725</v>
          </cell>
        </row>
        <row r="328">
          <cell r="A328">
            <v>536021</v>
          </cell>
          <cell r="B328" t="str">
            <v>ALYA COSMETIC</v>
          </cell>
          <cell r="C328">
            <v>682016.36363636353</v>
          </cell>
        </row>
        <row r="329">
          <cell r="A329">
            <v>536023</v>
          </cell>
          <cell r="B329" t="str">
            <v>DANISYA COSMETIC</v>
          </cell>
          <cell r="C329">
            <v>-233100</v>
          </cell>
        </row>
        <row r="330">
          <cell r="A330">
            <v>536024</v>
          </cell>
          <cell r="B330" t="str">
            <v>APOTEK MORRIS</v>
          </cell>
          <cell r="C330">
            <v>303031.09090909088</v>
          </cell>
        </row>
        <row r="331">
          <cell r="A331">
            <v>536025</v>
          </cell>
          <cell r="B331" t="str">
            <v>AVIVA</v>
          </cell>
          <cell r="C331">
            <v>3662659.0909090908</v>
          </cell>
        </row>
        <row r="332">
          <cell r="A332">
            <v>536027</v>
          </cell>
          <cell r="B332" t="str">
            <v>APOTEK HIKMAH</v>
          </cell>
          <cell r="C332">
            <v>1512085.0909090908</v>
          </cell>
        </row>
        <row r="333">
          <cell r="A333">
            <v>536028</v>
          </cell>
          <cell r="B333" t="str">
            <v>TATA PUTRA</v>
          </cell>
          <cell r="C333">
            <v>844676.90909090894</v>
          </cell>
        </row>
        <row r="334">
          <cell r="A334">
            <v>536030</v>
          </cell>
          <cell r="B334" t="str">
            <v>QUEEN MART</v>
          </cell>
          <cell r="C334">
            <v>756361.90909090906</v>
          </cell>
        </row>
        <row r="335">
          <cell r="A335">
            <v>536032</v>
          </cell>
          <cell r="B335" t="str">
            <v>TOKO ABIZAM</v>
          </cell>
          <cell r="C335">
            <v>993408.818181818</v>
          </cell>
        </row>
        <row r="336">
          <cell r="A336">
            <v>536034</v>
          </cell>
          <cell r="B336" t="str">
            <v>TK.AGUNG / H.AI</v>
          </cell>
          <cell r="C336">
            <v>-439305.68181818188</v>
          </cell>
        </row>
        <row r="337">
          <cell r="A337">
            <v>536035</v>
          </cell>
          <cell r="B337" t="str">
            <v>KL SEMBAKO</v>
          </cell>
          <cell r="C337">
            <v>-72049.454545454544</v>
          </cell>
        </row>
        <row r="338">
          <cell r="A338">
            <v>536036</v>
          </cell>
          <cell r="B338" t="str">
            <v>APT.AISYAH MEDIKA</v>
          </cell>
          <cell r="C338">
            <v>2372380.7272727271</v>
          </cell>
        </row>
        <row r="339">
          <cell r="A339">
            <v>536039</v>
          </cell>
          <cell r="B339" t="str">
            <v>LIA COSMETIC</v>
          </cell>
          <cell r="C339">
            <v>2511226.0454545449</v>
          </cell>
        </row>
        <row r="340">
          <cell r="A340">
            <v>536045</v>
          </cell>
          <cell r="B340" t="str">
            <v>TK.ALVIN</v>
          </cell>
          <cell r="C340">
            <v>661094.09090909082</v>
          </cell>
        </row>
        <row r="341">
          <cell r="A341">
            <v>536047</v>
          </cell>
          <cell r="B341" t="str">
            <v>TK.CIREBON MART</v>
          </cell>
          <cell r="C341">
            <v>122030.68181818182</v>
          </cell>
        </row>
        <row r="342">
          <cell r="A342">
            <v>536049</v>
          </cell>
          <cell r="B342" t="str">
            <v>NURHA COSMETIC</v>
          </cell>
          <cell r="C342">
            <v>132443.18181818182</v>
          </cell>
        </row>
        <row r="343">
          <cell r="A343">
            <v>536051</v>
          </cell>
          <cell r="B343" t="str">
            <v>APOTEK GITA SEHAT - CINEAM</v>
          </cell>
          <cell r="C343">
            <v>709220.27272727259</v>
          </cell>
        </row>
        <row r="344">
          <cell r="A344">
            <v>536055</v>
          </cell>
          <cell r="B344" t="str">
            <v>APOTEK MAKMUR</v>
          </cell>
          <cell r="C344">
            <v>486245.09090909094</v>
          </cell>
        </row>
        <row r="345">
          <cell r="A345">
            <v>536057</v>
          </cell>
          <cell r="B345" t="str">
            <v>ALYA COSMETIC - BANJAR</v>
          </cell>
          <cell r="C345">
            <v>353181.63636363635</v>
          </cell>
        </row>
        <row r="346">
          <cell r="A346">
            <v>536058</v>
          </cell>
          <cell r="B346" t="str">
            <v>APOTEK MELATI</v>
          </cell>
          <cell r="C346">
            <v>511666.45454545447</v>
          </cell>
        </row>
        <row r="347">
          <cell r="A347">
            <v>536059</v>
          </cell>
          <cell r="B347" t="str">
            <v>START MART</v>
          </cell>
          <cell r="C347">
            <v>1092424.9090909089</v>
          </cell>
        </row>
        <row r="348">
          <cell r="A348">
            <v>536061</v>
          </cell>
          <cell r="B348" t="str">
            <v>APOTEK ADILLA FARMA</v>
          </cell>
          <cell r="C348">
            <v>282747.27272727276</v>
          </cell>
        </row>
        <row r="349">
          <cell r="A349">
            <v>536070</v>
          </cell>
          <cell r="B349" t="str">
            <v>APOTEK SYIFA</v>
          </cell>
          <cell r="C349">
            <v>110495.27272727274</v>
          </cell>
        </row>
        <row r="350">
          <cell r="A350">
            <v>536074</v>
          </cell>
          <cell r="B350" t="str">
            <v>TASCO MEGA MUTIARA TASIK REGENCY</v>
          </cell>
          <cell r="C350">
            <v>55626.13636363636</v>
          </cell>
        </row>
        <row r="351">
          <cell r="A351">
            <v>536075</v>
          </cell>
          <cell r="B351" t="str">
            <v>TOKO INDAH</v>
          </cell>
          <cell r="C351">
            <v>7590363.5909090945</v>
          </cell>
        </row>
        <row r="352">
          <cell r="A352">
            <v>536077</v>
          </cell>
          <cell r="B352" t="str">
            <v>TOKO TAMIL</v>
          </cell>
          <cell r="C352">
            <v>1341686.4545454546</v>
          </cell>
        </row>
        <row r="353">
          <cell r="A353">
            <v>536079</v>
          </cell>
          <cell r="B353" t="str">
            <v>TOKO MELAWATI</v>
          </cell>
          <cell r="C353">
            <v>12386661.272727279</v>
          </cell>
        </row>
        <row r="354">
          <cell r="A354">
            <v>536082</v>
          </cell>
          <cell r="B354" t="str">
            <v>SHANASA COSMETICS</v>
          </cell>
          <cell r="C354">
            <v>2861843.9090909092</v>
          </cell>
        </row>
        <row r="355">
          <cell r="A355">
            <v>536084</v>
          </cell>
          <cell r="B355" t="str">
            <v>TK.DJM</v>
          </cell>
          <cell r="C355">
            <v>823936.13636363624</v>
          </cell>
        </row>
        <row r="356">
          <cell r="A356">
            <v>536088</v>
          </cell>
          <cell r="B356" t="str">
            <v>APOTEK LODAYA</v>
          </cell>
          <cell r="C356">
            <v>2166033.3636363642</v>
          </cell>
        </row>
        <row r="357">
          <cell r="A357">
            <v>536089</v>
          </cell>
          <cell r="B357" t="str">
            <v>MANDIRI JAYA PLAZA</v>
          </cell>
          <cell r="C357">
            <v>1294292.7272727271</v>
          </cell>
        </row>
        <row r="358">
          <cell r="A358">
            <v>536090</v>
          </cell>
          <cell r="B358" t="str">
            <v>MANDIRI JAYA PLAZA</v>
          </cell>
          <cell r="C358">
            <v>617563.63636363624</v>
          </cell>
        </row>
        <row r="359">
          <cell r="A359">
            <v>536091</v>
          </cell>
          <cell r="B359" t="str">
            <v>MANDIRI JAYA PLAZA</v>
          </cell>
          <cell r="C359">
            <v>1045292.7727272726</v>
          </cell>
        </row>
        <row r="360">
          <cell r="A360">
            <v>536092</v>
          </cell>
          <cell r="B360" t="str">
            <v>VERA SHOP</v>
          </cell>
          <cell r="C360">
            <v>4500676.8636363661</v>
          </cell>
        </row>
        <row r="361">
          <cell r="A361">
            <v>536095</v>
          </cell>
          <cell r="B361" t="str">
            <v>ADDARA SHOP</v>
          </cell>
          <cell r="C361">
            <v>1103590.9090909089</v>
          </cell>
        </row>
        <row r="362">
          <cell r="A362">
            <v>536096</v>
          </cell>
          <cell r="B362" t="str">
            <v>SRC KANAH</v>
          </cell>
          <cell r="C362">
            <v>86400</v>
          </cell>
        </row>
        <row r="363">
          <cell r="A363" t="str">
            <v>A00177</v>
          </cell>
          <cell r="B363" t="str">
            <v>PD.PUTRA</v>
          </cell>
          <cell r="C363">
            <v>1380584.6363636362</v>
          </cell>
        </row>
        <row r="364">
          <cell r="A364" t="str">
            <v>A00426</v>
          </cell>
          <cell r="B364" t="str">
            <v>H ATANG</v>
          </cell>
          <cell r="C364">
            <v>1073535.2727272727</v>
          </cell>
        </row>
        <row r="365">
          <cell r="A365" t="str">
            <v>A00465</v>
          </cell>
          <cell r="B365" t="str">
            <v>TOSERBA YOGYA GRIYA</v>
          </cell>
          <cell r="C365">
            <v>2827710.2727272725</v>
          </cell>
        </row>
        <row r="366">
          <cell r="A366" t="str">
            <v>A00527</v>
          </cell>
          <cell r="B366" t="str">
            <v>NUR NUGRAHA</v>
          </cell>
          <cell r="C366">
            <v>388402</v>
          </cell>
        </row>
        <row r="367">
          <cell r="A367" t="str">
            <v>A010012</v>
          </cell>
          <cell r="B367" t="str">
            <v>BERKAH JAYA PUTRA</v>
          </cell>
          <cell r="C367">
            <v>725506.27272727271</v>
          </cell>
        </row>
        <row r="368">
          <cell r="A368" t="str">
            <v>A010016</v>
          </cell>
          <cell r="B368" t="str">
            <v>DEDEH</v>
          </cell>
          <cell r="C368">
            <v>66600.000000000015</v>
          </cell>
        </row>
        <row r="369">
          <cell r="A369" t="str">
            <v>A010052</v>
          </cell>
          <cell r="B369" t="str">
            <v>TK CANTIKA KOSMETIK</v>
          </cell>
          <cell r="C369">
            <v>194754.54545454547</v>
          </cell>
        </row>
        <row r="370">
          <cell r="A370" t="str">
            <v>A010112</v>
          </cell>
          <cell r="B370" t="str">
            <v>APOTEK CISURUPAN</v>
          </cell>
          <cell r="C370">
            <v>1683820.9090909094</v>
          </cell>
        </row>
        <row r="371">
          <cell r="A371" t="str">
            <v>A010120</v>
          </cell>
          <cell r="B371" t="str">
            <v>TK ISMA KOSMETIK</v>
          </cell>
          <cell r="C371">
            <v>14536915.454545457</v>
          </cell>
        </row>
        <row r="372">
          <cell r="A372" t="str">
            <v>A010182</v>
          </cell>
          <cell r="B372" t="str">
            <v>APOTEK SEHAT</v>
          </cell>
          <cell r="C372">
            <v>155400.00000000003</v>
          </cell>
        </row>
        <row r="373">
          <cell r="A373" t="str">
            <v>A010247</v>
          </cell>
          <cell r="B373" t="str">
            <v>TK PELANGI KOSMETIK</v>
          </cell>
          <cell r="C373">
            <v>19334594.181818184</v>
          </cell>
        </row>
        <row r="374">
          <cell r="A374" t="str">
            <v>A010306</v>
          </cell>
          <cell r="B374" t="str">
            <v>TK. NADILA COSMETIK</v>
          </cell>
          <cell r="C374">
            <v>52977.272727272728</v>
          </cell>
        </row>
        <row r="375">
          <cell r="A375" t="str">
            <v>A010320</v>
          </cell>
          <cell r="B375" t="str">
            <v>ENTANG COSMETIK</v>
          </cell>
          <cell r="C375">
            <v>8289162.2727272743</v>
          </cell>
        </row>
        <row r="376">
          <cell r="A376" t="str">
            <v>A010390</v>
          </cell>
          <cell r="B376" t="str">
            <v>PD BAROKAH</v>
          </cell>
          <cell r="C376">
            <v>60166.863636363632</v>
          </cell>
        </row>
        <row r="377">
          <cell r="A377" t="str">
            <v>A010444</v>
          </cell>
          <cell r="B377" t="str">
            <v>TOKO SUKSES MANDIRI</v>
          </cell>
          <cell r="C377">
            <v>413727.27272727271</v>
          </cell>
        </row>
        <row r="378">
          <cell r="A378" t="str">
            <v>A010489</v>
          </cell>
          <cell r="B378" t="str">
            <v xml:space="preserve">TOKO BABEH 2R </v>
          </cell>
          <cell r="C378">
            <v>147478.18181818182</v>
          </cell>
        </row>
        <row r="379">
          <cell r="A379" t="str">
            <v>A010503</v>
          </cell>
          <cell r="B379" t="str">
            <v>PUTRI JAYA</v>
          </cell>
          <cell r="C379">
            <v>1061059.0909090908</v>
          </cell>
        </row>
        <row r="380">
          <cell r="A380" t="str">
            <v>A010548</v>
          </cell>
          <cell r="B380" t="str">
            <v>TOKO SITI</v>
          </cell>
          <cell r="C380">
            <v>964538.18181818165</v>
          </cell>
        </row>
        <row r="381">
          <cell r="A381" t="str">
            <v>A010634</v>
          </cell>
          <cell r="B381" t="str">
            <v>KOMBI HEALTY AND BEAUTY</v>
          </cell>
          <cell r="C381">
            <v>6761981.5909090899</v>
          </cell>
        </row>
        <row r="382">
          <cell r="A382" t="str">
            <v>A010702</v>
          </cell>
          <cell r="B382" t="str">
            <v>DESI KOSMETIK</v>
          </cell>
          <cell r="C382">
            <v>5874932.0909090918</v>
          </cell>
        </row>
        <row r="383">
          <cell r="A383" t="str">
            <v>A01779</v>
          </cell>
          <cell r="B383" t="str">
            <v>DAMO</v>
          </cell>
          <cell r="C383">
            <v>839190.81818181812</v>
          </cell>
        </row>
        <row r="384">
          <cell r="A384" t="str">
            <v>A02531</v>
          </cell>
          <cell r="B384" t="str">
            <v>TOKO MULYA SEHAT (SITI)</v>
          </cell>
          <cell r="C384">
            <v>1975264.7272727273</v>
          </cell>
        </row>
        <row r="385">
          <cell r="A385" t="str">
            <v>A08915</v>
          </cell>
          <cell r="B385" t="str">
            <v>CAHAYA MART</v>
          </cell>
          <cell r="C385">
            <v>274220.45454545459</v>
          </cell>
        </row>
        <row r="386">
          <cell r="A386" t="str">
            <v>A08940</v>
          </cell>
          <cell r="B386" t="str">
            <v>APOTEK CIKAJANG</v>
          </cell>
          <cell r="C386">
            <v>379166.27272727271</v>
          </cell>
        </row>
        <row r="387">
          <cell r="A387" t="str">
            <v>A08962</v>
          </cell>
          <cell r="B387" t="str">
            <v>TK. GP KOSMETIK</v>
          </cell>
          <cell r="C387">
            <v>944307.27272727271</v>
          </cell>
        </row>
        <row r="388">
          <cell r="A388" t="str">
            <v>A08969</v>
          </cell>
          <cell r="B388" t="str">
            <v>TK MAIKA KOSMETIK</v>
          </cell>
          <cell r="C388">
            <v>403005.68181818182</v>
          </cell>
        </row>
        <row r="389">
          <cell r="A389" t="str">
            <v>A08973</v>
          </cell>
          <cell r="B389" t="str">
            <v>TOKO PIPIH</v>
          </cell>
          <cell r="C389">
            <v>1103945.4545454546</v>
          </cell>
        </row>
        <row r="390">
          <cell r="A390" t="str">
            <v>A09115</v>
          </cell>
          <cell r="B390" t="str">
            <v>YUSUF 2 RIHA</v>
          </cell>
          <cell r="C390">
            <v>613063.63636363635</v>
          </cell>
        </row>
        <row r="391">
          <cell r="A391" t="str">
            <v>A09116</v>
          </cell>
          <cell r="B391" t="str">
            <v>YUSUF COSMETIC</v>
          </cell>
          <cell r="C391">
            <v>64325</v>
          </cell>
        </row>
        <row r="392">
          <cell r="A392" t="str">
            <v>A09133</v>
          </cell>
          <cell r="B392" t="str">
            <v>AL HANIF</v>
          </cell>
          <cell r="C392">
            <v>88534.090909090912</v>
          </cell>
        </row>
        <row r="393">
          <cell r="A393" t="str">
            <v>A09168</v>
          </cell>
          <cell r="B393" t="str">
            <v>TK. CAHAYA COSMETIK</v>
          </cell>
          <cell r="C393">
            <v>6399563.8181818202</v>
          </cell>
        </row>
        <row r="394">
          <cell r="A394" t="str">
            <v>A09181</v>
          </cell>
          <cell r="B394" t="str">
            <v xml:space="preserve">TK. PARAHYANGAN </v>
          </cell>
          <cell r="C394">
            <v>8367525.3636363642</v>
          </cell>
        </row>
        <row r="395">
          <cell r="A395" t="str">
            <v>A09185</v>
          </cell>
          <cell r="B395" t="str">
            <v>TOKO SM</v>
          </cell>
          <cell r="C395">
            <v>2278339.2727272729</v>
          </cell>
        </row>
        <row r="396">
          <cell r="A396" t="str">
            <v>A09190</v>
          </cell>
          <cell r="B396" t="str">
            <v>TK. OBAT FAMILY SEHAT</v>
          </cell>
          <cell r="C396">
            <v>867681.27272727259</v>
          </cell>
        </row>
        <row r="397">
          <cell r="A397" t="str">
            <v>A09281</v>
          </cell>
          <cell r="B397" t="str">
            <v>TK. KURNIA CANTIKA</v>
          </cell>
          <cell r="C397">
            <v>4192733</v>
          </cell>
        </row>
        <row r="398">
          <cell r="A398" t="str">
            <v>A09290</v>
          </cell>
          <cell r="B398" t="str">
            <v>APOTEK AZMI</v>
          </cell>
          <cell r="C398">
            <v>230927.04545454544</v>
          </cell>
        </row>
        <row r="399">
          <cell r="A399" t="str">
            <v>A09291</v>
          </cell>
          <cell r="B399" t="str">
            <v>TK KOSMETIK GUMILAR</v>
          </cell>
          <cell r="C399">
            <v>317863.63636363635</v>
          </cell>
        </row>
        <row r="400">
          <cell r="A400" t="str">
            <v>A09298</v>
          </cell>
          <cell r="B400" t="str">
            <v>TK AYU COSMETIC</v>
          </cell>
          <cell r="C400">
            <v>90909</v>
          </cell>
        </row>
        <row r="401">
          <cell r="A401" t="str">
            <v>A09320</v>
          </cell>
          <cell r="B401" t="str">
            <v>TK BIRRU FARMA</v>
          </cell>
          <cell r="C401">
            <v>1317179.7272727271</v>
          </cell>
        </row>
        <row r="402">
          <cell r="A402" t="str">
            <v>A09321</v>
          </cell>
          <cell r="B402" t="str">
            <v>TK ABANG MUZAKIR</v>
          </cell>
          <cell r="C402">
            <v>105954.54545454546</v>
          </cell>
        </row>
        <row r="403">
          <cell r="A403" t="str">
            <v>A09351</v>
          </cell>
          <cell r="B403" t="str">
            <v>APOTEK ANDA</v>
          </cell>
          <cell r="C403">
            <v>890693.18181818165</v>
          </cell>
        </row>
        <row r="404">
          <cell r="A404" t="str">
            <v>A09366</v>
          </cell>
          <cell r="B404" t="str">
            <v>APOTEK AULIA FARMA</v>
          </cell>
          <cell r="C404">
            <v>1079760</v>
          </cell>
        </row>
        <row r="405">
          <cell r="A405" t="str">
            <v>A09378</v>
          </cell>
          <cell r="B405" t="str">
            <v>TK MEKAR PUTRI</v>
          </cell>
          <cell r="C405">
            <v>1244889.9545454544</v>
          </cell>
        </row>
        <row r="406">
          <cell r="A406" t="str">
            <v>A09452</v>
          </cell>
          <cell r="B406" t="str">
            <v>APOTEK MUTIARA</v>
          </cell>
          <cell r="C406">
            <v>428863.63636363635</v>
          </cell>
        </row>
        <row r="407">
          <cell r="A407" t="str">
            <v>A09503</v>
          </cell>
          <cell r="B407" t="str">
            <v>APOTEK ESA</v>
          </cell>
          <cell r="C407">
            <v>63572.727272727279</v>
          </cell>
        </row>
        <row r="408">
          <cell r="A408" t="str">
            <v>A09583</v>
          </cell>
          <cell r="B408" t="str">
            <v>FATHIA</v>
          </cell>
          <cell r="C408">
            <v>489807.27272727271</v>
          </cell>
        </row>
        <row r="409">
          <cell r="A409" t="str">
            <v>A09602</v>
          </cell>
          <cell r="B409" t="str">
            <v>TK RAKA/RAKA ELEKTRONIK</v>
          </cell>
          <cell r="C409">
            <v>-88800.000000000015</v>
          </cell>
        </row>
        <row r="410">
          <cell r="A410" t="str">
            <v>A09773</v>
          </cell>
          <cell r="B410" t="str">
            <v>TOKO NIZAR</v>
          </cell>
          <cell r="C410">
            <v>662215.90909090906</v>
          </cell>
        </row>
        <row r="411">
          <cell r="A411" t="str">
            <v>A09913</v>
          </cell>
          <cell r="B411" t="str">
            <v>TOKO SALMA</v>
          </cell>
          <cell r="C411">
            <v>1864499.4545454546</v>
          </cell>
        </row>
        <row r="412">
          <cell r="A412" t="str">
            <v>A09927</v>
          </cell>
          <cell r="B412" t="str">
            <v>TOKO YUNI</v>
          </cell>
          <cell r="C412">
            <v>1876126.6818181819</v>
          </cell>
        </row>
        <row r="413">
          <cell r="A413" t="str">
            <v>A09940</v>
          </cell>
          <cell r="B413" t="str">
            <v>TOKO IIS HJ ENTIN</v>
          </cell>
          <cell r="C413">
            <v>485830.63636363641</v>
          </cell>
        </row>
        <row r="414">
          <cell r="A414" t="str">
            <v>A09948</v>
          </cell>
          <cell r="B414" t="str">
            <v>TOKO RAFI</v>
          </cell>
          <cell r="C414">
            <v>133200.00000000003</v>
          </cell>
        </row>
        <row r="415">
          <cell r="A415" t="str">
            <v>A09949</v>
          </cell>
          <cell r="B415" t="str">
            <v>TOKO SENJAYA</v>
          </cell>
          <cell r="C415">
            <v>1628274.2727272727</v>
          </cell>
        </row>
        <row r="416">
          <cell r="A416" t="str">
            <v>A09953</v>
          </cell>
          <cell r="B416" t="str">
            <v>IMAS KOSMETIK</v>
          </cell>
          <cell r="C416">
            <v>2992712.272727272</v>
          </cell>
        </row>
        <row r="417">
          <cell r="A417" t="str">
            <v>A09955</v>
          </cell>
          <cell r="B417" t="str">
            <v>TOKO SITI</v>
          </cell>
          <cell r="C417">
            <v>713679.54545454541</v>
          </cell>
        </row>
        <row r="418">
          <cell r="A418" t="str">
            <v>A09968</v>
          </cell>
          <cell r="B418" t="str">
            <v>RAHAYU</v>
          </cell>
          <cell r="C418">
            <v>862708.72727272706</v>
          </cell>
        </row>
        <row r="419">
          <cell r="A419" t="str">
            <v>A09976</v>
          </cell>
          <cell r="B419" t="str">
            <v>TOKO ROBIN</v>
          </cell>
          <cell r="C419">
            <v>262081.45454545453</v>
          </cell>
        </row>
        <row r="420">
          <cell r="A420" t="str">
            <v>A09990</v>
          </cell>
          <cell r="B420" t="str">
            <v>APOTEK RIZKI</v>
          </cell>
          <cell r="C420">
            <v>79465.909090909088</v>
          </cell>
        </row>
        <row r="421">
          <cell r="A421" t="str">
            <v>A09999</v>
          </cell>
          <cell r="B421" t="str">
            <v>IMA COSMETIC</v>
          </cell>
          <cell r="C421">
            <v>257983.63636363635</v>
          </cell>
        </row>
        <row r="422">
          <cell r="A422" t="str">
            <v>BDG-0121-GT</v>
          </cell>
          <cell r="B422" t="str">
            <v>PRIBADI SHOP</v>
          </cell>
          <cell r="C422">
            <v>37093334.590909094</v>
          </cell>
        </row>
        <row r="423">
          <cell r="A423" t="str">
            <v>BDG-0128-GT</v>
          </cell>
          <cell r="B423" t="str">
            <v>TOKO DAFY</v>
          </cell>
          <cell r="C423">
            <v>1793358.8181818184</v>
          </cell>
        </row>
        <row r="424">
          <cell r="A424" t="str">
            <v>BDG047</v>
          </cell>
          <cell r="B424" t="str">
            <v>BORMA ANTAPANI</v>
          </cell>
          <cell r="C424">
            <v>2635494</v>
          </cell>
        </row>
        <row r="425">
          <cell r="A425" t="str">
            <v>BDG048</v>
          </cell>
          <cell r="B425" t="str">
            <v>BORMA BOJONGSOANG</v>
          </cell>
          <cell r="C425">
            <v>3566620.1363636372</v>
          </cell>
        </row>
        <row r="426">
          <cell r="A426" t="str">
            <v>BDG049</v>
          </cell>
          <cell r="B426" t="str">
            <v>BORMA CARINGIN</v>
          </cell>
          <cell r="C426">
            <v>2000028.5909090911</v>
          </cell>
        </row>
        <row r="427">
          <cell r="A427" t="str">
            <v>BDG051</v>
          </cell>
          <cell r="B427" t="str">
            <v>BORMA CIHANJUANG</v>
          </cell>
          <cell r="C427">
            <v>2189176.2500000005</v>
          </cell>
        </row>
        <row r="428">
          <cell r="A428" t="str">
            <v>BDG057</v>
          </cell>
          <cell r="B428" t="str">
            <v>BORMA RIUNG BANDUNG</v>
          </cell>
          <cell r="C428">
            <v>2094326.0454545459</v>
          </cell>
        </row>
        <row r="429">
          <cell r="A429" t="str">
            <v>BDG059</v>
          </cell>
          <cell r="B429" t="str">
            <v>BORMA DAKOTA</v>
          </cell>
          <cell r="C429">
            <v>6558028.7727272734</v>
          </cell>
        </row>
        <row r="430">
          <cell r="A430" t="str">
            <v>BDG061</v>
          </cell>
          <cell r="B430" t="str">
            <v>BORMA KATAPANG</v>
          </cell>
          <cell r="C430">
            <v>5015806.6363636367</v>
          </cell>
        </row>
        <row r="431">
          <cell r="A431" t="str">
            <v>BDG062</v>
          </cell>
          <cell r="B431" t="str">
            <v>BORMA KIARACONDONG</v>
          </cell>
          <cell r="C431">
            <v>3844844.4090909087</v>
          </cell>
        </row>
        <row r="432">
          <cell r="A432" t="str">
            <v>BDG063</v>
          </cell>
          <cell r="B432" t="str">
            <v>BORMA KOPO</v>
          </cell>
          <cell r="C432">
            <v>2565936.7727272734</v>
          </cell>
        </row>
        <row r="433">
          <cell r="A433" t="str">
            <v>BDG065</v>
          </cell>
          <cell r="B433" t="str">
            <v>BORMA LEMBANG</v>
          </cell>
          <cell r="C433">
            <v>1723744.2272727273</v>
          </cell>
        </row>
        <row r="434">
          <cell r="A434" t="str">
            <v>BDG067</v>
          </cell>
          <cell r="B434" t="str">
            <v>BORMA MARGACINTA</v>
          </cell>
          <cell r="C434">
            <v>3868558.7727272725</v>
          </cell>
        </row>
        <row r="435">
          <cell r="A435" t="str">
            <v>BDG068</v>
          </cell>
          <cell r="B435" t="str">
            <v>BORMA PADALARANG</v>
          </cell>
          <cell r="C435">
            <v>6214690.0909090936</v>
          </cell>
        </row>
        <row r="436">
          <cell r="A436" t="str">
            <v>BDG069</v>
          </cell>
          <cell r="B436" t="str">
            <v>BORMA PASIR IMPUN</v>
          </cell>
          <cell r="C436">
            <v>1639476.2727272727</v>
          </cell>
        </row>
        <row r="437">
          <cell r="A437" t="str">
            <v>BDG070</v>
          </cell>
          <cell r="B437" t="str">
            <v>BORMA PERMATA CIMAHI</v>
          </cell>
          <cell r="C437">
            <v>7046874.454545456</v>
          </cell>
        </row>
        <row r="438">
          <cell r="A438" t="str">
            <v>BDG072</v>
          </cell>
          <cell r="B438" t="str">
            <v>BORMA RANCABOLANG / MARGAHAYU RAYA</v>
          </cell>
          <cell r="C438">
            <v>1366338.8181818184</v>
          </cell>
        </row>
        <row r="439">
          <cell r="A439" t="str">
            <v>BDG073</v>
          </cell>
          <cell r="B439" t="str">
            <v>BORMA RANCAEKEK</v>
          </cell>
          <cell r="C439">
            <v>3181386.8181818179</v>
          </cell>
        </row>
        <row r="440">
          <cell r="A440" t="str">
            <v>BDG074</v>
          </cell>
          <cell r="B440" t="str">
            <v>BORMA RENCONG</v>
          </cell>
          <cell r="C440">
            <v>1542066.5454545456</v>
          </cell>
        </row>
        <row r="441">
          <cell r="A441" t="str">
            <v>BDG075</v>
          </cell>
          <cell r="B441" t="str">
            <v>BORMA SETIABUDI</v>
          </cell>
          <cell r="C441">
            <v>6619184.0454545459</v>
          </cell>
        </row>
        <row r="442">
          <cell r="A442" t="str">
            <v>BDG076</v>
          </cell>
          <cell r="B442" t="str">
            <v>BORMA SOREANG</v>
          </cell>
          <cell r="C442">
            <v>2413038.1363636367</v>
          </cell>
        </row>
        <row r="443">
          <cell r="A443" t="str">
            <v>BDG077</v>
          </cell>
          <cell r="B443" t="str">
            <v>BORMA TAMAN KOPO INDAH</v>
          </cell>
          <cell r="C443">
            <v>3514040.0909090913</v>
          </cell>
        </row>
        <row r="444">
          <cell r="A444" t="str">
            <v>BDG079</v>
          </cell>
          <cell r="B444" t="str">
            <v>BORMA DANGDEUR</v>
          </cell>
          <cell r="C444">
            <v>2440490.3636363638</v>
          </cell>
        </row>
        <row r="445">
          <cell r="A445" t="str">
            <v>BDG103</v>
          </cell>
          <cell r="B445" t="str">
            <v>LENY E. WIDJAJANTI</v>
          </cell>
          <cell r="C445">
            <v>57215.454545454551</v>
          </cell>
        </row>
        <row r="446">
          <cell r="A446" t="str">
            <v>BDG-1086-GT</v>
          </cell>
          <cell r="B446" t="str">
            <v>FK JAYA</v>
          </cell>
          <cell r="C446">
            <v>2860772.7272727266</v>
          </cell>
        </row>
        <row r="447">
          <cell r="A447" t="str">
            <v>BDG-1088-GT</v>
          </cell>
          <cell r="B447" t="str">
            <v>KURNIA KOSMETIK</v>
          </cell>
          <cell r="C447">
            <v>3377241.4545454541</v>
          </cell>
        </row>
        <row r="448">
          <cell r="A448" t="str">
            <v>BDG-1092-GT</v>
          </cell>
          <cell r="B448" t="str">
            <v>FEBSA SHOP</v>
          </cell>
          <cell r="C448">
            <v>1674120.4545454548</v>
          </cell>
        </row>
        <row r="449">
          <cell r="A449" t="str">
            <v>BDG-1094-GT</v>
          </cell>
          <cell r="B449" t="str">
            <v>ELI KOSMETIK</v>
          </cell>
          <cell r="C449">
            <v>864218.72727272718</v>
          </cell>
        </row>
        <row r="450">
          <cell r="A450" t="str">
            <v>BDG-1099-GT</v>
          </cell>
          <cell r="B450" t="str">
            <v>PERDANA KOSMETIK</v>
          </cell>
          <cell r="C450">
            <v>9721864.6363636404</v>
          </cell>
        </row>
        <row r="451">
          <cell r="A451" t="str">
            <v>BDG-1101-GT</v>
          </cell>
          <cell r="B451" t="str">
            <v>NIKITA</v>
          </cell>
          <cell r="C451">
            <v>13690400.045454552</v>
          </cell>
        </row>
        <row r="452">
          <cell r="A452" t="str">
            <v>BDG-1102-GT</v>
          </cell>
          <cell r="B452" t="str">
            <v>CV TEGUH JAYA SUKSES ABADI</v>
          </cell>
          <cell r="C452">
            <v>15023226.000000004</v>
          </cell>
        </row>
        <row r="453">
          <cell r="A453" t="str">
            <v>BDG-1104-GT</v>
          </cell>
          <cell r="B453" t="str">
            <v>NADELTA KOSMETIK</v>
          </cell>
          <cell r="C453">
            <v>3281201.5909090918</v>
          </cell>
        </row>
        <row r="454">
          <cell r="A454" t="str">
            <v>BDG-1106-GT</v>
          </cell>
          <cell r="B454" t="str">
            <v>GUNUNG MAS</v>
          </cell>
          <cell r="C454">
            <v>152100</v>
          </cell>
        </row>
        <row r="455">
          <cell r="A455" t="str">
            <v>BDG-1108-GT</v>
          </cell>
          <cell r="B455" t="str">
            <v>NENI KOSMETIK</v>
          </cell>
          <cell r="C455">
            <v>2586836.9090909092</v>
          </cell>
        </row>
        <row r="456">
          <cell r="A456" t="str">
            <v>BDG-1111-GT</v>
          </cell>
          <cell r="B456" t="str">
            <v>MARGA JASA MEKAR</v>
          </cell>
          <cell r="C456">
            <v>32157268.363636363</v>
          </cell>
        </row>
        <row r="457">
          <cell r="A457" t="str">
            <v>BDG-1113-GT</v>
          </cell>
          <cell r="B457" t="str">
            <v>TOKO RIDO</v>
          </cell>
          <cell r="C457">
            <v>197075.45454545453</v>
          </cell>
        </row>
        <row r="458">
          <cell r="A458" t="str">
            <v>BDG-1115-GT</v>
          </cell>
          <cell r="B458" t="str">
            <v>SENTOSA</v>
          </cell>
          <cell r="C458">
            <v>1555272.2727272732</v>
          </cell>
        </row>
        <row r="459">
          <cell r="A459" t="str">
            <v>BDG-1117-GT</v>
          </cell>
          <cell r="B459" t="str">
            <v>ALIT KOSMETIK</v>
          </cell>
          <cell r="C459">
            <v>1401265.3636363635</v>
          </cell>
        </row>
        <row r="460">
          <cell r="A460" t="str">
            <v>BDG-1118-GT</v>
          </cell>
          <cell r="B460" t="str">
            <v>NUFUS COSMETIK</v>
          </cell>
          <cell r="C460">
            <v>1802291.1818181816</v>
          </cell>
        </row>
        <row r="461">
          <cell r="A461" t="str">
            <v>BDG-1120-GT</v>
          </cell>
          <cell r="B461" t="str">
            <v>SETUJU KOSMETIK</v>
          </cell>
          <cell r="C461">
            <v>6251757.8181818174</v>
          </cell>
        </row>
        <row r="462">
          <cell r="A462" t="str">
            <v>BDG-1122-GT</v>
          </cell>
          <cell r="B462" t="str">
            <v>AMI COSMETIC</v>
          </cell>
          <cell r="C462">
            <v>3100609.4545454541</v>
          </cell>
        </row>
        <row r="463">
          <cell r="A463" t="str">
            <v>BDG-1123-GT</v>
          </cell>
          <cell r="B463" t="str">
            <v>CV INOVASI CANTIK INDONUSA</v>
          </cell>
          <cell r="C463">
            <v>327420431.54545432</v>
          </cell>
        </row>
        <row r="464">
          <cell r="A464" t="str">
            <v>BDG-1124-GT</v>
          </cell>
          <cell r="B464" t="str">
            <v>TOKO RAMA SINTA</v>
          </cell>
          <cell r="C464">
            <v>31866975.000000007</v>
          </cell>
        </row>
        <row r="465">
          <cell r="A465" t="str">
            <v>BDG-1125-GT</v>
          </cell>
          <cell r="B465" t="str">
            <v>LANCAR JAYA</v>
          </cell>
          <cell r="C465">
            <v>14797784.545454549</v>
          </cell>
        </row>
        <row r="466">
          <cell r="A466" t="str">
            <v>BDG-1126-GT</v>
          </cell>
          <cell r="B466" t="str">
            <v>TOKO BINTANG PUNGKUR</v>
          </cell>
          <cell r="C466">
            <v>287638.63636363635</v>
          </cell>
        </row>
        <row r="467">
          <cell r="A467" t="str">
            <v>BDG-1129-GT</v>
          </cell>
          <cell r="B467" t="str">
            <v>YEPPEN</v>
          </cell>
          <cell r="C467">
            <v>1425895.4545454544</v>
          </cell>
        </row>
        <row r="468">
          <cell r="A468" t="str">
            <v>BDG-1130-GT</v>
          </cell>
          <cell r="B468" t="str">
            <v>TOKO SUNDA 105</v>
          </cell>
          <cell r="C468">
            <v>2231969.181818183</v>
          </cell>
        </row>
        <row r="469">
          <cell r="A469" t="str">
            <v>BDG-1130-HN</v>
          </cell>
          <cell r="B469" t="str">
            <v>PENJUALAN KANTOR</v>
          </cell>
          <cell r="C469">
            <v>78979.431818181823</v>
          </cell>
        </row>
        <row r="470">
          <cell r="A470" t="str">
            <v>BDG-1132-MT</v>
          </cell>
          <cell r="B470" t="str">
            <v>48798_DC YOMART GEDE BAGE</v>
          </cell>
          <cell r="C470">
            <v>37255805.454545461</v>
          </cell>
        </row>
        <row r="471">
          <cell r="A471" t="str">
            <v>BDG-1133-MT</v>
          </cell>
          <cell r="B471" t="str">
            <v>48401_DC GRIYA CENTER</v>
          </cell>
          <cell r="C471">
            <v>124946538</v>
          </cell>
        </row>
        <row r="472">
          <cell r="A472" t="str">
            <v>BDG-1134-GT</v>
          </cell>
          <cell r="B472" t="str">
            <v>MISS BERRY CIMAHI</v>
          </cell>
          <cell r="C472">
            <v>6448165.6363636367</v>
          </cell>
        </row>
        <row r="473">
          <cell r="A473" t="str">
            <v>BDG-1135-GT</v>
          </cell>
          <cell r="B473" t="str">
            <v>DEDE COLECTION</v>
          </cell>
          <cell r="C473">
            <v>1222623.0454545456</v>
          </cell>
        </row>
        <row r="474">
          <cell r="A474" t="str">
            <v>BDG-1137-GT</v>
          </cell>
          <cell r="B474" t="str">
            <v>ATEU ARIEN KOSMETIK</v>
          </cell>
          <cell r="C474">
            <v>2867318.1818181826</v>
          </cell>
        </row>
        <row r="475">
          <cell r="A475" t="str">
            <v>BDG-1140-GT</v>
          </cell>
          <cell r="B475" t="str">
            <v>BERKAT KOSMETIK</v>
          </cell>
          <cell r="C475">
            <v>2104360.5</v>
          </cell>
        </row>
        <row r="476">
          <cell r="A476" t="str">
            <v>BDG-1145-GT</v>
          </cell>
          <cell r="B476" t="str">
            <v>TOKO UKI KURNIA</v>
          </cell>
          <cell r="C476">
            <v>65729862.818181828</v>
          </cell>
        </row>
        <row r="477">
          <cell r="A477" t="str">
            <v>BDG-1148-GT</v>
          </cell>
          <cell r="B477" t="str">
            <v>TOKO ARYANTA</v>
          </cell>
          <cell r="C477">
            <v>1541369.1818181816</v>
          </cell>
        </row>
        <row r="478">
          <cell r="A478" t="str">
            <v>BDG-1149-GT</v>
          </cell>
          <cell r="B478" t="str">
            <v>ORIENTAL</v>
          </cell>
          <cell r="C478">
            <v>321600</v>
          </cell>
        </row>
        <row r="479">
          <cell r="A479" t="str">
            <v>BDG-1151-GT</v>
          </cell>
          <cell r="B479" t="str">
            <v>DEWA DEWI</v>
          </cell>
          <cell r="C479">
            <v>2426541.8181818188</v>
          </cell>
        </row>
        <row r="480">
          <cell r="A480" t="str">
            <v>BDG-1152-GT</v>
          </cell>
          <cell r="B480" t="str">
            <v>NOVITA</v>
          </cell>
          <cell r="C480">
            <v>299127.27272727276</v>
          </cell>
        </row>
        <row r="481">
          <cell r="A481" t="str">
            <v>BDG-1153-GT</v>
          </cell>
          <cell r="B481" t="str">
            <v>TOKO KOSMETIK RATU</v>
          </cell>
          <cell r="C481">
            <v>9393070.6818181816</v>
          </cell>
        </row>
        <row r="482">
          <cell r="A482" t="str">
            <v>BDG-1154-GT</v>
          </cell>
          <cell r="B482" t="str">
            <v>AMI'RHA KOSMETIK</v>
          </cell>
          <cell r="C482">
            <v>1914943.5454545456</v>
          </cell>
        </row>
        <row r="483">
          <cell r="A483" t="str">
            <v>BDG-1155-GT</v>
          </cell>
          <cell r="B483" t="str">
            <v>ELYSIA INDONESIA PRATAMA</v>
          </cell>
          <cell r="C483">
            <v>284324501.45454538</v>
          </cell>
        </row>
        <row r="484">
          <cell r="A484" t="str">
            <v>BDG-1156-GT</v>
          </cell>
          <cell r="B484" t="str">
            <v>SUSI KOSMETIK</v>
          </cell>
          <cell r="C484">
            <v>7956934.9090909092</v>
          </cell>
        </row>
        <row r="485">
          <cell r="A485" t="str">
            <v>BDG-1159-GT</v>
          </cell>
          <cell r="B485" t="str">
            <v>SITNUR</v>
          </cell>
          <cell r="C485">
            <v>881240.5454545453</v>
          </cell>
        </row>
        <row r="486">
          <cell r="A486" t="str">
            <v>BDG-1162-GT</v>
          </cell>
          <cell r="B486" t="str">
            <v>MAKEUPPUCINO</v>
          </cell>
          <cell r="C486">
            <v>89204737.227272704</v>
          </cell>
        </row>
        <row r="487">
          <cell r="A487" t="str">
            <v>BDG-1166-MT</v>
          </cell>
          <cell r="B487" t="str">
            <v>70204_GRIYA BANJARAN</v>
          </cell>
          <cell r="C487">
            <v>4038799.8181818184</v>
          </cell>
        </row>
        <row r="488">
          <cell r="A488" t="str">
            <v>BDG-1167-MT</v>
          </cell>
          <cell r="B488" t="str">
            <v>70157_YOGYA KOPO MAS</v>
          </cell>
          <cell r="C488">
            <v>1912789.3636363638</v>
          </cell>
        </row>
        <row r="489">
          <cell r="A489" t="str">
            <v>BDG-1168-MT</v>
          </cell>
          <cell r="B489" t="str">
            <v>70122_GRIYA BUAH BATU</v>
          </cell>
          <cell r="C489">
            <v>11241595.636363639</v>
          </cell>
        </row>
        <row r="490">
          <cell r="A490" t="str">
            <v>BDG-1169-MT</v>
          </cell>
          <cell r="B490" t="str">
            <v>07152_YOGYA PURWAKARTA</v>
          </cell>
          <cell r="C490">
            <v>6128068.5</v>
          </cell>
        </row>
        <row r="491">
          <cell r="A491" t="str">
            <v>BDG-1170-GT</v>
          </cell>
          <cell r="B491" t="str">
            <v>SADEREK KOSMETIK</v>
          </cell>
          <cell r="C491">
            <v>15279609.272727272</v>
          </cell>
        </row>
        <row r="492">
          <cell r="A492" t="str">
            <v>BDG-1172-MT</v>
          </cell>
          <cell r="B492" t="str">
            <v>70199_DC BUAH BATU</v>
          </cell>
          <cell r="C492">
            <v>5388013.0454545459</v>
          </cell>
        </row>
        <row r="493">
          <cell r="A493" t="str">
            <v>BDG-1173-MT</v>
          </cell>
          <cell r="B493" t="str">
            <v>70185_GRIYA SETIABUDI</v>
          </cell>
          <cell r="C493">
            <v>1980616</v>
          </cell>
        </row>
        <row r="494">
          <cell r="A494" t="str">
            <v>BDG-1174-MT</v>
          </cell>
          <cell r="B494" t="str">
            <v>70143_YOGYA KEPATIHAN</v>
          </cell>
          <cell r="C494">
            <v>4990622.0454545459</v>
          </cell>
        </row>
        <row r="495">
          <cell r="A495" t="str">
            <v>BDG-1175-MT</v>
          </cell>
          <cell r="B495" t="str">
            <v>70102_YOGYA SUNDA</v>
          </cell>
          <cell r="C495">
            <v>11329042.363636361</v>
          </cell>
        </row>
        <row r="496">
          <cell r="A496" t="str">
            <v>BDG-1177-MT</v>
          </cell>
          <cell r="B496" t="str">
            <v>70233_YOGYA BOJONG SOANG</v>
          </cell>
          <cell r="C496">
            <v>4481643.9090909092</v>
          </cell>
        </row>
        <row r="497">
          <cell r="A497" t="str">
            <v>BDG-1178-MT</v>
          </cell>
          <cell r="B497" t="str">
            <v>70169_GRIYA MARGAHAYU</v>
          </cell>
          <cell r="C497">
            <v>2303712.6363636367</v>
          </cell>
        </row>
        <row r="498">
          <cell r="A498" t="str">
            <v>BDG-1179-MT</v>
          </cell>
          <cell r="B498" t="str">
            <v>70131_YOGYA PAJAJARAN</v>
          </cell>
          <cell r="C498">
            <v>1035966.8181818182</v>
          </cell>
        </row>
        <row r="499">
          <cell r="A499" t="str">
            <v>BDG-1180-MT</v>
          </cell>
          <cell r="B499" t="str">
            <v>70108_GRIYA BATUNUNGGAL</v>
          </cell>
          <cell r="C499">
            <v>1821466.6363636362</v>
          </cell>
        </row>
        <row r="500">
          <cell r="A500" t="str">
            <v>BDG-1181-MT</v>
          </cell>
          <cell r="B500" t="str">
            <v>70111_YOGYA CIUMBULEUIT</v>
          </cell>
          <cell r="C500">
            <v>1349966.8181818184</v>
          </cell>
        </row>
        <row r="501">
          <cell r="A501" t="str">
            <v>BDG-1182-MT</v>
          </cell>
          <cell r="B501" t="str">
            <v>70179_GRIYA CICALENGKA</v>
          </cell>
          <cell r="C501">
            <v>4361991.4545454551</v>
          </cell>
        </row>
        <row r="502">
          <cell r="A502" t="str">
            <v>BDG-1184-GT</v>
          </cell>
          <cell r="B502" t="str">
            <v>WARGILUYU</v>
          </cell>
          <cell r="C502">
            <v>7896061.1818181835</v>
          </cell>
        </row>
        <row r="503">
          <cell r="A503" t="str">
            <v>BDG-1185-GT</v>
          </cell>
          <cell r="B503" t="str">
            <v>ELSA KOSMETIK</v>
          </cell>
          <cell r="C503">
            <v>26343375.272727285</v>
          </cell>
        </row>
        <row r="504">
          <cell r="A504" t="str">
            <v>BDG-1186-MT</v>
          </cell>
          <cell r="B504" t="str">
            <v>70205_YOGYA PLAZA CIMAHI</v>
          </cell>
          <cell r="C504">
            <v>5038195.0454545449</v>
          </cell>
        </row>
        <row r="505">
          <cell r="A505" t="str">
            <v>BDG-1187-MT</v>
          </cell>
          <cell r="B505" t="str">
            <v>70181_GRIYA TANJUNG SARI</v>
          </cell>
          <cell r="C505">
            <v>553554</v>
          </cell>
        </row>
        <row r="506">
          <cell r="A506" t="str">
            <v>BDG-1188-MT</v>
          </cell>
          <cell r="B506" t="str">
            <v>70126_GRIYA DERWATI</v>
          </cell>
          <cell r="C506">
            <v>2096337.8181818181</v>
          </cell>
        </row>
        <row r="507">
          <cell r="A507" t="str">
            <v>BDG-1189-MT</v>
          </cell>
          <cell r="B507" t="str">
            <v>70110_YOGYA GATSU</v>
          </cell>
          <cell r="C507">
            <v>1000008</v>
          </cell>
        </row>
        <row r="508">
          <cell r="A508" t="str">
            <v>BDG-1190-MT</v>
          </cell>
          <cell r="B508" t="str">
            <v>70162_GRIYA PASTEUR</v>
          </cell>
          <cell r="C508">
            <v>3289774.6363636367</v>
          </cell>
        </row>
        <row r="509">
          <cell r="A509" t="str">
            <v>BDG-1191-MT</v>
          </cell>
          <cell r="B509" t="str">
            <v>70165_GRIYA ANTAPANI</v>
          </cell>
          <cell r="C509">
            <v>7968279.6363636367</v>
          </cell>
        </row>
        <row r="510">
          <cell r="A510" t="str">
            <v>BDG-1192-MT</v>
          </cell>
          <cell r="B510" t="str">
            <v>70172_GRIYA GRAND CINUNUK</v>
          </cell>
          <cell r="C510">
            <v>3894973</v>
          </cell>
        </row>
        <row r="511">
          <cell r="A511" t="str">
            <v>BDG-1193-MT</v>
          </cell>
          <cell r="B511" t="str">
            <v>70174_YOGYA PAMANUKAN</v>
          </cell>
          <cell r="C511">
            <v>1584317.4545454546</v>
          </cell>
        </row>
        <row r="512">
          <cell r="A512" t="str">
            <v>BDG-1194-MT</v>
          </cell>
          <cell r="B512" t="str">
            <v>70191_GRIYA PAHLAWAN</v>
          </cell>
          <cell r="C512">
            <v>18555259.363636356</v>
          </cell>
        </row>
        <row r="513">
          <cell r="A513" t="str">
            <v>BDG-1195-MT</v>
          </cell>
          <cell r="B513" t="str">
            <v>70151_GRIYA DINASTI</v>
          </cell>
          <cell r="C513">
            <v>1091707.5</v>
          </cell>
        </row>
        <row r="514">
          <cell r="A514" t="str">
            <v>BDG-1196-MT</v>
          </cell>
          <cell r="B514" t="str">
            <v>70202_GRIYA TAMAN KOPO</v>
          </cell>
          <cell r="C514">
            <v>1723915.9090909092</v>
          </cell>
        </row>
        <row r="515">
          <cell r="A515" t="str">
            <v>BDG-1198-MT</v>
          </cell>
          <cell r="B515" t="str">
            <v>70147_YOGYA MAJALAYA BARU</v>
          </cell>
          <cell r="C515">
            <v>2881986.5454545454</v>
          </cell>
        </row>
        <row r="516">
          <cell r="A516" t="str">
            <v>BDG-1199-GT</v>
          </cell>
          <cell r="B516" t="str">
            <v>AZELIA STORE</v>
          </cell>
          <cell r="C516">
            <v>125023380.54545455</v>
          </cell>
        </row>
        <row r="517">
          <cell r="A517" t="str">
            <v>BDG-1200-GT</v>
          </cell>
          <cell r="B517" t="str">
            <v>APOTEK CIPENDEUY</v>
          </cell>
          <cell r="C517">
            <v>908713.45454545435</v>
          </cell>
        </row>
        <row r="518">
          <cell r="A518" t="str">
            <v>BDG-1204-GT</v>
          </cell>
          <cell r="B518" t="str">
            <v>TOKO HAWA KOSMETIK</v>
          </cell>
          <cell r="C518">
            <v>4602234.4545454551</v>
          </cell>
        </row>
        <row r="519">
          <cell r="A519" t="str">
            <v>BDG-1205-GT</v>
          </cell>
          <cell r="B519" t="str">
            <v>TOKO GRIAN</v>
          </cell>
          <cell r="C519">
            <v>488653.27272727265</v>
          </cell>
        </row>
        <row r="520">
          <cell r="A520" t="str">
            <v>BDG-1206-GT</v>
          </cell>
          <cell r="B520" t="str">
            <v>TOKO PUYUH</v>
          </cell>
          <cell r="C520">
            <v>963029.54545454541</v>
          </cell>
        </row>
        <row r="521">
          <cell r="A521" t="str">
            <v>BDG-1207-GT</v>
          </cell>
          <cell r="B521" t="str">
            <v>ANGGUN BEAUTY</v>
          </cell>
          <cell r="C521">
            <v>2598564.6363636372</v>
          </cell>
        </row>
        <row r="522">
          <cell r="A522" t="str">
            <v>BDG-1208-GT</v>
          </cell>
          <cell r="B522" t="str">
            <v>SAFARI KOSMETIK</v>
          </cell>
          <cell r="C522">
            <v>6348055.909090911</v>
          </cell>
        </row>
        <row r="523">
          <cell r="A523" t="str">
            <v>BDG-1211-MT</v>
          </cell>
          <cell r="B523" t="str">
            <v>70178_GRIYA UJUNGBERUNG</v>
          </cell>
          <cell r="C523">
            <v>1844011.9090909092</v>
          </cell>
        </row>
        <row r="524">
          <cell r="A524" t="str">
            <v>BDG-1212-MT</v>
          </cell>
          <cell r="B524" t="str">
            <v>70135_YOGYA MEKAR WANGI</v>
          </cell>
          <cell r="C524">
            <v>2345724</v>
          </cell>
        </row>
        <row r="525">
          <cell r="A525" t="str">
            <v>BDG-1213-MT</v>
          </cell>
          <cell r="B525" t="str">
            <v>PRAMA TOSERBA BANJARAN</v>
          </cell>
          <cell r="C525">
            <v>13305447.545454549</v>
          </cell>
        </row>
        <row r="526">
          <cell r="A526" t="str">
            <v>BDG-1214-MT</v>
          </cell>
          <cell r="B526" t="str">
            <v>PRAMA TOSERBA BABAKAN SARI</v>
          </cell>
          <cell r="C526">
            <v>7653546.5</v>
          </cell>
        </row>
        <row r="527">
          <cell r="A527" t="str">
            <v>BDG-1215-MT</v>
          </cell>
          <cell r="B527" t="str">
            <v>PRAMA TOSERBA CIPARAY</v>
          </cell>
          <cell r="C527">
            <v>7442668.7727272734</v>
          </cell>
        </row>
        <row r="528">
          <cell r="A528" t="str">
            <v>BDG-1217-MT</v>
          </cell>
          <cell r="B528" t="str">
            <v>PRAMA FRESH BURANGRANG</v>
          </cell>
          <cell r="C528">
            <v>178654.50000000003</v>
          </cell>
        </row>
        <row r="529">
          <cell r="A529" t="str">
            <v>BDG-1218-MT</v>
          </cell>
          <cell r="B529" t="str">
            <v>PRAMA FRESH GARUDA</v>
          </cell>
          <cell r="C529">
            <v>304200.00000000006</v>
          </cell>
        </row>
        <row r="530">
          <cell r="A530" t="str">
            <v>BDG-1220-MT</v>
          </cell>
          <cell r="B530" t="str">
            <v>BORMA KERKOF</v>
          </cell>
          <cell r="C530">
            <v>15746650.409090906</v>
          </cell>
        </row>
        <row r="531">
          <cell r="A531" t="str">
            <v>BDG-1221-MT</v>
          </cell>
          <cell r="B531" t="str">
            <v>BORMA BUAH BATU</v>
          </cell>
          <cell r="C531">
            <v>2187571.2727272729</v>
          </cell>
        </row>
        <row r="532">
          <cell r="A532" t="str">
            <v>BDG-1222-MT</v>
          </cell>
          <cell r="B532" t="str">
            <v>BORMA DAGO</v>
          </cell>
          <cell r="C532">
            <v>7222142.4545454551</v>
          </cell>
        </row>
        <row r="533">
          <cell r="A533" t="str">
            <v>BDG-1224-GT</v>
          </cell>
          <cell r="B533" t="str">
            <v>TOKO IPIN</v>
          </cell>
          <cell r="C533">
            <v>570741.81818181812</v>
          </cell>
        </row>
        <row r="534">
          <cell r="A534" t="str">
            <v>BDG-1225-GT</v>
          </cell>
          <cell r="B534" t="str">
            <v>MERAH DELIMA</v>
          </cell>
          <cell r="C534">
            <v>3162573.5454545454</v>
          </cell>
        </row>
        <row r="535">
          <cell r="A535" t="str">
            <v>BDG-1230-MT</v>
          </cell>
          <cell r="B535" t="str">
            <v>BORMA CIJERAH</v>
          </cell>
          <cell r="C535">
            <v>15338864.18181818</v>
          </cell>
        </row>
        <row r="536">
          <cell r="A536" t="str">
            <v>BDG-1231-MT</v>
          </cell>
          <cell r="B536" t="str">
            <v>BORMA KOPO</v>
          </cell>
          <cell r="C536">
            <v>1181445.2727272727</v>
          </cell>
        </row>
        <row r="537">
          <cell r="A537" t="str">
            <v>BDG-1233-MT</v>
          </cell>
          <cell r="B537" t="str">
            <v>BORMA GEMPOL</v>
          </cell>
          <cell r="C537">
            <v>17945131.363636367</v>
          </cell>
        </row>
        <row r="538">
          <cell r="A538" t="str">
            <v>BDG-1235-GT</v>
          </cell>
          <cell r="B538" t="str">
            <v>TOKO JRS CIWIDEY</v>
          </cell>
          <cell r="C538">
            <v>3864728.7272727271</v>
          </cell>
        </row>
        <row r="539">
          <cell r="A539" t="str">
            <v>BDG-1236-GT</v>
          </cell>
          <cell r="B539" t="str">
            <v>MARANTES KOSMETIK</v>
          </cell>
          <cell r="C539">
            <v>9374400.0000000019</v>
          </cell>
        </row>
        <row r="540">
          <cell r="A540" t="str">
            <v>BDG-1239-GT</v>
          </cell>
          <cell r="B540" t="str">
            <v>TOKO SUKSES</v>
          </cell>
          <cell r="C540">
            <v>1527291.3636363638</v>
          </cell>
        </row>
        <row r="541">
          <cell r="A541" t="str">
            <v>BDG-1240-GT</v>
          </cell>
          <cell r="B541" t="str">
            <v>IQBAL TOSERBA</v>
          </cell>
          <cell r="C541">
            <v>1565882.3181818184</v>
          </cell>
        </row>
        <row r="542">
          <cell r="A542" t="str">
            <v>BDG-1242-GT</v>
          </cell>
          <cell r="B542" t="str">
            <v>TOKO LORENZ</v>
          </cell>
          <cell r="C542">
            <v>12147192.545454543</v>
          </cell>
        </row>
        <row r="543">
          <cell r="A543" t="str">
            <v>BDG-1243-GT</v>
          </cell>
          <cell r="B543" t="str">
            <v>ARSYA GEULIS</v>
          </cell>
          <cell r="C543">
            <v>1000524.7272727271</v>
          </cell>
        </row>
        <row r="544">
          <cell r="A544" t="str">
            <v>BDG-1248-GT</v>
          </cell>
          <cell r="B544" t="str">
            <v>BINTANG PUTRA KOSMETIK</v>
          </cell>
          <cell r="C544">
            <v>3027600</v>
          </cell>
        </row>
        <row r="545">
          <cell r="A545" t="str">
            <v>BDG-1249-GT</v>
          </cell>
          <cell r="B545" t="str">
            <v>LOVLY BEAUTY CARE</v>
          </cell>
          <cell r="C545">
            <v>4566007.7272727285</v>
          </cell>
        </row>
        <row r="546">
          <cell r="A546" t="str">
            <v>BDG-1255-MT</v>
          </cell>
          <cell r="B546" t="str">
            <v>70106_YOGYA JUNCTION 8</v>
          </cell>
          <cell r="C546">
            <v>793800</v>
          </cell>
        </row>
        <row r="547">
          <cell r="A547" t="str">
            <v>BDG-1256-MT</v>
          </cell>
          <cell r="B547" t="str">
            <v>70192_YOGYA LEMBANG JUNGCTION</v>
          </cell>
          <cell r="C547">
            <v>2035957</v>
          </cell>
        </row>
        <row r="548">
          <cell r="A548" t="str">
            <v>BDG-1257-MT</v>
          </cell>
          <cell r="B548" t="str">
            <v>70203_GRIYA JATI NANGOR</v>
          </cell>
          <cell r="C548">
            <v>5532444.8181818184</v>
          </cell>
        </row>
        <row r="549">
          <cell r="A549" t="str">
            <v>BDG-1258-MT</v>
          </cell>
          <cell r="B549" t="str">
            <v>70173_GRIYA ARCAMANIK</v>
          </cell>
          <cell r="C549">
            <v>1873051.3636363638</v>
          </cell>
        </row>
        <row r="550">
          <cell r="A550" t="str">
            <v>BDG-1261-GT</v>
          </cell>
          <cell r="B550" t="str">
            <v>CIUMBULEUIT</v>
          </cell>
          <cell r="C550">
            <v>649509.31818181812</v>
          </cell>
        </row>
        <row r="551">
          <cell r="A551" t="str">
            <v>BDG-1263-MT</v>
          </cell>
          <cell r="B551" t="str">
            <v>BUANA PERKASA</v>
          </cell>
          <cell r="C551">
            <v>2440566.2727272734</v>
          </cell>
        </row>
        <row r="552">
          <cell r="A552" t="str">
            <v>BDG-1264-GT</v>
          </cell>
          <cell r="B552" t="str">
            <v>TOKO HJ CUCU</v>
          </cell>
          <cell r="C552">
            <v>2495360.1818181821</v>
          </cell>
        </row>
        <row r="553">
          <cell r="A553" t="str">
            <v>BDG-1270-GT</v>
          </cell>
          <cell r="B553" t="str">
            <v>TOKO YASMIN II (SHAQUEENA)</v>
          </cell>
          <cell r="C553">
            <v>199390457.90909085</v>
          </cell>
        </row>
        <row r="554">
          <cell r="A554" t="str">
            <v>BDG-1271-GT</v>
          </cell>
          <cell r="B554" t="str">
            <v>TOKO BAGJA</v>
          </cell>
          <cell r="C554">
            <v>313322.18181818182</v>
          </cell>
        </row>
        <row r="555">
          <cell r="A555" t="str">
            <v>BDG-1273-GT</v>
          </cell>
          <cell r="B555" t="str">
            <v>OUR SKINCARE</v>
          </cell>
          <cell r="C555">
            <v>1059124.7727272727</v>
          </cell>
        </row>
        <row r="556">
          <cell r="A556" t="str">
            <v>BDG-1275-MT</v>
          </cell>
          <cell r="B556" t="str">
            <v>70325_YOGYA JUNCTION SUMBER SARI</v>
          </cell>
          <cell r="C556">
            <v>3003752.8181818184</v>
          </cell>
        </row>
        <row r="557">
          <cell r="A557" t="str">
            <v>BDG-1280-GT</v>
          </cell>
          <cell r="B557" t="str">
            <v>TOKO PURNAMA</v>
          </cell>
          <cell r="C557">
            <v>2334922.5000000005</v>
          </cell>
        </row>
        <row r="558">
          <cell r="A558" t="str">
            <v>BDG-1281-GT</v>
          </cell>
          <cell r="B558" t="str">
            <v>DINI KOSMETIK</v>
          </cell>
          <cell r="C558">
            <v>5846285.6363636386</v>
          </cell>
        </row>
        <row r="559">
          <cell r="A559" t="str">
            <v>BDG-1282-GT</v>
          </cell>
          <cell r="B559" t="str">
            <v>APOTEK RAHMANI</v>
          </cell>
          <cell r="C559">
            <v>713074.09090909071</v>
          </cell>
        </row>
        <row r="560">
          <cell r="A560" t="str">
            <v>BDG-1283-GT</v>
          </cell>
          <cell r="B560" t="str">
            <v>ONE BEAUTY</v>
          </cell>
          <cell r="C560">
            <v>8572386.4545454551</v>
          </cell>
        </row>
        <row r="561">
          <cell r="A561" t="str">
            <v>BDG-1284-GT</v>
          </cell>
          <cell r="B561" t="str">
            <v>VAZA FARMA</v>
          </cell>
          <cell r="C561">
            <v>213195.45454545453</v>
          </cell>
        </row>
        <row r="562">
          <cell r="A562" t="str">
            <v>BDG-1285-MT</v>
          </cell>
          <cell r="B562" t="str">
            <v>BORMA CIKUTRA</v>
          </cell>
          <cell r="C562">
            <v>17756363.818181824</v>
          </cell>
        </row>
        <row r="563">
          <cell r="A563" t="str">
            <v>BDG-1286-GT</v>
          </cell>
          <cell r="B563" t="str">
            <v>ALSHA KOSMETIK</v>
          </cell>
          <cell r="C563">
            <v>744834.49999999988</v>
          </cell>
        </row>
        <row r="564">
          <cell r="A564" t="str">
            <v>BDG-1294-GT</v>
          </cell>
          <cell r="B564" t="str">
            <v>TOKO YUNI</v>
          </cell>
          <cell r="C564">
            <v>4717431.2727272725</v>
          </cell>
        </row>
        <row r="565">
          <cell r="A565" t="str">
            <v>BDG-1295-GT</v>
          </cell>
          <cell r="B565" t="str">
            <v>APOTEK GRACIA FARMA</v>
          </cell>
          <cell r="C565">
            <v>430958.63636363635</v>
          </cell>
        </row>
        <row r="566">
          <cell r="A566" t="str">
            <v>BDG-1298-GT</v>
          </cell>
          <cell r="B566" t="str">
            <v>LILY PRATAMA</v>
          </cell>
          <cell r="C566">
            <v>19844115.181818184</v>
          </cell>
        </row>
        <row r="567">
          <cell r="A567" t="str">
            <v>BDG-1300-GT</v>
          </cell>
          <cell r="B567" t="str">
            <v>TOKO DO'A IBU</v>
          </cell>
          <cell r="C567">
            <v>635727.27272727259</v>
          </cell>
        </row>
        <row r="568">
          <cell r="A568" t="str">
            <v>BDG-1301-GT</v>
          </cell>
          <cell r="B568" t="str">
            <v>TIARA KOSMETIK</v>
          </cell>
          <cell r="C568">
            <v>588382.63636363635</v>
          </cell>
        </row>
        <row r="569">
          <cell r="A569" t="str">
            <v>BDG-1308-GT</v>
          </cell>
          <cell r="B569" t="str">
            <v>TOKO ANNA</v>
          </cell>
          <cell r="C569">
            <v>787275.72727272718</v>
          </cell>
        </row>
        <row r="570">
          <cell r="A570" t="str">
            <v>BDG-1309-GT</v>
          </cell>
          <cell r="B570" t="str">
            <v>TOKO SEDERHANA</v>
          </cell>
          <cell r="C570">
            <v>3099533.2727272729</v>
          </cell>
        </row>
        <row r="571">
          <cell r="A571" t="str">
            <v>BDG-1311-MT</v>
          </cell>
          <cell r="B571" t="str">
            <v>70146_GRIYA SETRA SARI</v>
          </cell>
          <cell r="C571">
            <v>2846184.8181818184</v>
          </cell>
        </row>
        <row r="572">
          <cell r="A572" t="str">
            <v>BDG-1312-GT</v>
          </cell>
          <cell r="B572" t="str">
            <v>APOTEK SHEILA 2</v>
          </cell>
          <cell r="C572">
            <v>4007601.8181818174</v>
          </cell>
        </row>
        <row r="573">
          <cell r="A573" t="str">
            <v>BDG-1313-GT</v>
          </cell>
          <cell r="B573" t="str">
            <v>TOKO RIZKI (LIA MS GLOW)</v>
          </cell>
          <cell r="C573">
            <v>1075717.2727272727</v>
          </cell>
        </row>
        <row r="574">
          <cell r="A574" t="str">
            <v>BDG-1315-GT</v>
          </cell>
          <cell r="B574" t="str">
            <v>TUMBUH SENTOSA</v>
          </cell>
          <cell r="C574">
            <v>972090</v>
          </cell>
        </row>
        <row r="575">
          <cell r="A575" t="str">
            <v>BDG-1316-GT</v>
          </cell>
          <cell r="B575" t="str">
            <v>SURYA KOSMETIK</v>
          </cell>
          <cell r="C575">
            <v>229600</v>
          </cell>
        </row>
        <row r="576">
          <cell r="A576" t="str">
            <v>BDG-1319-GT</v>
          </cell>
          <cell r="B576" t="str">
            <v>GUNCI SILVER</v>
          </cell>
          <cell r="C576">
            <v>1646774.0000000012</v>
          </cell>
        </row>
        <row r="577">
          <cell r="A577" t="str">
            <v>BDG-1321-GT</v>
          </cell>
          <cell r="B577" t="str">
            <v>SBM MART</v>
          </cell>
          <cell r="C577">
            <v>143038.09090909091</v>
          </cell>
        </row>
        <row r="578">
          <cell r="A578" t="str">
            <v>BDG-1322-GT</v>
          </cell>
          <cell r="B578" t="str">
            <v>ERIN KOSMETIK</v>
          </cell>
          <cell r="C578">
            <v>594275.90909090906</v>
          </cell>
        </row>
        <row r="579">
          <cell r="A579" t="str">
            <v>BDG-1323-GT</v>
          </cell>
          <cell r="B579" t="str">
            <v>TOKO HANANIAH KOSMETIK</v>
          </cell>
          <cell r="C579">
            <v>5286379.3636363633</v>
          </cell>
        </row>
        <row r="580">
          <cell r="A580" t="str">
            <v>BDG-1324-GT</v>
          </cell>
          <cell r="B580" t="str">
            <v>MERAH DELIMA 2</v>
          </cell>
          <cell r="C580">
            <v>460338.13636363635</v>
          </cell>
        </row>
        <row r="581">
          <cell r="A581" t="str">
            <v>BDG-1326-GT</v>
          </cell>
          <cell r="B581" t="str">
            <v>PUTRA BAHAGIA</v>
          </cell>
          <cell r="C581">
            <v>3934347.2727272729</v>
          </cell>
        </row>
        <row r="582">
          <cell r="A582" t="str">
            <v>BDG-1330-GT</v>
          </cell>
          <cell r="B582" t="str">
            <v>BU HARTI</v>
          </cell>
          <cell r="C582">
            <v>256214.95454545453</v>
          </cell>
        </row>
        <row r="583">
          <cell r="A583" t="str">
            <v>BDG-1331-GT</v>
          </cell>
          <cell r="B583" t="str">
            <v>CAHAYA BARU KOSMETIK SLW</v>
          </cell>
          <cell r="C583">
            <v>3424453.0909090913</v>
          </cell>
        </row>
        <row r="584">
          <cell r="A584" t="str">
            <v>BDG-1332-MT</v>
          </cell>
          <cell r="B584" t="str">
            <v>CV SURYA MAKMUR SENTOSA</v>
          </cell>
          <cell r="C584">
            <v>2659614.5454545468</v>
          </cell>
        </row>
        <row r="585">
          <cell r="A585" t="str">
            <v>BDG-1335-GT</v>
          </cell>
          <cell r="B585" t="str">
            <v>PD ANTAPANI</v>
          </cell>
          <cell r="C585">
            <v>411709.09090909094</v>
          </cell>
        </row>
        <row r="586">
          <cell r="A586" t="str">
            <v>BDG-1338-GT</v>
          </cell>
          <cell r="B586" t="str">
            <v>CITRA KOSMETIK</v>
          </cell>
          <cell r="C586">
            <v>728815.90909090894</v>
          </cell>
        </row>
        <row r="587">
          <cell r="A587" t="str">
            <v>BDG-1339-GT</v>
          </cell>
          <cell r="B587" t="str">
            <v>QUEENSA</v>
          </cell>
          <cell r="C587">
            <v>8142925.0909090936</v>
          </cell>
        </row>
        <row r="588">
          <cell r="A588" t="str">
            <v>BDG-1347-GT</v>
          </cell>
          <cell r="B588" t="str">
            <v>ANUGRAH CIROYOM</v>
          </cell>
          <cell r="C588">
            <v>312621.81818181818</v>
          </cell>
        </row>
        <row r="589">
          <cell r="A589" t="str">
            <v>BDG-1351-GT</v>
          </cell>
          <cell r="B589" t="str">
            <v>ABE KOSMETIK</v>
          </cell>
          <cell r="C589">
            <v>986789.18181818177</v>
          </cell>
        </row>
        <row r="590">
          <cell r="A590" t="str">
            <v>BDG-1352-GT</v>
          </cell>
          <cell r="B590" t="str">
            <v>TWINS SHOP</v>
          </cell>
          <cell r="C590">
            <v>1009595.4545454546</v>
          </cell>
        </row>
        <row r="591">
          <cell r="A591" t="str">
            <v>BDG-1353-GT</v>
          </cell>
          <cell r="B591" t="str">
            <v>TOKO BERKAH AKSESORIS</v>
          </cell>
          <cell r="C591">
            <v>789868</v>
          </cell>
        </row>
        <row r="592">
          <cell r="A592" t="str">
            <v>BDG-1356-GT</v>
          </cell>
          <cell r="B592" t="str">
            <v>TOKO SOFIA</v>
          </cell>
          <cell r="C592">
            <v>639158.18181818188</v>
          </cell>
        </row>
        <row r="593">
          <cell r="A593" t="str">
            <v>BDG-1359-GT</v>
          </cell>
          <cell r="B593" t="str">
            <v>LESTARI KOSMETIK</v>
          </cell>
          <cell r="C593">
            <v>165865.90909090912</v>
          </cell>
        </row>
        <row r="594">
          <cell r="A594" t="str">
            <v>BDG-1360-GT</v>
          </cell>
          <cell r="B594" t="str">
            <v>ELIZABET SALON</v>
          </cell>
          <cell r="C594">
            <v>532800.00000000012</v>
          </cell>
        </row>
        <row r="595">
          <cell r="A595" t="str">
            <v>BDG-1361-GT</v>
          </cell>
          <cell r="B595" t="str">
            <v>TOKO MURAH REZEKI</v>
          </cell>
          <cell r="C595">
            <v>5389857.5454545468</v>
          </cell>
        </row>
        <row r="596">
          <cell r="A596" t="str">
            <v>BDG-1364-GT</v>
          </cell>
          <cell r="B596" t="str">
            <v>DESKA</v>
          </cell>
          <cell r="C596">
            <v>2987663.4545454546</v>
          </cell>
        </row>
        <row r="597">
          <cell r="A597" t="str">
            <v>BDG-1367-GT</v>
          </cell>
          <cell r="B597" t="str">
            <v>NAFISA</v>
          </cell>
          <cell r="C597">
            <v>2176208.1818181812</v>
          </cell>
        </row>
        <row r="598">
          <cell r="A598" t="str">
            <v>BDG-1368-GT</v>
          </cell>
          <cell r="B598" t="str">
            <v>DARA KOSMETIK</v>
          </cell>
          <cell r="C598">
            <v>734263.63636363647</v>
          </cell>
        </row>
        <row r="599">
          <cell r="A599" t="str">
            <v>BDG-1370-GT</v>
          </cell>
          <cell r="B599" t="str">
            <v>INDRAJAYA KOSMETIK</v>
          </cell>
          <cell r="C599">
            <v>1427043.8181818184</v>
          </cell>
        </row>
        <row r="600">
          <cell r="A600" t="str">
            <v>BDG-1376-GT</v>
          </cell>
          <cell r="B600" t="str">
            <v>BEAUTY KOSMETIK SUKAGALIH</v>
          </cell>
          <cell r="C600">
            <v>626815.54545454541</v>
          </cell>
        </row>
        <row r="601">
          <cell r="A601" t="str">
            <v>BDG-1378-GT</v>
          </cell>
          <cell r="B601" t="str">
            <v>KLINGKING GLOW STORY</v>
          </cell>
          <cell r="C601">
            <v>1459967.1818181819</v>
          </cell>
        </row>
        <row r="602">
          <cell r="A602" t="str">
            <v>BDG-1379-GT</v>
          </cell>
          <cell r="B602" t="str">
            <v>TOKO CINDY</v>
          </cell>
          <cell r="C602">
            <v>871600</v>
          </cell>
        </row>
        <row r="603">
          <cell r="A603" t="str">
            <v>BDG-1380-GT</v>
          </cell>
          <cell r="B603" t="str">
            <v>TOKO MAMAN</v>
          </cell>
          <cell r="C603">
            <v>451853.18181818182</v>
          </cell>
        </row>
        <row r="604">
          <cell r="A604" t="str">
            <v>BDG-1384-GT</v>
          </cell>
          <cell r="B604" t="str">
            <v>CLEO HUB</v>
          </cell>
          <cell r="C604">
            <v>1561769.9999999998</v>
          </cell>
        </row>
        <row r="605">
          <cell r="A605" t="str">
            <v>BDG-1389-GT</v>
          </cell>
          <cell r="B605" t="str">
            <v>TAMA MINI MART</v>
          </cell>
          <cell r="C605">
            <v>224295.68181818182</v>
          </cell>
        </row>
        <row r="606">
          <cell r="A606" t="str">
            <v>BDG-1390-MT</v>
          </cell>
          <cell r="B606" t="str">
            <v>BORMA RANCABELUT</v>
          </cell>
          <cell r="C606">
            <v>465397.77272727276</v>
          </cell>
        </row>
        <row r="607">
          <cell r="A607" t="str">
            <v>BDG-1400-GT</v>
          </cell>
          <cell r="B607" t="str">
            <v>TOKO KANIA</v>
          </cell>
          <cell r="C607">
            <v>2425017.1818181821</v>
          </cell>
        </row>
        <row r="608">
          <cell r="A608" t="str">
            <v>BDG-1401-GT</v>
          </cell>
          <cell r="B608" t="str">
            <v>LENNY KOSMETIK</v>
          </cell>
          <cell r="C608">
            <v>199154.54545454544</v>
          </cell>
        </row>
        <row r="609">
          <cell r="A609" t="str">
            <v>BDG-1405-GT</v>
          </cell>
          <cell r="B609" t="str">
            <v>DAY BEAUTY</v>
          </cell>
          <cell r="C609">
            <v>2822147.1818181821</v>
          </cell>
        </row>
        <row r="610">
          <cell r="A610" t="str">
            <v>BDG-1407-GT</v>
          </cell>
          <cell r="B610" t="str">
            <v>XAVIER SHOP</v>
          </cell>
          <cell r="C610">
            <v>151784445.81818181</v>
          </cell>
        </row>
        <row r="611">
          <cell r="A611" t="str">
            <v>BDG-1411-GT</v>
          </cell>
          <cell r="B611" t="str">
            <v>CV KAMII MAJU BERSAMA</v>
          </cell>
          <cell r="C611">
            <v>12644238.454545457</v>
          </cell>
        </row>
        <row r="612">
          <cell r="A612" t="str">
            <v>BDG-1413-GT</v>
          </cell>
          <cell r="B612" t="str">
            <v>TOKO HIKMAH</v>
          </cell>
          <cell r="C612">
            <v>380863.09090909094</v>
          </cell>
        </row>
        <row r="613">
          <cell r="A613" t="str">
            <v>BDG-1414-GT</v>
          </cell>
          <cell r="B613" t="str">
            <v>BANDUNG KOSMETIK</v>
          </cell>
          <cell r="C613">
            <v>476797.63636363635</v>
          </cell>
        </row>
        <row r="614">
          <cell r="A614" t="str">
            <v>BDG-1415-GT</v>
          </cell>
          <cell r="B614" t="str">
            <v>BINTANG KOSMETIK</v>
          </cell>
          <cell r="C614">
            <v>317863.63636363635</v>
          </cell>
        </row>
        <row r="615">
          <cell r="A615" t="str">
            <v>BDG-1416-GT</v>
          </cell>
          <cell r="B615" t="str">
            <v>SWALAYAN 288</v>
          </cell>
          <cell r="C615">
            <v>371345.09090909088</v>
          </cell>
        </row>
        <row r="616">
          <cell r="A616" t="str">
            <v>BDG-1418-GT</v>
          </cell>
          <cell r="B616" t="str">
            <v>TOKO PENGKOLAN</v>
          </cell>
          <cell r="C616">
            <v>698727.27272727259</v>
          </cell>
        </row>
        <row r="617">
          <cell r="A617" t="str">
            <v>BDG-1421-GT</v>
          </cell>
          <cell r="B617" t="str">
            <v>MELIDYA</v>
          </cell>
          <cell r="C617">
            <v>1665000.0000000005</v>
          </cell>
        </row>
        <row r="618">
          <cell r="A618" t="str">
            <v>BDG-1423-GT</v>
          </cell>
          <cell r="B618" t="str">
            <v>MAJU JAYA</v>
          </cell>
          <cell r="C618">
            <v>206109.54545454544</v>
          </cell>
        </row>
        <row r="619">
          <cell r="A619" t="str">
            <v>BDG-1427-GT</v>
          </cell>
          <cell r="B619" t="str">
            <v>Sinar Kosmetik</v>
          </cell>
          <cell r="C619">
            <v>8126105.3636363624</v>
          </cell>
        </row>
        <row r="620">
          <cell r="A620" t="str">
            <v>BDG-1429-MT</v>
          </cell>
          <cell r="B620" t="str">
            <v>DC AMANDA MART MINIMARKET</v>
          </cell>
          <cell r="C620">
            <v>1725722.1818181819</v>
          </cell>
        </row>
        <row r="621">
          <cell r="A621" t="str">
            <v>BDG-1432-GT</v>
          </cell>
          <cell r="B621" t="str">
            <v>ESTHER BEAUTY</v>
          </cell>
          <cell r="C621">
            <v>8161225.6363636386</v>
          </cell>
        </row>
        <row r="622">
          <cell r="A622" t="str">
            <v>BDG-1433-GT</v>
          </cell>
          <cell r="B622" t="str">
            <v>BIYU KOSMETIK</v>
          </cell>
          <cell r="C622">
            <v>1283919.7272727273</v>
          </cell>
        </row>
        <row r="623">
          <cell r="A623" t="str">
            <v>BDG-1439-GT</v>
          </cell>
          <cell r="B623" t="str">
            <v>IMAS KOSMETIK</v>
          </cell>
          <cell r="C623">
            <v>715193.18181818165</v>
          </cell>
        </row>
        <row r="624">
          <cell r="A624" t="str">
            <v>BDG-1442-GT</v>
          </cell>
          <cell r="B624" t="str">
            <v>DEWI KOSMETIK CIWIDEY</v>
          </cell>
          <cell r="C624">
            <v>6335805.2272727275</v>
          </cell>
        </row>
        <row r="625">
          <cell r="A625" t="str">
            <v>BDG-1445-GT</v>
          </cell>
          <cell r="B625" t="str">
            <v>SALSABILA KOSMETIK</v>
          </cell>
          <cell r="C625">
            <v>2617498.0454545454</v>
          </cell>
        </row>
        <row r="626">
          <cell r="A626" t="str">
            <v>BDG-1447-GT</v>
          </cell>
          <cell r="B626" t="str">
            <v>SHANDI KOSMETIK</v>
          </cell>
          <cell r="C626">
            <v>1309596.5454545454</v>
          </cell>
        </row>
        <row r="627">
          <cell r="A627" t="str">
            <v>BDG-1448-GT</v>
          </cell>
          <cell r="B627" t="str">
            <v>TOKO HOKY</v>
          </cell>
          <cell r="C627">
            <v>334900</v>
          </cell>
        </row>
        <row r="628">
          <cell r="A628" t="str">
            <v>BDG-1452-GT</v>
          </cell>
          <cell r="B628" t="str">
            <v>APOTEK PEDESTAL</v>
          </cell>
          <cell r="C628">
            <v>505929.22727272729</v>
          </cell>
        </row>
        <row r="629">
          <cell r="A629" t="str">
            <v>BDG-1459-GT</v>
          </cell>
          <cell r="B629" t="str">
            <v>ZAHRUL JAYA KOSMETIK</v>
          </cell>
          <cell r="C629">
            <v>715194.27272727271</v>
          </cell>
        </row>
        <row r="630">
          <cell r="A630" t="str">
            <v>BDG-1463-GT</v>
          </cell>
          <cell r="B630" t="str">
            <v>TOKO ASAD</v>
          </cell>
          <cell r="C630">
            <v>572017.63636363635</v>
          </cell>
        </row>
        <row r="631">
          <cell r="A631" t="str">
            <v>BDG-1470-GT</v>
          </cell>
          <cell r="B631" t="str">
            <v>CITRA MEKAR</v>
          </cell>
          <cell r="C631">
            <v>1086927.2727272725</v>
          </cell>
        </row>
        <row r="632">
          <cell r="A632" t="str">
            <v>BDG-1475-GT</v>
          </cell>
          <cell r="B632" t="str">
            <v>KIRANA KOSMETIK</v>
          </cell>
          <cell r="C632">
            <v>298411.36363636365</v>
          </cell>
        </row>
        <row r="633">
          <cell r="A633" t="str">
            <v>BDG-1476-GT</v>
          </cell>
          <cell r="B633" t="str">
            <v>AYONG MART</v>
          </cell>
          <cell r="C633">
            <v>1825287.6818181823</v>
          </cell>
        </row>
        <row r="634">
          <cell r="A634" t="str">
            <v>BDG-1477-GT</v>
          </cell>
          <cell r="B634" t="str">
            <v>SAVIRA KOSMETIK</v>
          </cell>
          <cell r="C634">
            <v>99900.000000000029</v>
          </cell>
        </row>
        <row r="635">
          <cell r="A635" t="str">
            <v>BDG-1480-GT</v>
          </cell>
          <cell r="B635" t="str">
            <v>CURINTIK KOSMETIK</v>
          </cell>
          <cell r="C635">
            <v>7125774.7272727275</v>
          </cell>
        </row>
        <row r="636">
          <cell r="A636" t="str">
            <v>BDG-1481-GT</v>
          </cell>
          <cell r="B636" t="str">
            <v>SUHARLIA</v>
          </cell>
          <cell r="C636">
            <v>1087812.0909090911</v>
          </cell>
        </row>
        <row r="637">
          <cell r="A637" t="str">
            <v>BDG-1484-GT</v>
          </cell>
          <cell r="B637" t="str">
            <v>FLOW COSMETIC</v>
          </cell>
          <cell r="C637">
            <v>3513487.2727272725</v>
          </cell>
        </row>
        <row r="638">
          <cell r="A638" t="str">
            <v>BDG-1486-GT</v>
          </cell>
          <cell r="B638" t="str">
            <v>TOKO RENI</v>
          </cell>
          <cell r="C638">
            <v>185420.45454545453</v>
          </cell>
        </row>
        <row r="639">
          <cell r="A639" t="str">
            <v>BDG-1488-GT</v>
          </cell>
          <cell r="B639" t="str">
            <v>TOKO QIANA</v>
          </cell>
          <cell r="C639">
            <v>1304317.6363636365</v>
          </cell>
        </row>
        <row r="640">
          <cell r="A640" t="str">
            <v>BDG-1489-GT</v>
          </cell>
          <cell r="B640" t="str">
            <v>CV. CANTIK JAYA NUSANTARA</v>
          </cell>
          <cell r="C640">
            <v>3727904.7272727275</v>
          </cell>
        </row>
        <row r="641">
          <cell r="A641" t="str">
            <v>BDG-1493-GT</v>
          </cell>
          <cell r="B641" t="str">
            <v>TOKO ALMAS</v>
          </cell>
          <cell r="C641">
            <v>393463.63636363641</v>
          </cell>
        </row>
        <row r="642">
          <cell r="A642" t="str">
            <v>BDG-1494-GT</v>
          </cell>
          <cell r="B642" t="str">
            <v>CHIKO  TOSERBA</v>
          </cell>
          <cell r="C642">
            <v>225531.81818181818</v>
          </cell>
        </row>
        <row r="643">
          <cell r="A643" t="str">
            <v>BDG-1496-GT</v>
          </cell>
          <cell r="B643" t="str">
            <v>MOMMY PUNYA</v>
          </cell>
          <cell r="C643">
            <v>2103617.1818181816</v>
          </cell>
        </row>
        <row r="644">
          <cell r="A644" t="str">
            <v>BDG-1498-GT</v>
          </cell>
          <cell r="B644" t="str">
            <v>OLALA MART</v>
          </cell>
          <cell r="C644">
            <v>317020.45454545453</v>
          </cell>
        </row>
        <row r="645">
          <cell r="A645" t="str">
            <v>BDG-1501-GT</v>
          </cell>
          <cell r="B645" t="str">
            <v>CV RAJA CIPTA LESTARI</v>
          </cell>
          <cell r="C645">
            <v>4162140</v>
          </cell>
        </row>
        <row r="646">
          <cell r="A646" t="str">
            <v>BDG-1504-GT</v>
          </cell>
          <cell r="B646" t="str">
            <v>ONEFIE</v>
          </cell>
          <cell r="C646">
            <v>2272900</v>
          </cell>
        </row>
        <row r="647">
          <cell r="A647" t="str">
            <v>BDG-1506-GT</v>
          </cell>
          <cell r="B647" t="str">
            <v>KENCANA KOSMETIK</v>
          </cell>
          <cell r="C647">
            <v>1042888.0909090911</v>
          </cell>
        </row>
        <row r="648">
          <cell r="A648" t="str">
            <v>BDG-1511-MT</v>
          </cell>
          <cell r="B648" t="str">
            <v>70177_YOGYA SOREANG</v>
          </cell>
          <cell r="C648">
            <v>12629078.72727273</v>
          </cell>
        </row>
        <row r="649">
          <cell r="A649" t="str">
            <v>BDG-1512-GT</v>
          </cell>
          <cell r="B649" t="str">
            <v>ROSE STORE 72</v>
          </cell>
          <cell r="C649">
            <v>32422090.909090906</v>
          </cell>
        </row>
        <row r="650">
          <cell r="A650" t="str">
            <v>BDG-1513-GT</v>
          </cell>
          <cell r="B650" t="str">
            <v>PT FOREVER HARVEST SUCCESS</v>
          </cell>
          <cell r="C650">
            <v>57640459.090909094</v>
          </cell>
        </row>
        <row r="651">
          <cell r="A651" t="str">
            <v>BDG-1514-GT</v>
          </cell>
          <cell r="B651" t="str">
            <v>ROSE BEAUTY</v>
          </cell>
          <cell r="C651">
            <v>6545514.0000000019</v>
          </cell>
        </row>
        <row r="652">
          <cell r="A652" t="str">
            <v>C0003</v>
          </cell>
          <cell r="B652" t="str">
            <v>DAUN INDAH, TK</v>
          </cell>
          <cell r="C652">
            <v>204752197.77272716</v>
          </cell>
        </row>
        <row r="653">
          <cell r="A653" t="str">
            <v>C0004</v>
          </cell>
          <cell r="B653" t="str">
            <v>BLITAR, TK</v>
          </cell>
          <cell r="C653">
            <v>2027618</v>
          </cell>
        </row>
        <row r="654">
          <cell r="A654" t="str">
            <v>C0005</v>
          </cell>
          <cell r="B654" t="str">
            <v>CV. DELIA SUKSES MULIA</v>
          </cell>
          <cell r="C654">
            <v>110405054.95454542</v>
          </cell>
        </row>
        <row r="655">
          <cell r="A655" t="str">
            <v>C0009</v>
          </cell>
          <cell r="B655" t="str">
            <v>PUTRI SUNDA 1, TK</v>
          </cell>
          <cell r="C655">
            <v>3253696.9545454551</v>
          </cell>
        </row>
        <row r="656">
          <cell r="A656" t="str">
            <v>C0019</v>
          </cell>
          <cell r="B656" t="str">
            <v>BARABA, TK</v>
          </cell>
          <cell r="C656">
            <v>2671379.9999999995</v>
          </cell>
        </row>
        <row r="657">
          <cell r="A657" t="str">
            <v>C0027</v>
          </cell>
          <cell r="B657" t="str">
            <v>CRISTY SALON</v>
          </cell>
          <cell r="C657">
            <v>848880</v>
          </cell>
        </row>
        <row r="658">
          <cell r="A658" t="str">
            <v>C0038</v>
          </cell>
          <cell r="B658" t="str">
            <v>IBU NIRI, TK Palimanan</v>
          </cell>
          <cell r="C658">
            <v>450222.68181818182</v>
          </cell>
        </row>
        <row r="659">
          <cell r="A659" t="str">
            <v>C0057</v>
          </cell>
          <cell r="B659" t="str">
            <v>TIM PROMOSI</v>
          </cell>
          <cell r="C659">
            <v>2511772.7272727275</v>
          </cell>
        </row>
        <row r="660">
          <cell r="A660" t="str">
            <v>C0059</v>
          </cell>
          <cell r="B660" t="str">
            <v>H.ALI, TK Haurgeulis</v>
          </cell>
          <cell r="C660">
            <v>-295000</v>
          </cell>
        </row>
        <row r="661">
          <cell r="A661" t="str">
            <v>C0062</v>
          </cell>
          <cell r="B661" t="str">
            <v>SURYA TOKOKU</v>
          </cell>
          <cell r="C661">
            <v>75482851.36363636</v>
          </cell>
        </row>
        <row r="662">
          <cell r="A662" t="str">
            <v>C0102</v>
          </cell>
          <cell r="B662" t="str">
            <v>ADE SALON Dk Puntang</v>
          </cell>
          <cell r="C662">
            <v>1293747.9545454546</v>
          </cell>
        </row>
        <row r="663">
          <cell r="A663" t="str">
            <v>C0118</v>
          </cell>
          <cell r="B663" t="str">
            <v>3 DEWI, MM</v>
          </cell>
          <cell r="C663">
            <v>66733167.681818187</v>
          </cell>
        </row>
        <row r="664">
          <cell r="A664" t="str">
            <v>C0119</v>
          </cell>
          <cell r="B664" t="str">
            <v>OKTA, TK</v>
          </cell>
          <cell r="C664">
            <v>5618412.9545454551</v>
          </cell>
        </row>
        <row r="665">
          <cell r="A665" t="str">
            <v>C0137</v>
          </cell>
          <cell r="B665" t="str">
            <v>HOLID, TK</v>
          </cell>
          <cell r="C665">
            <v>442478.63636363635</v>
          </cell>
        </row>
        <row r="666">
          <cell r="A666" t="str">
            <v>C0141</v>
          </cell>
          <cell r="B666" t="str">
            <v>OLIVIA, TK</v>
          </cell>
          <cell r="C666">
            <v>3112732.8636363638</v>
          </cell>
        </row>
        <row r="667">
          <cell r="A667" t="str">
            <v>C0194</v>
          </cell>
          <cell r="B667" t="str">
            <v>KENCANA JAYA, TK</v>
          </cell>
          <cell r="C667">
            <v>2995819.0909090908</v>
          </cell>
        </row>
        <row r="668">
          <cell r="A668" t="str">
            <v>C0224</v>
          </cell>
          <cell r="B668" t="str">
            <v>REVA COSMETIK</v>
          </cell>
          <cell r="C668">
            <v>317863.63636363635</v>
          </cell>
        </row>
        <row r="669">
          <cell r="A669" t="str">
            <v>C0240</v>
          </cell>
          <cell r="B669" t="str">
            <v>RATIH, TK Cigasong</v>
          </cell>
          <cell r="C669">
            <v>1095217.2727272725</v>
          </cell>
        </row>
        <row r="670">
          <cell r="A670" t="str">
            <v>C0272</v>
          </cell>
          <cell r="B670" t="str">
            <v>PUTRI AYU, TK</v>
          </cell>
          <cell r="C670">
            <v>635727.27272727271</v>
          </cell>
        </row>
        <row r="671">
          <cell r="A671" t="str">
            <v>C0288</v>
          </cell>
          <cell r="B671" t="str">
            <v>MUSTIKA, TK</v>
          </cell>
          <cell r="C671">
            <v>12606243</v>
          </cell>
        </row>
        <row r="672">
          <cell r="A672" t="str">
            <v>C0291</v>
          </cell>
          <cell r="B672" t="str">
            <v>AGNES COSMETIC, TK</v>
          </cell>
          <cell r="C672">
            <v>466200.00000000012</v>
          </cell>
        </row>
        <row r="673">
          <cell r="A673" t="str">
            <v>C0350</v>
          </cell>
          <cell r="B673" t="str">
            <v>KINAR, TK Prapatan</v>
          </cell>
          <cell r="C673">
            <v>7026810.6818181835</v>
          </cell>
        </row>
        <row r="674">
          <cell r="A674" t="str">
            <v>C0468</v>
          </cell>
          <cell r="B674" t="str">
            <v>SURYA TSB INDRAMAYU</v>
          </cell>
          <cell r="C674">
            <v>2039911.3636363633</v>
          </cell>
        </row>
        <row r="675">
          <cell r="A675" t="str">
            <v>C0472</v>
          </cell>
          <cell r="B675" t="str">
            <v>SURYA TSB KUNINGAN</v>
          </cell>
          <cell r="C675">
            <v>965119.90909090906</v>
          </cell>
        </row>
        <row r="676">
          <cell r="A676" t="str">
            <v>C0473</v>
          </cell>
          <cell r="B676" t="str">
            <v>SURYA TSB SUMBER</v>
          </cell>
          <cell r="C676">
            <v>723481.36363636365</v>
          </cell>
        </row>
        <row r="677">
          <cell r="A677" t="str">
            <v>C0476</v>
          </cell>
          <cell r="B677" t="str">
            <v>SURYA TSB KADIPATEN</v>
          </cell>
          <cell r="C677">
            <v>1544044.0909090908</v>
          </cell>
        </row>
        <row r="678">
          <cell r="A678" t="str">
            <v>C0486</v>
          </cell>
          <cell r="B678" t="str">
            <v>YOGYA GRAND TOSERBA</v>
          </cell>
          <cell r="C678">
            <v>6491135.0000000009</v>
          </cell>
        </row>
        <row r="679">
          <cell r="A679" t="str">
            <v>C0487</v>
          </cell>
          <cell r="B679" t="str">
            <v>YOGYA SILIWANGI TOSERBA</v>
          </cell>
          <cell r="C679">
            <v>1024075.8181818182</v>
          </cell>
        </row>
        <row r="680">
          <cell r="A680" t="str">
            <v>C0488</v>
          </cell>
          <cell r="B680" t="str">
            <v>YOGYA MAJALENGKA TOSERBA</v>
          </cell>
          <cell r="C680">
            <v>6985913.4545454551</v>
          </cell>
        </row>
        <row r="681">
          <cell r="A681" t="str">
            <v>C0490</v>
          </cell>
          <cell r="B681" t="str">
            <v>YOGYA INDRAMAYU TOSERBA</v>
          </cell>
          <cell r="C681">
            <v>2266375.9090909092</v>
          </cell>
        </row>
        <row r="682">
          <cell r="A682" t="str">
            <v>C0491</v>
          </cell>
          <cell r="B682" t="str">
            <v>YOGYA KUNINGAN TOSERBA</v>
          </cell>
          <cell r="C682">
            <v>6102960.4545454541</v>
          </cell>
        </row>
        <row r="683">
          <cell r="A683" t="str">
            <v>C0498</v>
          </cell>
          <cell r="B683" t="str">
            <v>GRIYA JAMBLANG TOSERBA</v>
          </cell>
          <cell r="C683">
            <v>1464495.2272727273</v>
          </cell>
        </row>
        <row r="684">
          <cell r="A684" t="str">
            <v>C0499</v>
          </cell>
          <cell r="B684" t="str">
            <v>YOGYA JATIBARANG TOSERBA</v>
          </cell>
          <cell r="C684">
            <v>3395284.2272727275</v>
          </cell>
        </row>
        <row r="685">
          <cell r="A685" t="str">
            <v>C0501</v>
          </cell>
          <cell r="B685" t="str">
            <v>GRIYA KUNINGAN TOSERBA</v>
          </cell>
          <cell r="C685">
            <v>587909.04545454541</v>
          </cell>
        </row>
        <row r="686">
          <cell r="A686" t="str">
            <v>C0507</v>
          </cell>
          <cell r="B686" t="str">
            <v>YOGYA SUMBER TOSERBA</v>
          </cell>
          <cell r="C686">
            <v>1144463.6363636365</v>
          </cell>
        </row>
        <row r="687">
          <cell r="A687" t="str">
            <v>C0794</v>
          </cell>
          <cell r="B687" t="str">
            <v>ANUGRAH SWALAYAN Krg Sembung</v>
          </cell>
          <cell r="C687">
            <v>1257357.2727272729</v>
          </cell>
        </row>
        <row r="688">
          <cell r="A688" t="str">
            <v>C0834</v>
          </cell>
          <cell r="B688" t="str">
            <v>BERLIAN TOSERBA</v>
          </cell>
          <cell r="C688">
            <v>272638.63636363635</v>
          </cell>
        </row>
        <row r="689">
          <cell r="A689" t="str">
            <v>C1040</v>
          </cell>
          <cell r="B689" t="str">
            <v>CICIH, TK Celancang</v>
          </cell>
          <cell r="C689">
            <v>4379554.0909090918</v>
          </cell>
        </row>
        <row r="690">
          <cell r="A690" t="str">
            <v>C1126</v>
          </cell>
          <cell r="B690" t="str">
            <v>YANA, TK Krg Ampel (kosmetik)</v>
          </cell>
          <cell r="C690">
            <v>-160984.09090909091</v>
          </cell>
        </row>
        <row r="691">
          <cell r="A691" t="str">
            <v>C1128</v>
          </cell>
          <cell r="B691" t="str">
            <v>YULI, TK Krg Ampel (kosmetik)</v>
          </cell>
          <cell r="C691">
            <v>-661514.09090909082</v>
          </cell>
        </row>
        <row r="692">
          <cell r="A692" t="str">
            <v>C1209</v>
          </cell>
          <cell r="B692" t="str">
            <v>PRINTIS, TK</v>
          </cell>
          <cell r="C692">
            <v>659056.36363636353</v>
          </cell>
        </row>
        <row r="693">
          <cell r="A693" t="str">
            <v>C1260</v>
          </cell>
          <cell r="B693" t="str">
            <v>REFA BUSANA (RB/FM)</v>
          </cell>
          <cell r="C693">
            <v>1532449</v>
          </cell>
        </row>
        <row r="694">
          <cell r="A694" t="str">
            <v>C1375</v>
          </cell>
          <cell r="B694" t="str">
            <v>MUTIARA 99, TK</v>
          </cell>
          <cell r="C694">
            <v>317863.63636363635</v>
          </cell>
        </row>
        <row r="695">
          <cell r="A695" t="str">
            <v>C1426</v>
          </cell>
          <cell r="B695" t="str">
            <v>BARU, TK Haurgeulis</v>
          </cell>
          <cell r="C695">
            <v>2646666.772727272</v>
          </cell>
        </row>
        <row r="696">
          <cell r="A696" t="str">
            <v>C1430</v>
          </cell>
          <cell r="B696" t="str">
            <v>KURDI, TK</v>
          </cell>
          <cell r="C696">
            <v>317863.63636363635</v>
          </cell>
        </row>
        <row r="697">
          <cell r="A697" t="str">
            <v>C1538</v>
          </cell>
          <cell r="B697" t="str">
            <v>HJ.AAN (Kosmetik), TK Kr Ampel</v>
          </cell>
          <cell r="C697">
            <v>-486271.31818181823</v>
          </cell>
        </row>
        <row r="698">
          <cell r="A698" t="str">
            <v>C1757</v>
          </cell>
          <cell r="B698" t="str">
            <v>YOGYA PATROL TOSERBA</v>
          </cell>
          <cell r="C698">
            <v>3669768.6818181821</v>
          </cell>
        </row>
        <row r="699">
          <cell r="A699" t="str">
            <v>C1785</v>
          </cell>
          <cell r="B699" t="str">
            <v>ASIA TRITUNGGAL JAYA,  PT</v>
          </cell>
          <cell r="C699">
            <v>16249618.363636365</v>
          </cell>
        </row>
        <row r="700">
          <cell r="A700" t="str">
            <v>C1888</v>
          </cell>
          <cell r="B700" t="str">
            <v>YOGYA CHERBONJUNCTION</v>
          </cell>
          <cell r="C700">
            <v>3662919.9090909092</v>
          </cell>
        </row>
        <row r="701">
          <cell r="A701" t="str">
            <v>C3009</v>
          </cell>
          <cell r="B701" t="str">
            <v>BEAUTY COSMETIC</v>
          </cell>
          <cell r="C701">
            <v>50973523.909090921</v>
          </cell>
        </row>
        <row r="702">
          <cell r="A702" t="str">
            <v>C3063</v>
          </cell>
          <cell r="B702" t="str">
            <v>ENGGAL WARAS, TK</v>
          </cell>
          <cell r="C702">
            <v>-161984.31818181818</v>
          </cell>
        </row>
        <row r="703">
          <cell r="A703" t="str">
            <v>C3087</v>
          </cell>
          <cell r="B703" t="str">
            <v>SUGENG PRIHATIN, TK</v>
          </cell>
          <cell r="C703">
            <v>576001948.8181814</v>
          </cell>
        </row>
        <row r="704">
          <cell r="A704" t="str">
            <v>C5065</v>
          </cell>
          <cell r="B704" t="str">
            <v>SENANG SEHAT, TK</v>
          </cell>
          <cell r="C704">
            <v>687309.54545454553</v>
          </cell>
        </row>
        <row r="705">
          <cell r="A705" t="str">
            <v>C6018</v>
          </cell>
          <cell r="B705" t="str">
            <v>ROSALIA, TK Awn</v>
          </cell>
          <cell r="C705">
            <v>2338913.1818181821</v>
          </cell>
        </row>
        <row r="706">
          <cell r="A706" t="str">
            <v>C6038</v>
          </cell>
          <cell r="B706" t="str">
            <v>PUTRA AFIAT, TK Cikijing</v>
          </cell>
          <cell r="C706">
            <v>22637806.90909091</v>
          </cell>
        </row>
        <row r="707">
          <cell r="A707" t="str">
            <v>C7033</v>
          </cell>
          <cell r="B707" t="str">
            <v>KANA TOWI KOSMETIK, TK</v>
          </cell>
          <cell r="C707">
            <v>317863.63636363635</v>
          </cell>
        </row>
        <row r="708">
          <cell r="A708" t="str">
            <v>C8102</v>
          </cell>
          <cell r="B708" t="str">
            <v>YUDI KOSMETIK, TK</v>
          </cell>
          <cell r="C708">
            <v>2781713.1818181816</v>
          </cell>
        </row>
        <row r="709">
          <cell r="A709" t="str">
            <v>C8269</v>
          </cell>
          <cell r="B709" t="str">
            <v>ANEKA SANDANG (DD)</v>
          </cell>
          <cell r="C709">
            <v>178926.13636363638</v>
          </cell>
        </row>
        <row r="710">
          <cell r="A710" t="str">
            <v>C8323</v>
          </cell>
          <cell r="B710" t="str">
            <v>AGUS, TK</v>
          </cell>
          <cell r="C710">
            <v>194199.54545454547</v>
          </cell>
        </row>
        <row r="711">
          <cell r="A711" t="str">
            <v>H0001</v>
          </cell>
          <cell r="B711" t="str">
            <v>WILSHA</v>
          </cell>
          <cell r="C711">
            <v>14715004.363636365</v>
          </cell>
        </row>
        <row r="712">
          <cell r="A712" t="str">
            <v>H0002</v>
          </cell>
          <cell r="B712" t="str">
            <v>AL-MAIRA</v>
          </cell>
          <cell r="C712">
            <v>6270836.1818181826</v>
          </cell>
        </row>
        <row r="713">
          <cell r="A713" t="str">
            <v>H0003</v>
          </cell>
          <cell r="B713" t="str">
            <v>CV AGUNG</v>
          </cell>
          <cell r="C713">
            <v>14945949</v>
          </cell>
        </row>
        <row r="714">
          <cell r="A714" t="str">
            <v>H0004</v>
          </cell>
          <cell r="B714" t="str">
            <v>DAISY HOUSE OF BEAUTY</v>
          </cell>
          <cell r="C714">
            <v>6560294.1818181826</v>
          </cell>
        </row>
        <row r="715">
          <cell r="A715" t="str">
            <v>H0005</v>
          </cell>
          <cell r="B715" t="str">
            <v>GAMILA</v>
          </cell>
          <cell r="C715">
            <v>774853.18181818188</v>
          </cell>
        </row>
        <row r="716">
          <cell r="A716" t="str">
            <v>H0006</v>
          </cell>
          <cell r="B716" t="str">
            <v>LIONA KOSMETIK</v>
          </cell>
          <cell r="C716">
            <v>5063837.0909090899</v>
          </cell>
        </row>
        <row r="717">
          <cell r="A717" t="str">
            <v>H0007</v>
          </cell>
          <cell r="B717" t="str">
            <v xml:space="preserve">ERNI JAYA </v>
          </cell>
          <cell r="C717">
            <v>861897.27272727271</v>
          </cell>
        </row>
        <row r="718">
          <cell r="A718" t="str">
            <v>H0008</v>
          </cell>
          <cell r="B718" t="str">
            <v>NONNA SKIN CARE</v>
          </cell>
          <cell r="C718">
            <v>6215209.7272727294</v>
          </cell>
        </row>
        <row r="719">
          <cell r="A719" t="str">
            <v>H0010</v>
          </cell>
          <cell r="B719" t="str">
            <v>ALIFIA COSMETIK</v>
          </cell>
          <cell r="C719">
            <v>1406375.8181818184</v>
          </cell>
        </row>
        <row r="720">
          <cell r="A720" t="str">
            <v>H0011</v>
          </cell>
          <cell r="B720" t="str">
            <v>TOKO ONI</v>
          </cell>
          <cell r="C720">
            <v>1038808.636363636</v>
          </cell>
        </row>
        <row r="721">
          <cell r="A721" t="str">
            <v>H0012</v>
          </cell>
          <cell r="B721" t="str">
            <v xml:space="preserve">KHARISNA </v>
          </cell>
          <cell r="C721">
            <v>466200.00000000012</v>
          </cell>
        </row>
        <row r="722">
          <cell r="A722" t="str">
            <v>H0014</v>
          </cell>
          <cell r="B722" t="str">
            <v xml:space="preserve">MAURA KOSMETIK </v>
          </cell>
          <cell r="C722">
            <v>2031542</v>
          </cell>
        </row>
        <row r="723">
          <cell r="A723" t="str">
            <v>H0017</v>
          </cell>
          <cell r="B723" t="str">
            <v xml:space="preserve">ARFAIZ KOSMETIK </v>
          </cell>
          <cell r="C723">
            <v>5073259.3636363633</v>
          </cell>
        </row>
        <row r="724">
          <cell r="A724" t="str">
            <v>H0018</v>
          </cell>
          <cell r="B724" t="str">
            <v>APHRODILE</v>
          </cell>
          <cell r="C724">
            <v>1165338.2727272727</v>
          </cell>
        </row>
        <row r="725">
          <cell r="A725" t="str">
            <v>H0020</v>
          </cell>
          <cell r="B725" t="str">
            <v xml:space="preserve">KINANTI </v>
          </cell>
          <cell r="C725">
            <v>2232173.1818181821</v>
          </cell>
        </row>
        <row r="726">
          <cell r="A726" t="str">
            <v>H0023</v>
          </cell>
          <cell r="B726" t="str">
            <v xml:space="preserve">RESTA STORE </v>
          </cell>
          <cell r="C726">
            <v>317863.63636363635</v>
          </cell>
        </row>
        <row r="727">
          <cell r="A727" t="str">
            <v>H0029</v>
          </cell>
          <cell r="B727" t="str">
            <v>TOKO LARISSA 2</v>
          </cell>
          <cell r="C727">
            <v>684163.63636363647</v>
          </cell>
        </row>
        <row r="728">
          <cell r="A728" t="str">
            <v>H0030</v>
          </cell>
          <cell r="B728" t="str">
            <v>TIGA PUTRI KOSMETIK</v>
          </cell>
          <cell r="C728">
            <v>730063.63636363635</v>
          </cell>
        </row>
        <row r="729">
          <cell r="A729" t="str">
            <v>HMS002807</v>
          </cell>
          <cell r="B729" t="str">
            <v>YY TK</v>
          </cell>
          <cell r="C729">
            <v>116600.00000000001</v>
          </cell>
        </row>
        <row r="730">
          <cell r="A730" t="str">
            <v>HMS003121</v>
          </cell>
          <cell r="B730" t="str">
            <v>NAZWA COSMETIK</v>
          </cell>
          <cell r="C730">
            <v>1054217.9090909089</v>
          </cell>
        </row>
        <row r="731">
          <cell r="A731" t="str">
            <v>HMS003225</v>
          </cell>
          <cell r="B731" t="str">
            <v>DEDE FARMA 2</v>
          </cell>
          <cell r="C731">
            <v>3866878.3636363633</v>
          </cell>
        </row>
        <row r="732">
          <cell r="A732" t="str">
            <v>HMS003287</v>
          </cell>
          <cell r="B732" t="str">
            <v>TK NABILA JAYA  2</v>
          </cell>
          <cell r="C732">
            <v>403322.72727272729</v>
          </cell>
        </row>
        <row r="733">
          <cell r="A733" t="str">
            <v>HMS003301</v>
          </cell>
          <cell r="B733" t="str">
            <v>3D KOSMETIK</v>
          </cell>
          <cell r="C733">
            <v>7585969.0909090936</v>
          </cell>
        </row>
        <row r="734">
          <cell r="A734" t="str">
            <v>HMS003324</v>
          </cell>
          <cell r="B734" t="str">
            <v>APOTEK VICTORY</v>
          </cell>
          <cell r="C734">
            <v>334497.72727272729</v>
          </cell>
        </row>
        <row r="735">
          <cell r="A735" t="str">
            <v>HMS003360</v>
          </cell>
          <cell r="B735" t="str">
            <v>RUMAH KADO</v>
          </cell>
          <cell r="C735">
            <v>34132170.272727281</v>
          </cell>
        </row>
        <row r="736">
          <cell r="A736" t="str">
            <v>IN0084</v>
          </cell>
          <cell r="B736">
            <v>61</v>
          </cell>
          <cell r="C736">
            <v>-375000</v>
          </cell>
        </row>
        <row r="737">
          <cell r="A737" t="str">
            <v>IN0094</v>
          </cell>
          <cell r="B737" t="str">
            <v>ASIA</v>
          </cell>
          <cell r="C737">
            <v>4944363.6818181816</v>
          </cell>
        </row>
        <row r="738">
          <cell r="A738" t="str">
            <v>IN0188</v>
          </cell>
          <cell r="B738" t="str">
            <v>APOTIK REZEKI FARMA</v>
          </cell>
          <cell r="C738">
            <v>5102236.3636363642</v>
          </cell>
        </row>
        <row r="739">
          <cell r="A739" t="str">
            <v>IN0219</v>
          </cell>
          <cell r="B739" t="str">
            <v>SUN SUN</v>
          </cell>
          <cell r="C739">
            <v>4527815.7272727275</v>
          </cell>
        </row>
        <row r="740">
          <cell r="A740" t="str">
            <v>IN0534</v>
          </cell>
          <cell r="B740" t="str">
            <v>CANTIK KOSMETIK</v>
          </cell>
          <cell r="C740">
            <v>375079.09090909094</v>
          </cell>
        </row>
        <row r="741">
          <cell r="A741" t="str">
            <v>IN1113</v>
          </cell>
          <cell r="B741" t="str">
            <v>MAKMUR JAYA</v>
          </cell>
          <cell r="C741">
            <v>1506138.2727272734</v>
          </cell>
        </row>
        <row r="742">
          <cell r="A742" t="str">
            <v>IN1114</v>
          </cell>
          <cell r="B742" t="str">
            <v>MAKMUR JAYA</v>
          </cell>
          <cell r="C742">
            <v>254341.36363636371</v>
          </cell>
        </row>
        <row r="743">
          <cell r="A743" t="str">
            <v>IN1235</v>
          </cell>
          <cell r="B743" t="str">
            <v>BEAUTY 27 CILEDUG</v>
          </cell>
          <cell r="C743">
            <v>1645996.9999999998</v>
          </cell>
        </row>
        <row r="744">
          <cell r="A744" t="str">
            <v>IN1360</v>
          </cell>
          <cell r="B744" t="str">
            <v>LARISSA</v>
          </cell>
          <cell r="C744">
            <v>7542117.7272727294</v>
          </cell>
        </row>
        <row r="745">
          <cell r="A745" t="str">
            <v>IN1362</v>
          </cell>
          <cell r="B745" t="str">
            <v>AA KOSMETIK</v>
          </cell>
          <cell r="C745">
            <v>661151.09090909082</v>
          </cell>
        </row>
        <row r="746">
          <cell r="A746" t="str">
            <v>MC0008</v>
          </cell>
          <cell r="B746" t="str">
            <v>SELAMAT CIKIDANG</v>
          </cell>
          <cell r="C746">
            <v>1734859.0454545456</v>
          </cell>
        </row>
        <row r="747">
          <cell r="A747" t="str">
            <v>MC0010</v>
          </cell>
          <cell r="B747" t="str">
            <v>SELAMAT GROSIR II</v>
          </cell>
          <cell r="C747">
            <v>838564.77272727259</v>
          </cell>
        </row>
        <row r="748">
          <cell r="A748" t="str">
            <v>MC0011</v>
          </cell>
          <cell r="B748" t="str">
            <v>SELAMAT CIRANJANG</v>
          </cell>
          <cell r="C748">
            <v>806944.09090909094</v>
          </cell>
        </row>
        <row r="749">
          <cell r="A749" t="str">
            <v>MC0012</v>
          </cell>
          <cell r="B749" t="str">
            <v>SELAMAT PASIR HAYAM</v>
          </cell>
          <cell r="C749">
            <v>199800.00000000006</v>
          </cell>
        </row>
        <row r="750">
          <cell r="A750" t="str">
            <v>MC0014</v>
          </cell>
          <cell r="B750" t="str">
            <v>YOGYA CIANJUR</v>
          </cell>
          <cell r="C750">
            <v>5664502</v>
          </cell>
        </row>
        <row r="751">
          <cell r="A751" t="str">
            <v>MC0016</v>
          </cell>
          <cell r="B751" t="str">
            <v>MITRA GROSIR CIANJUR</v>
          </cell>
          <cell r="C751">
            <v>1234293.4090909092</v>
          </cell>
        </row>
        <row r="752">
          <cell r="A752" t="str">
            <v>MC0051</v>
          </cell>
          <cell r="B752" t="str">
            <v>SELAMAT CIDAUN</v>
          </cell>
          <cell r="C752">
            <v>-15151.5</v>
          </cell>
        </row>
        <row r="753">
          <cell r="A753" t="str">
            <v>MC0070</v>
          </cell>
          <cell r="B753" t="str">
            <v>SELAMAT CIMANGKOK</v>
          </cell>
          <cell r="C753">
            <v>600308.18181818188</v>
          </cell>
        </row>
        <row r="754">
          <cell r="A754" t="str">
            <v>MC0073</v>
          </cell>
          <cell r="B754" t="str">
            <v>YOGYA CIRANJANG</v>
          </cell>
          <cell r="C754">
            <v>3536312.8636363638</v>
          </cell>
        </row>
        <row r="755">
          <cell r="A755" t="str">
            <v>MHS000282</v>
          </cell>
          <cell r="B755" t="str">
            <v>MAMAH AJENG</v>
          </cell>
          <cell r="C755">
            <v>198382</v>
          </cell>
        </row>
        <row r="756">
          <cell r="A756" t="str">
            <v>MHS000341</v>
          </cell>
          <cell r="B756" t="str">
            <v>SR TOKO (H DADANG)</v>
          </cell>
          <cell r="C756">
            <v>66600.000000000015</v>
          </cell>
        </row>
        <row r="757">
          <cell r="A757" t="str">
            <v>MHS000380</v>
          </cell>
          <cell r="B757" t="str">
            <v>SULIS TOKO</v>
          </cell>
          <cell r="C757">
            <v>159577.04545454547</v>
          </cell>
        </row>
        <row r="758">
          <cell r="A758" t="str">
            <v>MHS000382</v>
          </cell>
          <cell r="B758" t="str">
            <v>APOTEK AZMI</v>
          </cell>
          <cell r="C758">
            <v>238399.54545454547</v>
          </cell>
        </row>
        <row r="759">
          <cell r="A759" t="str">
            <v>MHS000399</v>
          </cell>
          <cell r="B759" t="str">
            <v>BAROKAH METRO</v>
          </cell>
          <cell r="C759">
            <v>374154</v>
          </cell>
        </row>
        <row r="760">
          <cell r="A760" t="str">
            <v>MHS000417</v>
          </cell>
          <cell r="B760" t="str">
            <v>APOTEK JOGLO FARMA</v>
          </cell>
          <cell r="C760">
            <v>444605</v>
          </cell>
        </row>
        <row r="761">
          <cell r="A761" t="str">
            <v>MHS000433</v>
          </cell>
          <cell r="B761" t="str">
            <v>TK RISYANTI</v>
          </cell>
          <cell r="C761">
            <v>1066315.9090909089</v>
          </cell>
        </row>
        <row r="762">
          <cell r="A762" t="str">
            <v>MHS000455</v>
          </cell>
          <cell r="B762" t="str">
            <v>FARHAN TOKO</v>
          </cell>
          <cell r="C762">
            <v>1406389.4545454544</v>
          </cell>
        </row>
        <row r="763">
          <cell r="A763" t="str">
            <v>MHS000548</v>
          </cell>
          <cell r="B763" t="str">
            <v>SUMBER JAYA PLASTIK</v>
          </cell>
          <cell r="C763">
            <v>1692161.2727272729</v>
          </cell>
        </row>
        <row r="764">
          <cell r="A764" t="str">
            <v>MHS000559</v>
          </cell>
          <cell r="B764" t="str">
            <v>SEGER FARMA.TOKO</v>
          </cell>
          <cell r="C764">
            <v>1045310.7272727272</v>
          </cell>
        </row>
        <row r="765">
          <cell r="A765" t="str">
            <v>MHS000582</v>
          </cell>
          <cell r="B765" t="str">
            <v>CV. MIKHAIL SENTOSA PRATAMA</v>
          </cell>
          <cell r="C765">
            <v>21601066.909090906</v>
          </cell>
        </row>
        <row r="766">
          <cell r="A766" t="str">
            <v>MHS000585</v>
          </cell>
          <cell r="B766" t="str">
            <v>NYANTAI.TOKO</v>
          </cell>
          <cell r="C766">
            <v>25169216.045454547</v>
          </cell>
        </row>
        <row r="767">
          <cell r="A767" t="str">
            <v>MHS000586</v>
          </cell>
          <cell r="B767" t="str">
            <v>SERASI KOCMETIK.TOKO</v>
          </cell>
          <cell r="C767">
            <v>2471589.8181818179</v>
          </cell>
        </row>
        <row r="768">
          <cell r="A768" t="str">
            <v>MHS000617</v>
          </cell>
          <cell r="B768" t="str">
            <v>MEKAR JAYA KOSMETIK</v>
          </cell>
          <cell r="C768">
            <v>58200</v>
          </cell>
        </row>
        <row r="769">
          <cell r="A769" t="str">
            <v>MHS000647</v>
          </cell>
          <cell r="B769" t="str">
            <v>ICA KOSMETIK</v>
          </cell>
          <cell r="C769">
            <v>1311143.0909090908</v>
          </cell>
        </row>
        <row r="770">
          <cell r="A770" t="str">
            <v>MHS000656</v>
          </cell>
          <cell r="B770" t="str">
            <v>RESTU IBU 2 (HASAN)</v>
          </cell>
          <cell r="C770">
            <v>1145950</v>
          </cell>
        </row>
        <row r="771">
          <cell r="A771" t="str">
            <v>MHS000662</v>
          </cell>
          <cell r="B771" t="str">
            <v>DOA IBU TOKO</v>
          </cell>
          <cell r="C771">
            <v>542100</v>
          </cell>
        </row>
        <row r="772">
          <cell r="A772" t="str">
            <v>MHS000665</v>
          </cell>
          <cell r="B772" t="str">
            <v>FAFA LEPONG</v>
          </cell>
          <cell r="C772">
            <v>1183995</v>
          </cell>
        </row>
        <row r="773">
          <cell r="A773" t="str">
            <v>MHS000670</v>
          </cell>
          <cell r="B773" t="str">
            <v>TK NIZAM COSMETIK</v>
          </cell>
          <cell r="C773">
            <v>4793836.3636363633</v>
          </cell>
        </row>
        <row r="774">
          <cell r="A774" t="str">
            <v>MHS000834</v>
          </cell>
          <cell r="B774" t="str">
            <v>AP ASIMA FARMA</v>
          </cell>
          <cell r="C774">
            <v>23016763.090909094</v>
          </cell>
        </row>
        <row r="775">
          <cell r="A775" t="str">
            <v>MHS000838</v>
          </cell>
          <cell r="B775" t="str">
            <v>APOTEK ZAYAN FARMA</v>
          </cell>
          <cell r="C775">
            <v>2841739.9999999995</v>
          </cell>
        </row>
        <row r="776">
          <cell r="A776" t="str">
            <v>MHS000894</v>
          </cell>
          <cell r="B776" t="str">
            <v>CAHAYA SUKSES SEJAHTERA</v>
          </cell>
          <cell r="C776">
            <v>89609503.909090906</v>
          </cell>
        </row>
        <row r="777">
          <cell r="A777" t="str">
            <v>MHS000898</v>
          </cell>
          <cell r="B777" t="str">
            <v>CANTIK KOSMETIK</v>
          </cell>
          <cell r="C777">
            <v>-349650.00000000006</v>
          </cell>
        </row>
        <row r="778">
          <cell r="A778" t="str">
            <v>MHS000931</v>
          </cell>
          <cell r="B778" t="str">
            <v>DELLA COSMETIK</v>
          </cell>
          <cell r="C778">
            <v>1370218.2272727271</v>
          </cell>
        </row>
        <row r="779">
          <cell r="A779" t="str">
            <v>MHS000932</v>
          </cell>
          <cell r="B779" t="str">
            <v>DEV COSMETIK</v>
          </cell>
          <cell r="C779">
            <v>3236170.4999999995</v>
          </cell>
        </row>
        <row r="780">
          <cell r="A780" t="str">
            <v>MHS000965</v>
          </cell>
          <cell r="B780" t="str">
            <v>GAIL GROSIR - CIDAHU</v>
          </cell>
          <cell r="C780">
            <v>603210.36363636365</v>
          </cell>
        </row>
        <row r="781">
          <cell r="A781" t="str">
            <v>MHS001022</v>
          </cell>
          <cell r="B781" t="str">
            <v>ISTIJABAH TOKO</v>
          </cell>
          <cell r="C781">
            <v>2208169.0000000005</v>
          </cell>
        </row>
        <row r="782">
          <cell r="A782" t="str">
            <v>MHS001076</v>
          </cell>
          <cell r="B782" t="str">
            <v>MEGAH JAYA TOKO</v>
          </cell>
          <cell r="C782">
            <v>35183821.909090921</v>
          </cell>
        </row>
        <row r="783">
          <cell r="A783" t="str">
            <v>MHS001081</v>
          </cell>
          <cell r="B783" t="str">
            <v>MERDEKA KOSMETIK</v>
          </cell>
          <cell r="C783">
            <v>678108.81818181812</v>
          </cell>
        </row>
        <row r="784">
          <cell r="A784" t="str">
            <v>MHS001121</v>
          </cell>
          <cell r="B784" t="str">
            <v>PARADISE COSMETIC</v>
          </cell>
          <cell r="C784">
            <v>3394103.0000000005</v>
          </cell>
        </row>
        <row r="785">
          <cell r="A785" t="str">
            <v>MHS001127</v>
          </cell>
          <cell r="B785" t="str">
            <v>PRATAMA PUTRA JAYA</v>
          </cell>
          <cell r="C785">
            <v>261600</v>
          </cell>
        </row>
        <row r="786">
          <cell r="A786" t="str">
            <v>MHS001164</v>
          </cell>
          <cell r="B786" t="str">
            <v>SALMA KOSMETIK</v>
          </cell>
          <cell r="C786">
            <v>1823967.5</v>
          </cell>
        </row>
        <row r="787">
          <cell r="A787" t="str">
            <v>MHS001180</v>
          </cell>
          <cell r="B787" t="str">
            <v>SEHATI</v>
          </cell>
          <cell r="C787">
            <v>4795258.0000000019</v>
          </cell>
        </row>
        <row r="788">
          <cell r="A788" t="str">
            <v>MHS001197</v>
          </cell>
          <cell r="B788" t="str">
            <v>SINAR MAS</v>
          </cell>
          <cell r="C788">
            <v>14718840.000000004</v>
          </cell>
        </row>
        <row r="789">
          <cell r="A789" t="str">
            <v>MHS001421</v>
          </cell>
          <cell r="B789" t="str">
            <v>BUDI RAHAYU TK</v>
          </cell>
          <cell r="C789">
            <v>195000</v>
          </cell>
        </row>
        <row r="790">
          <cell r="A790" t="str">
            <v>MHS001483</v>
          </cell>
          <cell r="B790" t="str">
            <v>KASIH KOSMETIK</v>
          </cell>
          <cell r="C790">
            <v>3703425.7272727275</v>
          </cell>
        </row>
        <row r="791">
          <cell r="A791" t="str">
            <v>MHS001498</v>
          </cell>
          <cell r="B791" t="str">
            <v>MEKAR JAYA KOSMETIK</v>
          </cell>
          <cell r="C791">
            <v>1713449.5454545454</v>
          </cell>
        </row>
        <row r="792">
          <cell r="A792" t="str">
            <v>MHS001501</v>
          </cell>
          <cell r="B792" t="str">
            <v>METRO 2</v>
          </cell>
          <cell r="C792">
            <v>2650730.3636363633</v>
          </cell>
        </row>
        <row r="793">
          <cell r="A793" t="str">
            <v>MHS001502</v>
          </cell>
          <cell r="B793" t="str">
            <v>METRO TOKO</v>
          </cell>
          <cell r="C793">
            <v>4858832.909090911</v>
          </cell>
        </row>
        <row r="794">
          <cell r="A794" t="str">
            <v>MJN000181</v>
          </cell>
          <cell r="B794" t="str">
            <v>FAMILY BARU</v>
          </cell>
          <cell r="C794">
            <v>3925126.5454545463</v>
          </cell>
        </row>
        <row r="795">
          <cell r="A795" t="str">
            <v>MJN000219</v>
          </cell>
          <cell r="B795" t="str">
            <v>UD SAYANG TK.</v>
          </cell>
          <cell r="C795">
            <v>3760331.5909090908</v>
          </cell>
        </row>
        <row r="796">
          <cell r="A796" t="str">
            <v>MJN1239867</v>
          </cell>
          <cell r="B796" t="str">
            <v>INARA KOSMETIK</v>
          </cell>
          <cell r="C796">
            <v>10778918.318181818</v>
          </cell>
        </row>
        <row r="797">
          <cell r="A797" t="str">
            <v>MJN7739948</v>
          </cell>
          <cell r="B797" t="str">
            <v>TK MEKAR JAYA</v>
          </cell>
          <cell r="C797">
            <v>586709.09090909094</v>
          </cell>
        </row>
        <row r="798">
          <cell r="A798" t="str">
            <v>MS0005</v>
          </cell>
          <cell r="B798" t="str">
            <v>YOGYA SUKABUMI</v>
          </cell>
          <cell r="C798">
            <v>3988192.0909090908</v>
          </cell>
        </row>
        <row r="799">
          <cell r="A799" t="str">
            <v>MS0014</v>
          </cell>
          <cell r="B799" t="str">
            <v>SELAMAT PELABUHAN RATU</v>
          </cell>
          <cell r="C799">
            <v>597309.54545454553</v>
          </cell>
        </row>
        <row r="800">
          <cell r="A800" t="str">
            <v>MS0017</v>
          </cell>
          <cell r="B800" t="str">
            <v>SELAMAT CIKEMBANG</v>
          </cell>
          <cell r="C800">
            <v>673445.45454545459</v>
          </cell>
        </row>
        <row r="801">
          <cell r="A801" t="str">
            <v>MS0048</v>
          </cell>
          <cell r="B801" t="str">
            <v>YOGYA PELABUHAN RATU</v>
          </cell>
          <cell r="C801">
            <v>5361344.7272727266</v>
          </cell>
        </row>
        <row r="802">
          <cell r="A802" t="str">
            <v>PWK-0087-GT</v>
          </cell>
          <cell r="B802" t="str">
            <v>QUEEN KOSMETIK</v>
          </cell>
          <cell r="C802">
            <v>92430387.818181783</v>
          </cell>
        </row>
        <row r="803">
          <cell r="A803" t="str">
            <v>PWK-0091-GT</v>
          </cell>
          <cell r="B803" t="str">
            <v>PERAK KOSMETIK</v>
          </cell>
          <cell r="C803">
            <v>2185271.6363636362</v>
          </cell>
        </row>
        <row r="804">
          <cell r="A804" t="str">
            <v>PWK-0092-GT</v>
          </cell>
          <cell r="B804" t="str">
            <v>ERZA BEAUTY</v>
          </cell>
          <cell r="C804">
            <v>1355098.9090909092</v>
          </cell>
        </row>
        <row r="805">
          <cell r="A805" t="str">
            <v>PWK-0093-GT</v>
          </cell>
          <cell r="B805" t="str">
            <v>VELOVE STORE</v>
          </cell>
          <cell r="C805">
            <v>228155.45454545456</v>
          </cell>
        </row>
        <row r="806">
          <cell r="A806" t="str">
            <v>SBG- 1122-GT</v>
          </cell>
          <cell r="B806" t="str">
            <v>TOKO ASSALAM</v>
          </cell>
          <cell r="C806">
            <v>3210615.5454545454</v>
          </cell>
        </row>
        <row r="807">
          <cell r="A807" t="str">
            <v>SBG-0148-GT</v>
          </cell>
          <cell r="B807" t="str">
            <v>K'SHOP</v>
          </cell>
          <cell r="C807">
            <v>11967492.636363637</v>
          </cell>
        </row>
        <row r="808">
          <cell r="A808" t="str">
            <v>SBG-0149-GT</v>
          </cell>
          <cell r="B808" t="str">
            <v>SERBU COSMETIC</v>
          </cell>
          <cell r="C808">
            <v>211909.09090909091</v>
          </cell>
        </row>
        <row r="809">
          <cell r="A809" t="str">
            <v>SBG-0151-GT</v>
          </cell>
          <cell r="B809" t="str">
            <v>AJIB KOSMETIK</v>
          </cell>
          <cell r="C809">
            <v>1628952.0909090908</v>
          </cell>
        </row>
        <row r="810">
          <cell r="A810" t="str">
            <v>SBG-0152-GT</v>
          </cell>
          <cell r="B810" t="str">
            <v>RAYYAN KOSMETIK</v>
          </cell>
          <cell r="C810">
            <v>9415899.5454545487</v>
          </cell>
        </row>
        <row r="811">
          <cell r="A811" t="str">
            <v>SBG-0153-GT</v>
          </cell>
          <cell r="B811" t="str">
            <v>ANANTA KOSMETIK</v>
          </cell>
          <cell r="C811">
            <v>553084903.63636339</v>
          </cell>
        </row>
        <row r="812">
          <cell r="A812" t="str">
            <v>SBG-0154-GT</v>
          </cell>
          <cell r="B812" t="str">
            <v>PELANGI KOSMETIK</v>
          </cell>
          <cell r="C812">
            <v>13881835.909090912</v>
          </cell>
        </row>
        <row r="813">
          <cell r="A813" t="str">
            <v>SBG-0155-GT</v>
          </cell>
          <cell r="B813" t="str">
            <v>SINDANG RASA PUTRA</v>
          </cell>
          <cell r="C813">
            <v>26251338.545454551</v>
          </cell>
        </row>
        <row r="814">
          <cell r="A814" t="str">
            <v>SBG-0158-GT</v>
          </cell>
          <cell r="B814" t="str">
            <v>APOTEK IDAMAN</v>
          </cell>
          <cell r="C814">
            <v>1128214.6818181816</v>
          </cell>
        </row>
        <row r="815">
          <cell r="A815" t="str">
            <v>SBG-0161-MT</v>
          </cell>
          <cell r="B815" t="str">
            <v>70137_YOGYA GRAND SUBANG</v>
          </cell>
          <cell r="C815">
            <v>4912581.9090909092</v>
          </cell>
        </row>
        <row r="816">
          <cell r="A816" t="str">
            <v>SBG-0162-GT</v>
          </cell>
          <cell r="B816" t="str">
            <v>RAFA KOSMETIK</v>
          </cell>
          <cell r="C816">
            <v>3693020.4545454551</v>
          </cell>
        </row>
        <row r="817">
          <cell r="A817" t="str">
            <v>SBG-0163-GT</v>
          </cell>
          <cell r="B817" t="str">
            <v>CANTIK KOSMETIK</v>
          </cell>
          <cell r="C817">
            <v>3387360.5454545449</v>
          </cell>
        </row>
        <row r="818">
          <cell r="A818" t="str">
            <v>SBG-0166-GT</v>
          </cell>
          <cell r="B818" t="str">
            <v>TOKO HAJI ADIN</v>
          </cell>
          <cell r="C818">
            <v>3353746.6363636367</v>
          </cell>
        </row>
        <row r="819">
          <cell r="A819" t="str">
            <v>SBG-0168-GT</v>
          </cell>
          <cell r="B819" t="str">
            <v>MIMAKE MART</v>
          </cell>
          <cell r="C819">
            <v>9931179.8636363577</v>
          </cell>
        </row>
        <row r="820">
          <cell r="A820" t="str">
            <v>SBG-0169-GT</v>
          </cell>
          <cell r="B820" t="str">
            <v>TOKO KEANU</v>
          </cell>
          <cell r="C820">
            <v>2606454.5454545454</v>
          </cell>
        </row>
        <row r="821">
          <cell r="A821" t="str">
            <v>SBG-0176-GT</v>
          </cell>
          <cell r="B821" t="str">
            <v>TOKO BUNDA</v>
          </cell>
          <cell r="C821">
            <v>1671410.4090909094</v>
          </cell>
        </row>
        <row r="822">
          <cell r="A822" t="str">
            <v>SBG-0177-GT</v>
          </cell>
          <cell r="B822" t="str">
            <v>TOKO HANA KOSMETIK</v>
          </cell>
          <cell r="C822">
            <v>582584.09090909094</v>
          </cell>
        </row>
        <row r="823">
          <cell r="A823" t="str">
            <v>SBG-0179-GT</v>
          </cell>
          <cell r="B823" t="str">
            <v>TOKO CANTIK</v>
          </cell>
          <cell r="C823">
            <v>39601356.545454554</v>
          </cell>
        </row>
        <row r="824">
          <cell r="A824" t="str">
            <v>SBG-1080-GT</v>
          </cell>
          <cell r="B824" t="str">
            <v>TOKO UKES</v>
          </cell>
          <cell r="C824">
            <v>575586</v>
          </cell>
        </row>
        <row r="825">
          <cell r="A825" t="str">
            <v>SBG-1081-GT</v>
          </cell>
          <cell r="B825" t="str">
            <v>PUTRI KOSMETIK</v>
          </cell>
          <cell r="C825">
            <v>1472726.7272727271</v>
          </cell>
        </row>
        <row r="826">
          <cell r="A826" t="str">
            <v>SBG-1091-GT</v>
          </cell>
          <cell r="B826" t="str">
            <v>TOKO ANITA</v>
          </cell>
          <cell r="C826">
            <v>1361180</v>
          </cell>
        </row>
        <row r="827">
          <cell r="A827" t="str">
            <v>SBG-1092-GT</v>
          </cell>
          <cell r="B827" t="str">
            <v>SRI AYU 1</v>
          </cell>
          <cell r="C827">
            <v>11893560.81818182</v>
          </cell>
        </row>
        <row r="828">
          <cell r="A828" t="str">
            <v>SBG-1093-GT</v>
          </cell>
          <cell r="B828" t="str">
            <v>TOKO MERRYN</v>
          </cell>
          <cell r="C828">
            <v>1974518.1818181816</v>
          </cell>
        </row>
        <row r="829">
          <cell r="A829" t="str">
            <v>SBG-1095-GT</v>
          </cell>
          <cell r="B829" t="str">
            <v>PUTRI SHOP</v>
          </cell>
          <cell r="C829">
            <v>1052452.7272727273</v>
          </cell>
        </row>
        <row r="830">
          <cell r="A830" t="str">
            <v>SBG-1098-GT</v>
          </cell>
          <cell r="B830" t="str">
            <v>APOTEK JAYA FARMA</v>
          </cell>
          <cell r="C830">
            <v>535611.81818181823</v>
          </cell>
        </row>
        <row r="831">
          <cell r="A831" t="str">
            <v>SBG-1101-GT</v>
          </cell>
          <cell r="B831" t="str">
            <v>INDAH BEAUTY STORE</v>
          </cell>
          <cell r="C831">
            <v>1121426.3636363635</v>
          </cell>
        </row>
        <row r="832">
          <cell r="A832" t="str">
            <v>SBG-1103-GT</v>
          </cell>
          <cell r="B832" t="str">
            <v>APOTEK ANSHORI</v>
          </cell>
          <cell r="C832">
            <v>1062951.1363636362</v>
          </cell>
        </row>
        <row r="833">
          <cell r="A833" t="str">
            <v>SBG-1104-GT</v>
          </cell>
          <cell r="B833" t="str">
            <v>APOTEK ALKAMIL</v>
          </cell>
          <cell r="C833">
            <v>635727.27272727271</v>
          </cell>
        </row>
        <row r="834">
          <cell r="A834" t="str">
            <v>SBG-1105-GT</v>
          </cell>
          <cell r="B834" t="str">
            <v>WIDIA N.R</v>
          </cell>
          <cell r="C834">
            <v>104625</v>
          </cell>
        </row>
        <row r="835">
          <cell r="A835" t="str">
            <v>SBG-1107-GT</v>
          </cell>
          <cell r="B835" t="str">
            <v>MARTA JAYA</v>
          </cell>
          <cell r="C835">
            <v>490200</v>
          </cell>
        </row>
        <row r="836">
          <cell r="A836" t="str">
            <v>SBG-1113-GT</v>
          </cell>
          <cell r="B836" t="str">
            <v>TOKO SUBUR</v>
          </cell>
          <cell r="C836">
            <v>635727.27272727259</v>
          </cell>
        </row>
        <row r="837">
          <cell r="A837" t="str">
            <v>SBG-1114-GT</v>
          </cell>
          <cell r="B837" t="str">
            <v>TOKO MOTEKAR</v>
          </cell>
          <cell r="C837">
            <v>128583.40909090909</v>
          </cell>
        </row>
        <row r="838">
          <cell r="A838" t="str">
            <v>SBG-1117-GT</v>
          </cell>
          <cell r="B838" t="str">
            <v>KARYA USAHA</v>
          </cell>
          <cell r="C838">
            <v>633983.63636363635</v>
          </cell>
        </row>
        <row r="839">
          <cell r="A839" t="str">
            <v>SBG-1120-GT</v>
          </cell>
          <cell r="B839" t="str">
            <v>BINTANG TIMUR</v>
          </cell>
          <cell r="C839">
            <v>75600</v>
          </cell>
        </row>
        <row r="840">
          <cell r="A840" t="str">
            <v>SBG-1124-GT</v>
          </cell>
          <cell r="B840" t="str">
            <v>GINA KOSMETIK</v>
          </cell>
          <cell r="C840">
            <v>587263.63636363624</v>
          </cell>
        </row>
        <row r="841">
          <cell r="A841" t="str">
            <v>SBG-1128-GT</v>
          </cell>
          <cell r="B841" t="str">
            <v>TOKO ADI DUDUNG</v>
          </cell>
          <cell r="C841">
            <v>8091409.0909090945</v>
          </cell>
        </row>
        <row r="842">
          <cell r="A842" t="str">
            <v>SBG-1130-GT</v>
          </cell>
          <cell r="B842" t="str">
            <v>APOTEK RAKHA</v>
          </cell>
          <cell r="C842">
            <v>768927.27272727271</v>
          </cell>
        </row>
        <row r="843">
          <cell r="A843" t="str">
            <v>SBG-1135-GT</v>
          </cell>
          <cell r="B843" t="str">
            <v>WARUNG DESA</v>
          </cell>
          <cell r="C843">
            <v>317863.63636363635</v>
          </cell>
        </row>
        <row r="844">
          <cell r="A844" t="str">
            <v>SBG-1137-GT</v>
          </cell>
          <cell r="B844" t="str">
            <v>TOKO RENI</v>
          </cell>
          <cell r="C844">
            <v>608429.45454545459</v>
          </cell>
        </row>
        <row r="845">
          <cell r="A845" t="str">
            <v>SBG-1139-GT</v>
          </cell>
          <cell r="B845" t="str">
            <v>APOTEK SENTOSA</v>
          </cell>
          <cell r="C845">
            <v>831169.90909090894</v>
          </cell>
        </row>
        <row r="846">
          <cell r="A846" t="str">
            <v>SBG-1142-GT</v>
          </cell>
          <cell r="B846" t="str">
            <v>TOKO FAIZAL</v>
          </cell>
          <cell r="C846">
            <v>2062559.1818181819</v>
          </cell>
        </row>
        <row r="847">
          <cell r="A847" t="str">
            <v>SBG-1143-GT</v>
          </cell>
          <cell r="B847" t="str">
            <v>HADE KOSMETIK</v>
          </cell>
          <cell r="C847">
            <v>743127.27272727259</v>
          </cell>
        </row>
        <row r="848">
          <cell r="A848" t="str">
            <v>SBG-1144-GT</v>
          </cell>
          <cell r="B848" t="str">
            <v>AIRA KOSMETIK</v>
          </cell>
          <cell r="C848">
            <v>36099225.454545453</v>
          </cell>
        </row>
        <row r="849">
          <cell r="A849" t="str">
            <v>SBG-1145-GT</v>
          </cell>
          <cell r="B849" t="str">
            <v>DUNIA KOSMETIK</v>
          </cell>
          <cell r="C849">
            <v>1066990.9090909089</v>
          </cell>
        </row>
        <row r="850">
          <cell r="A850" t="str">
            <v>SBG-1147-GT</v>
          </cell>
          <cell r="B850" t="str">
            <v>WANA BEAUTY SHOP</v>
          </cell>
          <cell r="C850">
            <v>1925508.9999999998</v>
          </cell>
        </row>
        <row r="851">
          <cell r="A851" t="str">
            <v>SBG-1148-GT</v>
          </cell>
          <cell r="B851" t="str">
            <v>KOPRASI LANUD SURYA DARMA</v>
          </cell>
          <cell r="C851">
            <v>168954</v>
          </cell>
        </row>
        <row r="852">
          <cell r="A852" t="str">
            <v>SBG-1151-GT</v>
          </cell>
          <cell r="B852" t="str">
            <v>TOKO PUTRA HABIB</v>
          </cell>
          <cell r="C852">
            <v>317863.63636363629</v>
          </cell>
        </row>
        <row r="853">
          <cell r="A853" t="str">
            <v>SBG-1155-GT</v>
          </cell>
          <cell r="B853" t="str">
            <v>TOKO ELIYAH KOSMETIK</v>
          </cell>
          <cell r="C853">
            <v>5905010.7272727294</v>
          </cell>
        </row>
        <row r="854">
          <cell r="A854" t="str">
            <v>SBG-1156-GT</v>
          </cell>
          <cell r="B854" t="str">
            <v>TOKO JUJUR</v>
          </cell>
          <cell r="C854">
            <v>270436.36363636365</v>
          </cell>
        </row>
        <row r="855">
          <cell r="A855" t="str">
            <v>SBG-1162-GT</v>
          </cell>
          <cell r="B855" t="str">
            <v>TOKO ANASYA</v>
          </cell>
          <cell r="C855">
            <v>731448.54545454541</v>
          </cell>
        </row>
        <row r="856">
          <cell r="A856" t="str">
            <v>SBG-1166-GT</v>
          </cell>
          <cell r="B856" t="str">
            <v>LAURAMART</v>
          </cell>
          <cell r="C856">
            <v>18542.045454545456</v>
          </cell>
        </row>
        <row r="857">
          <cell r="A857" t="str">
            <v>SBG-1167-GT</v>
          </cell>
          <cell r="B857" t="str">
            <v>TOKO TOBA</v>
          </cell>
          <cell r="C857">
            <v>787242.27272727271</v>
          </cell>
        </row>
        <row r="858">
          <cell r="A858" t="str">
            <v>SBG-1169-GT</v>
          </cell>
          <cell r="B858" t="str">
            <v>TOKO KARYO</v>
          </cell>
          <cell r="C858">
            <v>778193.18181818165</v>
          </cell>
        </row>
        <row r="859">
          <cell r="A859" t="str">
            <v>SBG-1171-GT</v>
          </cell>
          <cell r="B859" t="str">
            <v>TOKO EMAN</v>
          </cell>
          <cell r="C859">
            <v>1308452.7272727271</v>
          </cell>
        </row>
        <row r="860">
          <cell r="A860" t="str">
            <v>SBG-1172-GT</v>
          </cell>
          <cell r="B860" t="str">
            <v>TOKO WARDAH</v>
          </cell>
          <cell r="C860">
            <v>1558508.3636363638</v>
          </cell>
        </row>
        <row r="861">
          <cell r="A861" t="str">
            <v>SBG-1174-GT</v>
          </cell>
          <cell r="B861" t="str">
            <v>TOKO SUMBER ANEKA JAYA</v>
          </cell>
          <cell r="C861">
            <v>2687084.8636363638</v>
          </cell>
        </row>
        <row r="862">
          <cell r="A862" t="str">
            <v>SBG-1177-GT</v>
          </cell>
          <cell r="B862" t="str">
            <v>TOKO BERKAH BEAUTY</v>
          </cell>
          <cell r="C862">
            <v>2672286.9090909092</v>
          </cell>
        </row>
        <row r="863">
          <cell r="A863" t="str">
            <v>SBG-1180-GT</v>
          </cell>
          <cell r="B863" t="str">
            <v>TOKO BERSAMA 2</v>
          </cell>
          <cell r="C863">
            <v>982767.36363636353</v>
          </cell>
        </row>
        <row r="864">
          <cell r="A864" t="str">
            <v>SBG-1181-GT</v>
          </cell>
          <cell r="B864" t="str">
            <v>TOKO RIZKY SUKATANI</v>
          </cell>
          <cell r="C864">
            <v>206500</v>
          </cell>
        </row>
        <row r="865">
          <cell r="A865" t="str">
            <v>SBG-1182-GT</v>
          </cell>
          <cell r="B865" t="str">
            <v>APOTEK SEHAT</v>
          </cell>
          <cell r="C865">
            <v>317863.63636363635</v>
          </cell>
        </row>
        <row r="866">
          <cell r="A866" t="str">
            <v>SBG-1183-GT</v>
          </cell>
          <cell r="B866" t="str">
            <v>TOKO MAGIC KOSMETIK</v>
          </cell>
          <cell r="C866">
            <v>151200</v>
          </cell>
        </row>
        <row r="867">
          <cell r="A867" t="str">
            <v>SBG-1184-GT</v>
          </cell>
          <cell r="B867" t="str">
            <v>AMANDA MART MINIMARKET</v>
          </cell>
          <cell r="C867">
            <v>2134153.6363636362</v>
          </cell>
        </row>
        <row r="868">
          <cell r="A868" t="str">
            <v>SBG-1185-GT</v>
          </cell>
          <cell r="B868" t="str">
            <v>AHI MART</v>
          </cell>
          <cell r="C868">
            <v>161581.40909090909</v>
          </cell>
        </row>
        <row r="869">
          <cell r="A869" t="str">
            <v>SBG-1190-GT</v>
          </cell>
          <cell r="B869" t="str">
            <v>TOKO RAHUP</v>
          </cell>
          <cell r="C869">
            <v>644479.09090909082</v>
          </cell>
        </row>
        <row r="870">
          <cell r="A870" t="str">
            <v>SBG-1192-GT</v>
          </cell>
          <cell r="B870" t="str">
            <v>TOKO AMANDA KOSMETIK</v>
          </cell>
          <cell r="C870">
            <v>301200</v>
          </cell>
        </row>
        <row r="871">
          <cell r="A871" t="str">
            <v>SBG-1193-GT</v>
          </cell>
          <cell r="B871" t="str">
            <v>TOKO ALVIN</v>
          </cell>
          <cell r="C871">
            <v>9479095.4545454532</v>
          </cell>
        </row>
        <row r="872">
          <cell r="A872" t="str">
            <v>SBG-1194-GT</v>
          </cell>
          <cell r="B872" t="str">
            <v>TOKO H ANHAR</v>
          </cell>
          <cell r="C872">
            <v>4325208.1818181835</v>
          </cell>
        </row>
        <row r="873">
          <cell r="A873" t="str">
            <v>SBG-1197-GT</v>
          </cell>
          <cell r="B873" t="str">
            <v>TOKO SINTA COLLECTION</v>
          </cell>
          <cell r="C873">
            <v>515863.63636363635</v>
          </cell>
        </row>
        <row r="874">
          <cell r="A874" t="str">
            <v>SBG-1202-GT</v>
          </cell>
          <cell r="B874" t="str">
            <v>TOKO CANTIK BERKAH SEJAHTERA</v>
          </cell>
          <cell r="C874">
            <v>494462.72727272718</v>
          </cell>
        </row>
        <row r="875">
          <cell r="A875" t="str">
            <v>SBG-1203-GT</v>
          </cell>
          <cell r="B875" t="str">
            <v>TOKO CERIA</v>
          </cell>
          <cell r="C875">
            <v>974695.90909090883</v>
          </cell>
        </row>
        <row r="876">
          <cell r="A876" t="str">
            <v>SBG-1205-GT</v>
          </cell>
          <cell r="B876" t="str">
            <v>SMERI MART</v>
          </cell>
          <cell r="C876">
            <v>159600</v>
          </cell>
        </row>
        <row r="877">
          <cell r="A877" t="str">
            <v>SBG-1209-GT</v>
          </cell>
          <cell r="B877" t="str">
            <v>TOKO MURAH JAYA</v>
          </cell>
          <cell r="C877">
            <v>5085818.1818181807</v>
          </cell>
        </row>
        <row r="878">
          <cell r="A878" t="str">
            <v>SBG-1217-GT</v>
          </cell>
          <cell r="B878" t="str">
            <v>TOKO MANDIRI PLERED</v>
          </cell>
          <cell r="C878">
            <v>133200.00000000003</v>
          </cell>
        </row>
        <row r="879">
          <cell r="A879" t="str">
            <v>SBG-1218-GT</v>
          </cell>
          <cell r="B879" t="str">
            <v>TOKO STRAWBERRY SHOP</v>
          </cell>
          <cell r="C879">
            <v>3785688.6363636367</v>
          </cell>
        </row>
        <row r="880">
          <cell r="A880" t="str">
            <v>SMD001</v>
          </cell>
          <cell r="B880" t="str">
            <v>TOKMA TOSERBA (TANJUNGSARI)</v>
          </cell>
          <cell r="C880">
            <v>1438135.227272728</v>
          </cell>
        </row>
        <row r="881">
          <cell r="A881" t="str">
            <v>SMD-0112-GT</v>
          </cell>
          <cell r="B881" t="str">
            <v>GLOW BEAUTY BAR 1</v>
          </cell>
          <cell r="C881">
            <v>12289854.272727273</v>
          </cell>
        </row>
        <row r="882">
          <cell r="A882" t="str">
            <v>SMD-0113-MT</v>
          </cell>
          <cell r="B882" t="str">
            <v>70145_GRIYA SUMEDANG</v>
          </cell>
          <cell r="C882">
            <v>5187699.2727272734</v>
          </cell>
        </row>
        <row r="883">
          <cell r="A883" t="str">
            <v>SMD-0116-GT</v>
          </cell>
          <cell r="B883" t="str">
            <v>ALUSA KOSMETIK</v>
          </cell>
          <cell r="C883">
            <v>404908.54545454547</v>
          </cell>
        </row>
        <row r="884">
          <cell r="A884" t="str">
            <v>SMD-0117-GT</v>
          </cell>
          <cell r="B884" t="str">
            <v>FITRI ANDANI</v>
          </cell>
          <cell r="C884">
            <v>37535102.181818187</v>
          </cell>
        </row>
        <row r="885">
          <cell r="A885" t="str">
            <v>SMD-0118-GT</v>
          </cell>
          <cell r="B885" t="str">
            <v>ASM KOSMETIK</v>
          </cell>
          <cell r="C885">
            <v>5980892.5909090908</v>
          </cell>
        </row>
        <row r="886">
          <cell r="A886" t="str">
            <v>SMD-0119-GT</v>
          </cell>
          <cell r="B886" t="str">
            <v>ALYA AKSESORIS KOSMETIK</v>
          </cell>
          <cell r="C886">
            <v>3490246.0909090913</v>
          </cell>
        </row>
        <row r="887">
          <cell r="A887" t="str">
            <v>SMD-0120-GT</v>
          </cell>
          <cell r="B887" t="str">
            <v>CV YASMIN BEAUTY</v>
          </cell>
          <cell r="C887">
            <v>521046082.54545468</v>
          </cell>
        </row>
        <row r="888">
          <cell r="A888" t="str">
            <v>SMD-0121-GT</v>
          </cell>
          <cell r="B888" t="str">
            <v>PELANGI KOSMETIK</v>
          </cell>
          <cell r="C888">
            <v>6499440.5454545468</v>
          </cell>
        </row>
        <row r="889">
          <cell r="A889" t="str">
            <v>SMD-0123-GT</v>
          </cell>
          <cell r="B889" t="str">
            <v>ARFA SHOP</v>
          </cell>
          <cell r="C889">
            <v>15169051.09090909</v>
          </cell>
        </row>
        <row r="890">
          <cell r="A890" t="str">
            <v>SMD-0124-GT</v>
          </cell>
          <cell r="B890" t="str">
            <v>TOKO HENDRA</v>
          </cell>
          <cell r="C890">
            <v>3388608.4545454555</v>
          </cell>
        </row>
        <row r="891">
          <cell r="A891" t="str">
            <v>SMD-0125-GT</v>
          </cell>
          <cell r="B891" t="str">
            <v>KEYSHA SHOP</v>
          </cell>
          <cell r="C891">
            <v>2029305</v>
          </cell>
        </row>
        <row r="892">
          <cell r="A892" t="str">
            <v>SMD-0126-GT</v>
          </cell>
          <cell r="B892" t="str">
            <v>TOKO HEGAR</v>
          </cell>
          <cell r="C892">
            <v>787827.27272727259</v>
          </cell>
        </row>
        <row r="893">
          <cell r="A893" t="str">
            <v>SMD-0131-GT</v>
          </cell>
          <cell r="B893" t="str">
            <v>APOTEK MU</v>
          </cell>
          <cell r="C893">
            <v>747190</v>
          </cell>
        </row>
        <row r="894">
          <cell r="A894" t="str">
            <v>SMD-0133-MT</v>
          </cell>
          <cell r="B894" t="str">
            <v>ASIA TOSERBA</v>
          </cell>
          <cell r="C894">
            <v>1500747.8181818181</v>
          </cell>
        </row>
        <row r="895">
          <cell r="A895" t="str">
            <v>SMD-0140-GT</v>
          </cell>
          <cell r="B895" t="str">
            <v>COSMET SITURAJA SUMEDANG</v>
          </cell>
          <cell r="C895">
            <v>1579709.8636363635</v>
          </cell>
        </row>
        <row r="896">
          <cell r="A896" t="str">
            <v>SMD-0143-GT</v>
          </cell>
          <cell r="B896" t="str">
            <v>APOTEK MUTHIA</v>
          </cell>
          <cell r="C896">
            <v>1174059.9090909089</v>
          </cell>
        </row>
        <row r="897">
          <cell r="A897" t="str">
            <v>SMD-0145-GT</v>
          </cell>
          <cell r="B897" t="str">
            <v>NIA COLLECTION</v>
          </cell>
          <cell r="C897">
            <v>121847.72727272726</v>
          </cell>
        </row>
        <row r="898">
          <cell r="A898" t="str">
            <v>SMD-0149-GT</v>
          </cell>
          <cell r="B898" t="str">
            <v>TOKO PUTRI</v>
          </cell>
          <cell r="C898">
            <v>2586716.3181818184</v>
          </cell>
        </row>
        <row r="899">
          <cell r="A899" t="str">
            <v>SMD-0150-GT</v>
          </cell>
          <cell r="B899" t="str">
            <v>APOTEK RIDO FARMA</v>
          </cell>
          <cell r="C899">
            <v>317863.63636363635</v>
          </cell>
        </row>
        <row r="900">
          <cell r="A900" t="str">
            <v>SMD-0151-GT</v>
          </cell>
          <cell r="B900" t="str">
            <v>SUMEGA</v>
          </cell>
          <cell r="C900">
            <v>1296866</v>
          </cell>
        </row>
        <row r="901">
          <cell r="A901" t="str">
            <v>SMD-0154-GT</v>
          </cell>
          <cell r="B901" t="str">
            <v>RK MEDIKA</v>
          </cell>
          <cell r="C901">
            <v>418500.00000000006</v>
          </cell>
        </row>
        <row r="902">
          <cell r="A902" t="str">
            <v>SMD-0155-GT</v>
          </cell>
          <cell r="B902" t="str">
            <v>AINI KOSMETIK</v>
          </cell>
          <cell r="C902">
            <v>1220086.8181818181</v>
          </cell>
        </row>
        <row r="903">
          <cell r="A903" t="str">
            <v>SMD-0156-GT</v>
          </cell>
          <cell r="B903" t="str">
            <v>TOKO KAIRO</v>
          </cell>
          <cell r="C903">
            <v>1828531.6363636362</v>
          </cell>
        </row>
        <row r="904">
          <cell r="A904" t="str">
            <v>SMD-0159-GT</v>
          </cell>
          <cell r="B904" t="str">
            <v>TOKO ONG</v>
          </cell>
          <cell r="C904">
            <v>625200</v>
          </cell>
        </row>
        <row r="905">
          <cell r="A905" t="str">
            <v>SMD-0161-GT</v>
          </cell>
          <cell r="B905" t="str">
            <v>APOTEK DHIYAADARA</v>
          </cell>
          <cell r="C905">
            <v>374181.63636363635</v>
          </cell>
        </row>
        <row r="906">
          <cell r="A906" t="str">
            <v>SMD-0165-GT</v>
          </cell>
          <cell r="B906" t="str">
            <v>LISSYA COSMETICS</v>
          </cell>
          <cell r="C906">
            <v>1289290.9090909089</v>
          </cell>
        </row>
        <row r="907">
          <cell r="A907" t="str">
            <v>SMD-0171-GT</v>
          </cell>
          <cell r="B907" t="str">
            <v>LANGGAN MM</v>
          </cell>
          <cell r="C907">
            <v>3009056.4545454551</v>
          </cell>
        </row>
        <row r="908">
          <cell r="A908" t="str">
            <v>SMD-0174-GT</v>
          </cell>
          <cell r="B908" t="str">
            <v>AKU JUAL MAKEUP</v>
          </cell>
          <cell r="C908">
            <v>6766870</v>
          </cell>
        </row>
        <row r="909">
          <cell r="A909" t="str">
            <v>SMD-0175-GT</v>
          </cell>
          <cell r="B909" t="str">
            <v>GVA  KOSMETIK</v>
          </cell>
          <cell r="C909">
            <v>532499.63636363635</v>
          </cell>
        </row>
        <row r="910">
          <cell r="A910" t="str">
            <v>SMD-0181-GT</v>
          </cell>
          <cell r="B910" t="str">
            <v>DNA KOSMETIK</v>
          </cell>
          <cell r="C910">
            <v>2098190.1818181816</v>
          </cell>
        </row>
        <row r="911">
          <cell r="A911" t="str">
            <v>SMD-0182-GT</v>
          </cell>
          <cell r="B911" t="str">
            <v>T MART</v>
          </cell>
          <cell r="C911">
            <v>124636</v>
          </cell>
        </row>
        <row r="912">
          <cell r="A912" t="str">
            <v>SMD-0184-GT</v>
          </cell>
          <cell r="B912" t="str">
            <v>NAURA KOSMETIK</v>
          </cell>
          <cell r="C912">
            <v>1906407.7272727273</v>
          </cell>
        </row>
        <row r="913">
          <cell r="A913" t="str">
            <v>SMD-0190-GT</v>
          </cell>
          <cell r="B913" t="str">
            <v>TOKO TASYA</v>
          </cell>
          <cell r="C913">
            <v>2462230.3636363642</v>
          </cell>
        </row>
        <row r="914">
          <cell r="A914" t="str">
            <v>SMD-0195-GT</v>
          </cell>
          <cell r="B914" t="str">
            <v>RR SHOP</v>
          </cell>
          <cell r="C914">
            <v>4708846.3636363652</v>
          </cell>
        </row>
        <row r="915">
          <cell r="A915" t="str">
            <v>SMD-0197-GT</v>
          </cell>
          <cell r="B915" t="str">
            <v>WARMEL</v>
          </cell>
          <cell r="C915">
            <v>430800</v>
          </cell>
        </row>
        <row r="916">
          <cell r="A916" t="str">
            <v>SMD-0209-MT</v>
          </cell>
          <cell r="B916" t="str">
            <v>MIKRO MART</v>
          </cell>
          <cell r="C916">
            <v>557150.59090909094</v>
          </cell>
        </row>
        <row r="917">
          <cell r="A917" t="str">
            <v>SMD-0219-GT</v>
          </cell>
          <cell r="B917" t="str">
            <v>TOKO ASEP FIRMAN</v>
          </cell>
          <cell r="C917">
            <v>317863.63636363629</v>
          </cell>
        </row>
        <row r="918">
          <cell r="A918" t="str">
            <v>TC0347</v>
          </cell>
          <cell r="B918" t="str">
            <v>BAROKAH .TK</v>
          </cell>
          <cell r="C918">
            <v>1185178.0909090908</v>
          </cell>
        </row>
        <row r="919">
          <cell r="A919" t="str">
            <v>TC10001</v>
          </cell>
          <cell r="B919" t="str">
            <v>TOKO AMBARY</v>
          </cell>
          <cell r="C919">
            <v>317863.63636363635</v>
          </cell>
        </row>
        <row r="920">
          <cell r="A920" t="str">
            <v>TC1093</v>
          </cell>
          <cell r="B920" t="str">
            <v>RUMAH SKINCARE CIPANAS</v>
          </cell>
          <cell r="C920">
            <v>2141804.9090909092</v>
          </cell>
        </row>
        <row r="921">
          <cell r="A921" t="str">
            <v>TC1094</v>
          </cell>
          <cell r="B921" t="str">
            <v>AZAHRA CIPANAS</v>
          </cell>
          <cell r="C921">
            <v>2355831.2727272729</v>
          </cell>
        </row>
        <row r="922">
          <cell r="A922" t="str">
            <v>TC1096</v>
          </cell>
          <cell r="B922" t="str">
            <v>YOUR CHOICE</v>
          </cell>
          <cell r="C922">
            <v>4139034.8181818184</v>
          </cell>
        </row>
        <row r="923">
          <cell r="A923" t="str">
            <v>TC1097</v>
          </cell>
          <cell r="B923" t="str">
            <v>TO WARUNGKONDANG</v>
          </cell>
          <cell r="C923">
            <v>138800</v>
          </cell>
        </row>
        <row r="924">
          <cell r="A924" t="str">
            <v>TC1099</v>
          </cell>
          <cell r="B924" t="str">
            <v>SERBA MURAH 1</v>
          </cell>
          <cell r="C924">
            <v>3998625</v>
          </cell>
        </row>
        <row r="925">
          <cell r="A925" t="str">
            <v>TC2626</v>
          </cell>
          <cell r="B925" t="str">
            <v>APOTEK SAHABAT</v>
          </cell>
          <cell r="C925">
            <v>63000</v>
          </cell>
        </row>
        <row r="926">
          <cell r="A926" t="str">
            <v>TC2933</v>
          </cell>
          <cell r="B926" t="str">
            <v>TOKO TITIM</v>
          </cell>
          <cell r="C926">
            <v>317863.63636363635</v>
          </cell>
        </row>
        <row r="927">
          <cell r="A927" t="str">
            <v>TC3022</v>
          </cell>
          <cell r="B927" t="str">
            <v>TOKO KS</v>
          </cell>
          <cell r="C927">
            <v>572563.63636363635</v>
          </cell>
        </row>
        <row r="928">
          <cell r="A928" t="str">
            <v>TC3206</v>
          </cell>
          <cell r="B928" t="str">
            <v>AKLEMA KOSMETIK</v>
          </cell>
          <cell r="C928">
            <v>2685570</v>
          </cell>
        </row>
        <row r="929">
          <cell r="A929" t="str">
            <v>TC3207</v>
          </cell>
          <cell r="B929" t="str">
            <v>ANDRI J KOSMETIK</v>
          </cell>
          <cell r="C929">
            <v>584263.63636363647</v>
          </cell>
        </row>
        <row r="930">
          <cell r="A930" t="str">
            <v>TC3226</v>
          </cell>
          <cell r="B930" t="str">
            <v>NAFIKA SKINCARE</v>
          </cell>
          <cell r="C930">
            <v>582861.81818181823</v>
          </cell>
        </row>
        <row r="931">
          <cell r="A931" t="str">
            <v>TC3228</v>
          </cell>
          <cell r="B931" t="str">
            <v>ATENG LEONARDUS. TK</v>
          </cell>
          <cell r="C931">
            <v>636935.63636363635</v>
          </cell>
        </row>
        <row r="932">
          <cell r="A932" t="str">
            <v>TC41061</v>
          </cell>
          <cell r="B932" t="str">
            <v>MIMI SKINCARE</v>
          </cell>
          <cell r="C932">
            <v>1337000</v>
          </cell>
        </row>
        <row r="933">
          <cell r="A933" t="str">
            <v>TC41062</v>
          </cell>
          <cell r="B933" t="str">
            <v>POPULER KOSMETIK</v>
          </cell>
          <cell r="C933">
            <v>1129096.5909090908</v>
          </cell>
        </row>
        <row r="934">
          <cell r="A934" t="str">
            <v>TC41063</v>
          </cell>
          <cell r="B934" t="str">
            <v>TK. FITRI</v>
          </cell>
          <cell r="C934">
            <v>1604400</v>
          </cell>
        </row>
        <row r="935">
          <cell r="A935" t="str">
            <v>TC5205</v>
          </cell>
          <cell r="B935" t="str">
            <v>HANI BEAUTYCARE</v>
          </cell>
          <cell r="C935">
            <v>2536512.1818181816</v>
          </cell>
        </row>
        <row r="936">
          <cell r="A936" t="str">
            <v>TC8524</v>
          </cell>
          <cell r="B936" t="str">
            <v>FAJAR BARU TOKO</v>
          </cell>
          <cell r="C936">
            <v>517450.90909090906</v>
          </cell>
        </row>
        <row r="937">
          <cell r="A937" t="str">
            <v>TC85601</v>
          </cell>
          <cell r="B937" t="str">
            <v>BINTANG TIMUR</v>
          </cell>
          <cell r="C937">
            <v>132443.18181818182</v>
          </cell>
        </row>
        <row r="938">
          <cell r="A938" t="str">
            <v>TC8602</v>
          </cell>
          <cell r="B938" t="str">
            <v>DARMAWAN</v>
          </cell>
          <cell r="C938">
            <v>2482377.1818181816</v>
          </cell>
        </row>
        <row r="939">
          <cell r="A939" t="str">
            <v>TC8605</v>
          </cell>
          <cell r="B939" t="str">
            <v>TOKO CAHAYA KOSMETIK</v>
          </cell>
          <cell r="C939">
            <v>1079554.0909090908</v>
          </cell>
        </row>
        <row r="940">
          <cell r="A940" t="str">
            <v>TC8684</v>
          </cell>
          <cell r="B940" t="str">
            <v>TOKO ARIEF BRAJA MART KOPERASI</v>
          </cell>
          <cell r="C940">
            <v>184685.09090909091</v>
          </cell>
        </row>
        <row r="941">
          <cell r="A941" t="str">
            <v>TS0009</v>
          </cell>
          <cell r="B941" t="str">
            <v>MITRA GROSIR CICURUG</v>
          </cell>
          <cell r="C941">
            <v>4336179.5454545459</v>
          </cell>
        </row>
        <row r="942">
          <cell r="A942" t="str">
            <v>TS0010</v>
          </cell>
          <cell r="B942" t="str">
            <v>MULTI GROSIR TIPAR</v>
          </cell>
          <cell r="C942">
            <v>1364708.3181818184</v>
          </cell>
        </row>
        <row r="943">
          <cell r="A943" t="str">
            <v>TS0011</v>
          </cell>
          <cell r="B943" t="str">
            <v>MITRA GROSIR CIBADAK</v>
          </cell>
          <cell r="C943">
            <v>5019174.5454545459</v>
          </cell>
        </row>
        <row r="944">
          <cell r="A944" t="str">
            <v>TS0015</v>
          </cell>
          <cell r="B944" t="str">
            <v>MULTI GROSIR STASIUN TIMUR</v>
          </cell>
          <cell r="C944">
            <v>2399112.3181818184</v>
          </cell>
        </row>
        <row r="945">
          <cell r="A945" t="str">
            <v>TS0062</v>
          </cell>
          <cell r="B945" t="str">
            <v>MULTI GROSIR CISAAT</v>
          </cell>
          <cell r="C945">
            <v>898886.18181818177</v>
          </cell>
        </row>
        <row r="946">
          <cell r="A946" t="str">
            <v>TS1680</v>
          </cell>
          <cell r="B946" t="str">
            <v>TK.PELANGI</v>
          </cell>
          <cell r="C946">
            <v>1448191.9090909092</v>
          </cell>
        </row>
        <row r="947">
          <cell r="A947" t="str">
            <v>TS2021</v>
          </cell>
          <cell r="B947" t="str">
            <v>TK ABADI KOSMETIK</v>
          </cell>
          <cell r="C947">
            <v>982617.27272727259</v>
          </cell>
        </row>
        <row r="948">
          <cell r="A948" t="str">
            <v>TS2151</v>
          </cell>
          <cell r="B948" t="str">
            <v>TARUNA COSMESTIC</v>
          </cell>
          <cell r="C948">
            <v>-189007.77272727274</v>
          </cell>
        </row>
        <row r="949">
          <cell r="A949" t="str">
            <v>TS2243</v>
          </cell>
          <cell r="B949" t="str">
            <v>TOKO IBU SRI</v>
          </cell>
          <cell r="C949">
            <v>530251.90909090906</v>
          </cell>
        </row>
        <row r="950">
          <cell r="A950" t="str">
            <v>TS2460</v>
          </cell>
          <cell r="B950" t="str">
            <v>APOTEK MAKMUR</v>
          </cell>
          <cell r="C950">
            <v>1385973.6363636365</v>
          </cell>
        </row>
        <row r="951">
          <cell r="A951" t="str">
            <v>TS2505</v>
          </cell>
          <cell r="B951" t="str">
            <v>ZACHRIEL GUDANG</v>
          </cell>
          <cell r="C951">
            <v>69400</v>
          </cell>
        </row>
        <row r="952">
          <cell r="A952" t="str">
            <v>TS3238</v>
          </cell>
          <cell r="B952" t="str">
            <v>TOKO LIDO</v>
          </cell>
          <cell r="C952">
            <v>541454.18181818177</v>
          </cell>
        </row>
        <row r="953">
          <cell r="A953" t="str">
            <v>TS3877</v>
          </cell>
          <cell r="B953" t="str">
            <v>SALUYU</v>
          </cell>
          <cell r="C953">
            <v>7046476.0909090918</v>
          </cell>
        </row>
        <row r="954">
          <cell r="A954" t="str">
            <v>TS4021</v>
          </cell>
          <cell r="B954" t="str">
            <v>MULTI GROSIR CIPELANG</v>
          </cell>
          <cell r="C954">
            <v>846781.36363636365</v>
          </cell>
        </row>
        <row r="955">
          <cell r="A955" t="str">
            <v>TS4052</v>
          </cell>
          <cell r="B955" t="str">
            <v>CV. KAWAIDOLLSHOP KARYA UTAMA</v>
          </cell>
          <cell r="C955">
            <v>154914039.45454544</v>
          </cell>
        </row>
        <row r="956">
          <cell r="A956" t="str">
            <v>TS4054</v>
          </cell>
          <cell r="B956" t="str">
            <v>YENI GO SHOP</v>
          </cell>
          <cell r="C956">
            <v>18981967.909090906</v>
          </cell>
        </row>
        <row r="957">
          <cell r="A957" t="str">
            <v>TS4055</v>
          </cell>
          <cell r="B957" t="str">
            <v>TINE KOSMETIK</v>
          </cell>
          <cell r="C957">
            <v>1547250.4090909092</v>
          </cell>
        </row>
        <row r="958">
          <cell r="A958" t="str">
            <v>TS4070</v>
          </cell>
          <cell r="B958" t="str">
            <v>INAYAH TK</v>
          </cell>
          <cell r="C958">
            <v>1000916.9090909089</v>
          </cell>
        </row>
        <row r="959">
          <cell r="A959" t="str">
            <v>TS4071</v>
          </cell>
          <cell r="B959" t="str">
            <v>ZAMZAM KOSMETIK</v>
          </cell>
          <cell r="C959">
            <v>2830571.2727272739</v>
          </cell>
        </row>
        <row r="960">
          <cell r="A960" t="str">
            <v>TS4072</v>
          </cell>
          <cell r="B960" t="str">
            <v xml:space="preserve">MARYAM KOSMETIK </v>
          </cell>
          <cell r="C960">
            <v>10697046.727272732</v>
          </cell>
        </row>
        <row r="961">
          <cell r="A961" t="str">
            <v>TS4073</v>
          </cell>
          <cell r="B961" t="str">
            <v xml:space="preserve">COS CITY TK </v>
          </cell>
          <cell r="C961">
            <v>3070435.6363636367</v>
          </cell>
        </row>
        <row r="962">
          <cell r="A962" t="str">
            <v>TS4074</v>
          </cell>
          <cell r="B962" t="str">
            <v>LANCAR KOSMETIK</v>
          </cell>
          <cell r="C962">
            <v>9494393.4545454532</v>
          </cell>
        </row>
        <row r="963">
          <cell r="A963" t="str">
            <v>TS4076</v>
          </cell>
          <cell r="B963" t="str">
            <v>FITRIAN SAPUTRA PERMANA (KARYAWAN)</v>
          </cell>
          <cell r="C963">
            <v>235803.63636363635</v>
          </cell>
        </row>
        <row r="964">
          <cell r="A964" t="str">
            <v>TS4078</v>
          </cell>
          <cell r="B964" t="str">
            <v>KOTA RAJA 2</v>
          </cell>
          <cell r="C964">
            <v>8544262.9090909101</v>
          </cell>
        </row>
        <row r="965">
          <cell r="A965" t="str">
            <v>TS4091</v>
          </cell>
          <cell r="B965" t="str">
            <v xml:space="preserve">MUTIARA </v>
          </cell>
          <cell r="C965">
            <v>2412003.4090909096</v>
          </cell>
        </row>
        <row r="966">
          <cell r="A966" t="str">
            <v>TS4092</v>
          </cell>
          <cell r="B966" t="str">
            <v>RD TOSERBA</v>
          </cell>
          <cell r="C966">
            <v>522098.63636363629</v>
          </cell>
        </row>
        <row r="967">
          <cell r="A967" t="str">
            <v>TS4093</v>
          </cell>
          <cell r="B967" t="str">
            <v>TUNIS STORE</v>
          </cell>
          <cell r="C967">
            <v>2687822.1818181812</v>
          </cell>
        </row>
        <row r="968">
          <cell r="A968" t="str">
            <v>TS4094</v>
          </cell>
          <cell r="B968" t="str">
            <v>AVOLLSHOP</v>
          </cell>
          <cell r="C968">
            <v>20604366.909090914</v>
          </cell>
        </row>
        <row r="969">
          <cell r="A969" t="str">
            <v>TS4098</v>
          </cell>
          <cell r="B969" t="str">
            <v>SHILVA FARMA</v>
          </cell>
          <cell r="C969">
            <v>1219287.9090909089</v>
          </cell>
        </row>
        <row r="970">
          <cell r="A970" t="str">
            <v>TS4099</v>
          </cell>
          <cell r="B970" t="str">
            <v>TOKO MUNAJAT COSMETIK</v>
          </cell>
          <cell r="C970">
            <v>1850847.0909090911</v>
          </cell>
        </row>
        <row r="971">
          <cell r="A971" t="str">
            <v>TS41021</v>
          </cell>
          <cell r="B971" t="str">
            <v>MP COSMETIC</v>
          </cell>
          <cell r="C971">
            <v>663437.27272727271</v>
          </cell>
        </row>
        <row r="972">
          <cell r="A972" t="str">
            <v>TS41022</v>
          </cell>
          <cell r="B972" t="str">
            <v>NARYA COSMETIK</v>
          </cell>
          <cell r="C972">
            <v>2807840.1818181821</v>
          </cell>
        </row>
        <row r="973">
          <cell r="A973" t="str">
            <v>TS41024</v>
          </cell>
          <cell r="B973" t="str">
            <v>INUNA YOGA TOYS</v>
          </cell>
          <cell r="C973">
            <v>11466271.363636367</v>
          </cell>
        </row>
        <row r="974">
          <cell r="A974" t="str">
            <v>TS41026</v>
          </cell>
          <cell r="B974" t="str">
            <v>JAYA WIJAYA 2</v>
          </cell>
          <cell r="C974">
            <v>317863.63636363635</v>
          </cell>
        </row>
        <row r="975">
          <cell r="A975" t="str">
            <v>TS4103</v>
          </cell>
          <cell r="B975" t="str">
            <v>LARIS KOSMETIK</v>
          </cell>
          <cell r="C975">
            <v>4435713</v>
          </cell>
        </row>
        <row r="976">
          <cell r="A976" t="str">
            <v>TS41035</v>
          </cell>
          <cell r="B976" t="str">
            <v>SUARA HATI</v>
          </cell>
          <cell r="C976">
            <v>7414842.5454545468</v>
          </cell>
        </row>
        <row r="977">
          <cell r="A977" t="str">
            <v>TS41037</v>
          </cell>
          <cell r="B977" t="str">
            <v>KOTA RAJA SUSU</v>
          </cell>
          <cell r="C977">
            <v>5091922.7727272725</v>
          </cell>
        </row>
        <row r="978">
          <cell r="A978" t="str">
            <v>TS41040</v>
          </cell>
          <cell r="B978" t="str">
            <v>CIBADAK JAYA</v>
          </cell>
          <cell r="C978">
            <v>1277590.9090909092</v>
          </cell>
        </row>
        <row r="979">
          <cell r="A979" t="str">
            <v>TS41055</v>
          </cell>
          <cell r="B979" t="str">
            <v>2 PUTRA</v>
          </cell>
          <cell r="C979">
            <v>798107.18181818177</v>
          </cell>
        </row>
        <row r="980">
          <cell r="A980" t="str">
            <v>TS41058</v>
          </cell>
          <cell r="B980" t="str">
            <v>YUNUS IRFANDI</v>
          </cell>
          <cell r="C980">
            <v>340402.27272727271</v>
          </cell>
        </row>
        <row r="981">
          <cell r="A981" t="str">
            <v>TS4106</v>
          </cell>
          <cell r="B981" t="str">
            <v>TOKO KYON</v>
          </cell>
          <cell r="C981">
            <v>323100</v>
          </cell>
        </row>
        <row r="982">
          <cell r="A982" t="str">
            <v>TS41061</v>
          </cell>
          <cell r="B982" t="str">
            <v>SARAH FAUZIAH</v>
          </cell>
          <cell r="C982">
            <v>382427.45454545453</v>
          </cell>
        </row>
        <row r="983">
          <cell r="A983" t="str">
            <v>TS4108</v>
          </cell>
          <cell r="B983" t="str">
            <v>ALYA KOSMETIK</v>
          </cell>
          <cell r="C983">
            <v>3344204.7272727275</v>
          </cell>
        </row>
        <row r="984">
          <cell r="A984" t="str">
            <v>TS4109</v>
          </cell>
          <cell r="B984" t="str">
            <v xml:space="preserve">WITRI BEAUTY STORE </v>
          </cell>
          <cell r="C984">
            <v>2534974.0909090908</v>
          </cell>
        </row>
        <row r="985">
          <cell r="A985" t="str">
            <v>TS4119</v>
          </cell>
          <cell r="B985" t="str">
            <v>IMAN JAYA (PANGLES)</v>
          </cell>
          <cell r="C985">
            <v>821727.27272727271</v>
          </cell>
        </row>
        <row r="986">
          <cell r="A986" t="str">
            <v>TS4153</v>
          </cell>
          <cell r="B986" t="str">
            <v>NATASYA KOSMETIK</v>
          </cell>
          <cell r="C986">
            <v>291627.27272727276</v>
          </cell>
        </row>
        <row r="987">
          <cell r="A987" t="str">
            <v>TS5050</v>
          </cell>
          <cell r="B987" t="str">
            <v>MIA SONIA WIJAYANTI</v>
          </cell>
          <cell r="C987">
            <v>158931.81818181818</v>
          </cell>
        </row>
        <row r="988">
          <cell r="A988" t="str">
            <v>TS5123</v>
          </cell>
          <cell r="B988" t="str">
            <v>ANUGRAH MART 3</v>
          </cell>
          <cell r="C988">
            <v>230481.36363636365</v>
          </cell>
        </row>
        <row r="989">
          <cell r="A989" t="str">
            <v>TS6004</v>
          </cell>
          <cell r="B989" t="str">
            <v>BERKAH CISAAT</v>
          </cell>
          <cell r="C989">
            <v>196384.09090909091</v>
          </cell>
        </row>
        <row r="990">
          <cell r="A990" t="str">
            <v>TS8489</v>
          </cell>
          <cell r="B990" t="str">
            <v>MULTI GROSIR CIKEMBAR</v>
          </cell>
          <cell r="C990">
            <v>754246.09090909094</v>
          </cell>
        </row>
        <row r="991">
          <cell r="A991" t="str">
            <v>Grand Total</v>
          </cell>
          <cell r="B991" t="str">
            <v>NITA COSMETIC</v>
          </cell>
          <cell r="C991">
            <v>8021883041.8863668</v>
          </cell>
        </row>
        <row r="992">
          <cell r="A992" t="str">
            <v>CL32797</v>
          </cell>
          <cell r="B992" t="str">
            <v>MENTARI JAYA</v>
          </cell>
          <cell r="C992">
            <v>113775.00000000003</v>
          </cell>
        </row>
        <row r="993">
          <cell r="A993" t="str">
            <v>CL32807</v>
          </cell>
          <cell r="B993" t="str">
            <v>LANCAR MART SATRIYAH</v>
          </cell>
          <cell r="C993">
            <v>1465435.4545454546</v>
          </cell>
        </row>
        <row r="994">
          <cell r="A994" t="str">
            <v>CL32832</v>
          </cell>
          <cell r="B994" t="str">
            <v>PERDANA MART</v>
          </cell>
          <cell r="C994">
            <v>70636.363636363632</v>
          </cell>
        </row>
        <row r="995">
          <cell r="A995" t="str">
            <v>CL32834</v>
          </cell>
          <cell r="B995" t="str">
            <v>SAL MART</v>
          </cell>
          <cell r="C995">
            <v>1837499.9999999995</v>
          </cell>
        </row>
        <row r="996">
          <cell r="A996" t="str">
            <v>CL32849</v>
          </cell>
          <cell r="B996" t="str">
            <v>JAYA AKSESORIS</v>
          </cell>
          <cell r="C996">
            <v>65540.454545454559</v>
          </cell>
        </row>
        <row r="997">
          <cell r="A997" t="str">
            <v>CL32850</v>
          </cell>
          <cell r="B997" t="str">
            <v>NN KOSMETIK</v>
          </cell>
          <cell r="C997">
            <v>75600</v>
          </cell>
        </row>
        <row r="998">
          <cell r="A998" t="str">
            <v>CL32851</v>
          </cell>
          <cell r="B998" t="str">
            <v>PEONY</v>
          </cell>
          <cell r="C998">
            <v>435863.63636363629</v>
          </cell>
        </row>
        <row r="999">
          <cell r="A999" t="str">
            <v>CL32867</v>
          </cell>
          <cell r="B999" t="str">
            <v>PUTRI KEMBAR</v>
          </cell>
          <cell r="C999">
            <v>70989.545454545456</v>
          </cell>
        </row>
        <row r="1000">
          <cell r="A1000" t="str">
            <v>CL32894</v>
          </cell>
          <cell r="B1000" t="str">
            <v>TREND OLSHOP</v>
          </cell>
          <cell r="C1000">
            <v>2677640.4545454546</v>
          </cell>
        </row>
        <row r="1001">
          <cell r="A1001" t="str">
            <v>CL32896</v>
          </cell>
          <cell r="B1001" t="str">
            <v>DIANA</v>
          </cell>
          <cell r="C1001">
            <v>60606</v>
          </cell>
        </row>
        <row r="1002">
          <cell r="A1002" t="str">
            <v>CL32902</v>
          </cell>
          <cell r="B1002" t="str">
            <v>ARTHO MORO</v>
          </cell>
          <cell r="C1002">
            <v>141600</v>
          </cell>
        </row>
        <row r="1003">
          <cell r="A1003" t="str">
            <v>CL32910</v>
          </cell>
          <cell r="B1003" t="str">
            <v>HUA ACCESORIES 2</v>
          </cell>
          <cell r="C1003">
            <v>16208541.818181822</v>
          </cell>
        </row>
        <row r="1004">
          <cell r="A1004" t="str">
            <v>CL32930</v>
          </cell>
          <cell r="B1004" t="str">
            <v>NANIK MUZAINI</v>
          </cell>
          <cell r="C1004">
            <v>105954.54545454546</v>
          </cell>
        </row>
        <row r="1005">
          <cell r="A1005" t="str">
            <v>CL32959</v>
          </cell>
          <cell r="B1005" t="str">
            <v>AISYAH</v>
          </cell>
          <cell r="C1005">
            <v>131484.09090909091</v>
          </cell>
        </row>
        <row r="1006">
          <cell r="A1006" t="str">
            <v>CL32961</v>
          </cell>
          <cell r="B1006" t="str">
            <v>TERANG BULAN</v>
          </cell>
          <cell r="C1006">
            <v>88800.000000000015</v>
          </cell>
        </row>
        <row r="1007">
          <cell r="A1007" t="str">
            <v>CL32963</v>
          </cell>
          <cell r="B1007" t="str">
            <v>BAROKAH KOSMETIK</v>
          </cell>
          <cell r="C1007">
            <v>70888.636363636368</v>
          </cell>
        </row>
        <row r="1008">
          <cell r="A1008" t="str">
            <v>CL32978</v>
          </cell>
          <cell r="B1008" t="str">
            <v>MIMI RAGIL ACESORIES</v>
          </cell>
          <cell r="C1008">
            <v>125000</v>
          </cell>
        </row>
        <row r="1009">
          <cell r="A1009" t="str">
            <v>CL32991</v>
          </cell>
          <cell r="B1009" t="str">
            <v>PELANGI</v>
          </cell>
          <cell r="C1009">
            <v>250081.36363636365</v>
          </cell>
        </row>
        <row r="1010">
          <cell r="A1010" t="str">
            <v>CL33085</v>
          </cell>
          <cell r="B1010" t="str">
            <v>IRMA COLECTION</v>
          </cell>
          <cell r="C1010">
            <v>70308.409090909088</v>
          </cell>
        </row>
        <row r="1011">
          <cell r="A1011" t="str">
            <v>CL33120</v>
          </cell>
          <cell r="B1011" t="str">
            <v>ABBA</v>
          </cell>
          <cell r="C1011">
            <v>158175.00000000006</v>
          </cell>
        </row>
        <row r="1012">
          <cell r="A1012" t="str">
            <v>CL33130</v>
          </cell>
          <cell r="B1012" t="str">
            <v>ZAKY BAROKAH</v>
          </cell>
          <cell r="C1012">
            <v>66600</v>
          </cell>
        </row>
        <row r="1013">
          <cell r="A1013" t="str">
            <v>CL33142</v>
          </cell>
          <cell r="B1013" t="str">
            <v>YERINDA</v>
          </cell>
          <cell r="C1013">
            <v>105450.00000000003</v>
          </cell>
        </row>
        <row r="1014">
          <cell r="A1014" t="str">
            <v>CL33144</v>
          </cell>
          <cell r="B1014" t="str">
            <v>RAHMAH</v>
          </cell>
          <cell r="C1014">
            <v>117836</v>
          </cell>
        </row>
        <row r="1015">
          <cell r="A1015" t="str">
            <v>CL33151</v>
          </cell>
          <cell r="B1015" t="str">
            <v>ALISHA COSME</v>
          </cell>
          <cell r="C1015">
            <v>113775.00000000003</v>
          </cell>
        </row>
        <row r="1016">
          <cell r="A1016" t="str">
            <v>CL33153</v>
          </cell>
          <cell r="B1016" t="str">
            <v>BASMALLAH</v>
          </cell>
          <cell r="C1016">
            <v>346463.59090909088</v>
          </cell>
        </row>
        <row r="1017">
          <cell r="A1017" t="str">
            <v>CL33175</v>
          </cell>
          <cell r="B1017" t="str">
            <v>LIJO SUPER</v>
          </cell>
          <cell r="C1017">
            <v>65475.000000000007</v>
          </cell>
        </row>
        <row r="1018">
          <cell r="A1018" t="str">
            <v>CL33192</v>
          </cell>
          <cell r="B1018" t="str">
            <v>FIZA JAYA</v>
          </cell>
          <cell r="C1018">
            <v>102900</v>
          </cell>
        </row>
        <row r="1019">
          <cell r="A1019" t="str">
            <v>CL33193</v>
          </cell>
          <cell r="B1019" t="str">
            <v>MITRA BERSAMA, CV</v>
          </cell>
          <cell r="C1019">
            <v>420689362.90909064</v>
          </cell>
        </row>
        <row r="1020">
          <cell r="A1020" t="str">
            <v>CL33232</v>
          </cell>
          <cell r="B1020" t="str">
            <v>IDA AYUNI KOSMETIK</v>
          </cell>
          <cell r="C1020">
            <v>525510.18181818177</v>
          </cell>
        </row>
        <row r="1021">
          <cell r="A1021" t="str">
            <v>CL33234</v>
          </cell>
          <cell r="B1021" t="str">
            <v>LATANSA KOSMETIK</v>
          </cell>
          <cell r="C1021">
            <v>716187.90909090894</v>
          </cell>
        </row>
        <row r="1022">
          <cell r="A1022" t="str">
            <v>CL33292</v>
          </cell>
          <cell r="B1022" t="str">
            <v>TIKA</v>
          </cell>
          <cell r="C1022">
            <v>116400</v>
          </cell>
        </row>
        <row r="1023">
          <cell r="A1023" t="str">
            <v>CL33305</v>
          </cell>
          <cell r="B1023" t="str">
            <v>44 SWALAYAN</v>
          </cell>
          <cell r="C1023">
            <v>373863.63636363635</v>
          </cell>
        </row>
        <row r="1024">
          <cell r="A1024" t="str">
            <v>CL33316</v>
          </cell>
          <cell r="B1024" t="str">
            <v>C51 BU TITIK</v>
          </cell>
          <cell r="C1024">
            <v>63500</v>
          </cell>
        </row>
        <row r="1025">
          <cell r="A1025" t="str">
            <v>CL33332</v>
          </cell>
          <cell r="B1025" t="str">
            <v>RAHMATULLAH</v>
          </cell>
          <cell r="C1025">
            <v>212577.27272727274</v>
          </cell>
        </row>
        <row r="1026">
          <cell r="A1026" t="str">
            <v>CL33343</v>
          </cell>
          <cell r="B1026" t="str">
            <v>GREEN MART</v>
          </cell>
          <cell r="C1026">
            <v>868827.27272727271</v>
          </cell>
        </row>
        <row r="1027">
          <cell r="A1027" t="str">
            <v>CL33360</v>
          </cell>
          <cell r="B1027" t="str">
            <v>GV ACCESSORIES</v>
          </cell>
          <cell r="C1027">
            <v>377400.00000000006</v>
          </cell>
        </row>
        <row r="1028">
          <cell r="A1028" t="str">
            <v>CL33362</v>
          </cell>
          <cell r="B1028" t="str">
            <v>PT. MILENIAL MANDIRI INDONESIA</v>
          </cell>
          <cell r="C1028">
            <v>67000078.363636352</v>
          </cell>
        </row>
        <row r="1029">
          <cell r="A1029" t="str">
            <v>CL33364</v>
          </cell>
          <cell r="B1029" t="str">
            <v>ALBERT SUMARGO</v>
          </cell>
          <cell r="C1029">
            <v>8367540.0000000009</v>
          </cell>
        </row>
        <row r="1030">
          <cell r="A1030" t="str">
            <v>CL33368</v>
          </cell>
          <cell r="B1030" t="str">
            <v>AGIKA</v>
          </cell>
          <cell r="C1030">
            <v>63000</v>
          </cell>
        </row>
        <row r="1031">
          <cell r="A1031" t="str">
            <v>CL33375</v>
          </cell>
          <cell r="B1031" t="str">
            <v>BALQIS STORE</v>
          </cell>
          <cell r="C1031">
            <v>17260205.59090909</v>
          </cell>
        </row>
        <row r="1032">
          <cell r="A1032" t="str">
            <v>CL33386</v>
          </cell>
          <cell r="B1032" t="str">
            <v>K&amp;K MART</v>
          </cell>
          <cell r="C1032">
            <v>132443.18181818182</v>
          </cell>
        </row>
        <row r="1033">
          <cell r="A1033" t="str">
            <v>CL33398</v>
          </cell>
          <cell r="B1033" t="str">
            <v>NAYLA CANTIK</v>
          </cell>
          <cell r="C1033">
            <v>1324431.8181818181</v>
          </cell>
        </row>
        <row r="1034">
          <cell r="A1034" t="str">
            <v>CL33410</v>
          </cell>
          <cell r="B1034" t="str">
            <v>TINAF COLLECTION</v>
          </cell>
          <cell r="C1034">
            <v>486581.81818181823</v>
          </cell>
        </row>
        <row r="1035">
          <cell r="A1035" t="str">
            <v>CL33412</v>
          </cell>
          <cell r="B1035" t="str">
            <v>MEGA MART</v>
          </cell>
          <cell r="C1035">
            <v>817710.22727272729</v>
          </cell>
        </row>
        <row r="1036">
          <cell r="A1036" t="str">
            <v>CL33425</v>
          </cell>
          <cell r="B1036" t="str">
            <v>LOTTA OLSHOP</v>
          </cell>
          <cell r="C1036">
            <v>70636</v>
          </cell>
        </row>
        <row r="1037">
          <cell r="A1037" t="str">
            <v>CL33430</v>
          </cell>
          <cell r="B1037" t="str">
            <v>IDEAL MART</v>
          </cell>
          <cell r="C1037">
            <v>649343.18181818177</v>
          </cell>
        </row>
        <row r="1038">
          <cell r="A1038" t="str">
            <v>CL33446</v>
          </cell>
          <cell r="B1038" t="str">
            <v>MAKSUN</v>
          </cell>
          <cell r="C1038">
            <v>4555476.5454545449</v>
          </cell>
        </row>
        <row r="1039">
          <cell r="A1039" t="str">
            <v>CL33480</v>
          </cell>
          <cell r="B1039" t="str">
            <v>RADIN COSMETICS</v>
          </cell>
          <cell r="C1039">
            <v>118000</v>
          </cell>
        </row>
        <row r="1040">
          <cell r="A1040" t="str">
            <v>CL33483</v>
          </cell>
          <cell r="B1040" t="str">
            <v>AMIRAH</v>
          </cell>
          <cell r="C1040">
            <v>66600.000000000015</v>
          </cell>
        </row>
        <row r="1041">
          <cell r="A1041" t="str">
            <v>CL33485</v>
          </cell>
          <cell r="B1041" t="str">
            <v>YIYIN</v>
          </cell>
          <cell r="C1041">
            <v>93800</v>
          </cell>
        </row>
        <row r="1042">
          <cell r="A1042" t="str">
            <v>CL33505</v>
          </cell>
          <cell r="B1042" t="str">
            <v>UB. COSMETICS</v>
          </cell>
          <cell r="C1042">
            <v>135000</v>
          </cell>
        </row>
        <row r="1043">
          <cell r="A1043" t="str">
            <v>CL33575</v>
          </cell>
          <cell r="B1043" t="str">
            <v>NANDA COSMETIK</v>
          </cell>
          <cell r="C1043">
            <v>7186885.4545454551</v>
          </cell>
        </row>
        <row r="1044">
          <cell r="A1044" t="str">
            <v>CL33610</v>
          </cell>
          <cell r="B1044" t="str">
            <v>ISZAZA KOSMETIK</v>
          </cell>
          <cell r="C1044">
            <v>7732991.4545454551</v>
          </cell>
        </row>
        <row r="1045">
          <cell r="A1045" t="str">
            <v>CL33621</v>
          </cell>
          <cell r="B1045" t="str">
            <v>NITYA</v>
          </cell>
          <cell r="C1045">
            <v>68719.090909090912</v>
          </cell>
        </row>
        <row r="1046">
          <cell r="A1046" t="str">
            <v>CL33645</v>
          </cell>
          <cell r="B1046" t="str">
            <v>SRI MURNI</v>
          </cell>
          <cell r="C1046">
            <v>105954.54545454546</v>
          </cell>
        </row>
        <row r="1047">
          <cell r="A1047" t="str">
            <v>CL33651</v>
          </cell>
          <cell r="B1047" t="str">
            <v>BEAUTY COSMETIC</v>
          </cell>
          <cell r="C1047">
            <v>37316526.81818182</v>
          </cell>
        </row>
        <row r="1048">
          <cell r="A1048" t="str">
            <v>CL33677</v>
          </cell>
          <cell r="B1048" t="str">
            <v>BAROKAH</v>
          </cell>
          <cell r="C1048">
            <v>66600.000000000015</v>
          </cell>
        </row>
        <row r="1049">
          <cell r="A1049" t="str">
            <v>CL33685</v>
          </cell>
          <cell r="B1049" t="str">
            <v>LOVELY BEAUTY</v>
          </cell>
          <cell r="C1049">
            <v>2754460.8181818184</v>
          </cell>
        </row>
        <row r="1050">
          <cell r="A1050" t="str">
            <v>CL33689</v>
          </cell>
          <cell r="B1050" t="str">
            <v>LIVY COSMETIC</v>
          </cell>
          <cell r="C1050">
            <v>2706490.1818181821</v>
          </cell>
        </row>
        <row r="1051">
          <cell r="A1051" t="str">
            <v>CL33699</v>
          </cell>
          <cell r="B1051" t="str">
            <v>AZIZAH KOSMETIK</v>
          </cell>
          <cell r="C1051">
            <v>821149.5454545453</v>
          </cell>
        </row>
        <row r="1052">
          <cell r="A1052" t="str">
            <v>CL33700</v>
          </cell>
          <cell r="B1052" t="str">
            <v>SNOW WHITE</v>
          </cell>
          <cell r="C1052">
            <v>2016331.8181818186</v>
          </cell>
        </row>
        <row r="1053">
          <cell r="A1053" t="str">
            <v>CL33734</v>
          </cell>
          <cell r="B1053" t="str">
            <v>JAYANTI KOSMETIK</v>
          </cell>
          <cell r="C1053">
            <v>1497793.6363636362</v>
          </cell>
        </row>
        <row r="1054">
          <cell r="A1054" t="str">
            <v>CL33768</v>
          </cell>
          <cell r="B1054" t="str">
            <v>KIKIE MART</v>
          </cell>
          <cell r="C1054">
            <v>726094.318181818</v>
          </cell>
        </row>
        <row r="1055">
          <cell r="A1055" t="str">
            <v>CL33773</v>
          </cell>
          <cell r="B1055" t="str">
            <v>PATNER CANTIK</v>
          </cell>
          <cell r="C1055">
            <v>66600.000000000015</v>
          </cell>
        </row>
        <row r="1056">
          <cell r="A1056" t="str">
            <v>CL33835</v>
          </cell>
          <cell r="B1056" t="str">
            <v>SINAR</v>
          </cell>
          <cell r="C1056">
            <v>604949.99999999988</v>
          </cell>
        </row>
        <row r="1057">
          <cell r="A1057" t="str">
            <v>CL33907</v>
          </cell>
          <cell r="B1057" t="str">
            <v>AA, TK</v>
          </cell>
          <cell r="C1057">
            <v>75000</v>
          </cell>
        </row>
        <row r="1058">
          <cell r="A1058" t="str">
            <v>CL33910</v>
          </cell>
          <cell r="B1058" t="str">
            <v>FADIL JAYA</v>
          </cell>
          <cell r="C1058">
            <v>74168.181818181823</v>
          </cell>
        </row>
        <row r="1059">
          <cell r="A1059" t="str">
            <v>CL33986</v>
          </cell>
          <cell r="B1059" t="str">
            <v>KINARA</v>
          </cell>
          <cell r="C1059">
            <v>140000</v>
          </cell>
        </row>
        <row r="1060">
          <cell r="A1060" t="str">
            <v>CL34034</v>
          </cell>
          <cell r="B1060" t="str">
            <v>BASMALAH 3</v>
          </cell>
          <cell r="C1060">
            <v>207542.04545454547</v>
          </cell>
        </row>
        <row r="1061">
          <cell r="A1061" t="str">
            <v>CL34049</v>
          </cell>
          <cell r="B1061" t="str">
            <v>PELANGI</v>
          </cell>
          <cell r="C1061">
            <v>66600.000000000015</v>
          </cell>
        </row>
        <row r="1062">
          <cell r="A1062" t="str">
            <v>CL34089</v>
          </cell>
          <cell r="B1062" t="str">
            <v>MIRZA JAYA</v>
          </cell>
          <cell r="C1062">
            <v>168954</v>
          </cell>
        </row>
        <row r="1063">
          <cell r="A1063" t="str">
            <v>CL34102</v>
          </cell>
          <cell r="B1063" t="str">
            <v>ALWI JAYA</v>
          </cell>
          <cell r="C1063">
            <v>344781.63636363635</v>
          </cell>
        </row>
        <row r="1064">
          <cell r="A1064" t="str">
            <v>CL34104</v>
          </cell>
          <cell r="B1064" t="str">
            <v>ZAM ZAM MART</v>
          </cell>
          <cell r="C1064">
            <v>617563.63636363635</v>
          </cell>
        </row>
        <row r="1065">
          <cell r="A1065" t="str">
            <v>CL34140</v>
          </cell>
          <cell r="B1065" t="str">
            <v>MELISA MART</v>
          </cell>
          <cell r="C1065">
            <v>2443296.8636363633</v>
          </cell>
        </row>
        <row r="1066">
          <cell r="A1066" t="str">
            <v>CL34184</v>
          </cell>
          <cell r="B1066" t="str">
            <v>FINA AGUSTIAS (FA)</v>
          </cell>
          <cell r="C1066">
            <v>630600</v>
          </cell>
        </row>
        <row r="1067">
          <cell r="A1067" t="str">
            <v>CL34256</v>
          </cell>
          <cell r="B1067" t="str">
            <v>RIZKA</v>
          </cell>
          <cell r="C1067">
            <v>105954.54545454546</v>
          </cell>
        </row>
        <row r="1068">
          <cell r="A1068" t="str">
            <v>CL34271</v>
          </cell>
          <cell r="B1068" t="str">
            <v>NUR BAROKAH</v>
          </cell>
          <cell r="C1068">
            <v>75600</v>
          </cell>
        </row>
        <row r="1069">
          <cell r="A1069" t="str">
            <v>CL34272</v>
          </cell>
          <cell r="B1069" t="str">
            <v>WIDYA GROSIR</v>
          </cell>
          <cell r="C1069">
            <v>66600.000000000015</v>
          </cell>
        </row>
        <row r="1070">
          <cell r="A1070" t="str">
            <v>CL34278</v>
          </cell>
          <cell r="B1070" t="str">
            <v>RAISA</v>
          </cell>
          <cell r="C1070">
            <v>63000</v>
          </cell>
        </row>
        <row r="1071">
          <cell r="A1071" t="str">
            <v>CL34289</v>
          </cell>
          <cell r="B1071" t="str">
            <v>UMI MASAROH</v>
          </cell>
          <cell r="C1071">
            <v>75600</v>
          </cell>
        </row>
        <row r="1072">
          <cell r="A1072" t="str">
            <v>CL34302</v>
          </cell>
          <cell r="B1072" t="str">
            <v>SBM</v>
          </cell>
          <cell r="C1072">
            <v>620018.18181818177</v>
          </cell>
        </row>
        <row r="1073">
          <cell r="A1073" t="str">
            <v>CL34319</v>
          </cell>
          <cell r="B1073" t="str">
            <v>A TIGA</v>
          </cell>
          <cell r="C1073">
            <v>84000</v>
          </cell>
        </row>
        <row r="1074">
          <cell r="A1074" t="str">
            <v>CL34327</v>
          </cell>
          <cell r="B1074" t="str">
            <v>RUSMIN</v>
          </cell>
          <cell r="C1074">
            <v>66600.000000000015</v>
          </cell>
        </row>
        <row r="1075">
          <cell r="A1075" t="str">
            <v>CL34341</v>
          </cell>
          <cell r="B1075" t="str">
            <v>SURYA MART</v>
          </cell>
          <cell r="C1075">
            <v>224836.36363636365</v>
          </cell>
        </row>
        <row r="1076">
          <cell r="A1076" t="str">
            <v>CL34364</v>
          </cell>
          <cell r="B1076" t="str">
            <v>LA ROYBA</v>
          </cell>
          <cell r="C1076">
            <v>609422.72727272741</v>
          </cell>
        </row>
        <row r="1077">
          <cell r="A1077" t="str">
            <v>CL34591</v>
          </cell>
          <cell r="B1077" t="str">
            <v>ANNAS ACCESORIES</v>
          </cell>
          <cell r="C1077">
            <v>875638.63636363635</v>
          </cell>
        </row>
        <row r="1078">
          <cell r="A1078" t="str">
            <v>CL34630</v>
          </cell>
          <cell r="B1078" t="str">
            <v>ANDALAS COSMETIK</v>
          </cell>
          <cell r="C1078">
            <v>1047803.4545454545</v>
          </cell>
        </row>
        <row r="1079">
          <cell r="A1079" t="str">
            <v>CL34681</v>
          </cell>
          <cell r="B1079" t="str">
            <v>PUTRI MART</v>
          </cell>
          <cell r="C1079">
            <v>264886.36363636365</v>
          </cell>
        </row>
        <row r="1080">
          <cell r="A1080" t="str">
            <v>CL34706</v>
          </cell>
          <cell r="B1080" t="str">
            <v>TOSERBA PRIMKOPPOL</v>
          </cell>
          <cell r="C1080">
            <v>294717.36363636365</v>
          </cell>
        </row>
        <row r="1081">
          <cell r="A1081" t="str">
            <v>CL34719</v>
          </cell>
          <cell r="B1081" t="str">
            <v>RAINBOW COSME</v>
          </cell>
          <cell r="C1081">
            <v>5969104.8181818184</v>
          </cell>
        </row>
        <row r="1082">
          <cell r="A1082" t="str">
            <v>CL34720</v>
          </cell>
          <cell r="B1082" t="str">
            <v>FM STORE</v>
          </cell>
          <cell r="C1082">
            <v>70636</v>
          </cell>
        </row>
        <row r="1083">
          <cell r="A1083" t="str">
            <v>CL34755</v>
          </cell>
          <cell r="B1083" t="str">
            <v>BERKAH (LILIK)</v>
          </cell>
          <cell r="C1083">
            <v>66600.000000000015</v>
          </cell>
        </row>
        <row r="1084">
          <cell r="A1084" t="str">
            <v>CL34846</v>
          </cell>
          <cell r="B1084" t="str">
            <v>RISKI AKBAR (MTR)</v>
          </cell>
          <cell r="C1084">
            <v>129560.45454545453</v>
          </cell>
        </row>
        <row r="1085">
          <cell r="A1085" t="str">
            <v>CL34944</v>
          </cell>
          <cell r="B1085" t="str">
            <v>JASMINE ACCESORIES</v>
          </cell>
          <cell r="C1085">
            <v>712857.09090909071</v>
          </cell>
        </row>
        <row r="1086">
          <cell r="A1086" t="str">
            <v>CL35026</v>
          </cell>
          <cell r="B1086" t="str">
            <v>SLAMET</v>
          </cell>
          <cell r="C1086">
            <v>88800.000000000015</v>
          </cell>
        </row>
        <row r="1087">
          <cell r="A1087" t="str">
            <v>CL35045</v>
          </cell>
          <cell r="B1087" t="str">
            <v>AFIF</v>
          </cell>
          <cell r="C1087">
            <v>2221622.6363636362</v>
          </cell>
        </row>
        <row r="1088">
          <cell r="A1088" t="str">
            <v>CL35113</v>
          </cell>
          <cell r="B1088" t="str">
            <v>NAFIRA</v>
          </cell>
          <cell r="C1088">
            <v>1327309.1818181816</v>
          </cell>
        </row>
        <row r="1089">
          <cell r="A1089" t="str">
            <v>CL35145</v>
          </cell>
          <cell r="B1089" t="str">
            <v>BAHTERA YENDI SEJAHTERA, CV</v>
          </cell>
          <cell r="C1089">
            <v>226329225.81818193</v>
          </cell>
        </row>
        <row r="1090">
          <cell r="A1090" t="str">
            <v>CL35147</v>
          </cell>
          <cell r="B1090" t="str">
            <v>LINA OKTAVIA, UD</v>
          </cell>
          <cell r="C1090">
            <v>82800710.454545394</v>
          </cell>
        </row>
        <row r="1091">
          <cell r="A1091" t="str">
            <v>CL35233</v>
          </cell>
          <cell r="B1091" t="str">
            <v>AGORA TIMUR NUSANTARA</v>
          </cell>
          <cell r="C1091">
            <v>8091204.5454545449</v>
          </cell>
        </row>
        <row r="1092">
          <cell r="A1092" t="str">
            <v>CL35241</v>
          </cell>
          <cell r="B1092" t="str">
            <v>QUEEN  BEAUTY SHOP</v>
          </cell>
          <cell r="C1092">
            <v>89565453.272727266</v>
          </cell>
        </row>
        <row r="1093">
          <cell r="A1093" t="str">
            <v>CL35244</v>
          </cell>
          <cell r="B1093" t="str">
            <v>IZDIHAAR</v>
          </cell>
          <cell r="C1093">
            <v>61800</v>
          </cell>
        </row>
        <row r="1094">
          <cell r="A1094" t="str">
            <v>CL35311</v>
          </cell>
          <cell r="B1094" t="str">
            <v>BRAVO SUPERMARKET</v>
          </cell>
          <cell r="C1094">
            <v>2286795.9545454551</v>
          </cell>
        </row>
        <row r="1095">
          <cell r="A1095" t="str">
            <v>CL35318</v>
          </cell>
          <cell r="B1095" t="str">
            <v>RAHAYU 2</v>
          </cell>
          <cell r="C1095">
            <v>1288057.9090909092</v>
          </cell>
        </row>
        <row r="1096">
          <cell r="A1096" t="str">
            <v>CL35355</v>
          </cell>
          <cell r="B1096" t="str">
            <v>EL KHAN COSMETIC</v>
          </cell>
          <cell r="C1096">
            <v>1912765.8181818179</v>
          </cell>
        </row>
        <row r="1097">
          <cell r="A1097" t="str">
            <v>CL35375</v>
          </cell>
          <cell r="B1097" t="str">
            <v>KAK ROS CELL</v>
          </cell>
          <cell r="C1097">
            <v>132466.27272727274</v>
          </cell>
        </row>
        <row r="1098">
          <cell r="A1098" t="str">
            <v>CL35401</v>
          </cell>
          <cell r="B1098" t="str">
            <v>ALBARY STORE</v>
          </cell>
          <cell r="C1098">
            <v>467663.63636363635</v>
          </cell>
        </row>
        <row r="1099">
          <cell r="A1099" t="str">
            <v>CL35417</v>
          </cell>
          <cell r="B1099" t="str">
            <v>BASMALAH 4</v>
          </cell>
          <cell r="C1099">
            <v>154077.27272727274</v>
          </cell>
        </row>
        <row r="1100">
          <cell r="A1100" t="str">
            <v>CL35429</v>
          </cell>
          <cell r="B1100" t="str">
            <v>CITRA SEJAHTERA, CV</v>
          </cell>
          <cell r="C1100">
            <v>1088583527.9999995</v>
          </cell>
        </row>
        <row r="1101">
          <cell r="A1101" t="str">
            <v>CL35434</v>
          </cell>
          <cell r="B1101" t="str">
            <v>SANDYA</v>
          </cell>
          <cell r="C1101">
            <v>317863.63636363635</v>
          </cell>
        </row>
        <row r="1102">
          <cell r="A1102" t="str">
            <v>CL35497</v>
          </cell>
          <cell r="B1102" t="str">
            <v>POJOK BERKAH</v>
          </cell>
          <cell r="C1102">
            <v>61806.636363636368</v>
          </cell>
        </row>
        <row r="1103">
          <cell r="A1103" t="str">
            <v>CL35567</v>
          </cell>
          <cell r="B1103" t="str">
            <v>IDAMANEH</v>
          </cell>
          <cell r="C1103">
            <v>62975.000000000007</v>
          </cell>
        </row>
        <row r="1104">
          <cell r="A1104" t="str">
            <v>CL35573</v>
          </cell>
          <cell r="B1104" t="str">
            <v>MURNI</v>
          </cell>
          <cell r="C1104">
            <v>113800.00000000001</v>
          </cell>
        </row>
        <row r="1105">
          <cell r="A1105" t="str">
            <v>CL35585</v>
          </cell>
          <cell r="B1105" t="str">
            <v>ALFIN COLLECTION</v>
          </cell>
          <cell r="C1105">
            <v>7278199.6363636376</v>
          </cell>
        </row>
        <row r="1106">
          <cell r="A1106" t="str">
            <v>CL35604</v>
          </cell>
          <cell r="B1106" t="str">
            <v>RIZKA</v>
          </cell>
          <cell r="C1106">
            <v>133200.00000000003</v>
          </cell>
        </row>
        <row r="1107">
          <cell r="A1107" t="str">
            <v>CL35619</v>
          </cell>
          <cell r="B1107" t="str">
            <v>ENDANG</v>
          </cell>
          <cell r="C1107">
            <v>132443.18181818182</v>
          </cell>
        </row>
        <row r="1108">
          <cell r="A1108" t="str">
            <v>CL35674</v>
          </cell>
          <cell r="B1108" t="str">
            <v>SENTRAL SUKSES RETAILINDO,CV</v>
          </cell>
          <cell r="C1108">
            <v>23812192.363636367</v>
          </cell>
        </row>
        <row r="1109">
          <cell r="A1109" t="str">
            <v>CL35747</v>
          </cell>
          <cell r="B1109" t="str">
            <v>LIA AKSESORIES</v>
          </cell>
          <cell r="C1109">
            <v>75600</v>
          </cell>
        </row>
        <row r="1110">
          <cell r="A1110" t="str">
            <v>CL35780</v>
          </cell>
          <cell r="B1110" t="str">
            <v>OXY, CV</v>
          </cell>
          <cell r="C1110">
            <v>85339588.090909079</v>
          </cell>
        </row>
        <row r="1111">
          <cell r="A1111" t="str">
            <v>CL35781</v>
          </cell>
          <cell r="B1111" t="str">
            <v>ERNI SAMUDRA</v>
          </cell>
          <cell r="C1111">
            <v>1026513.8181818181</v>
          </cell>
        </row>
        <row r="1112">
          <cell r="A1112" t="str">
            <v>CL35869</v>
          </cell>
          <cell r="B1112" t="str">
            <v>BEJO UNTUNG</v>
          </cell>
          <cell r="C1112">
            <v>89536.363636363632</v>
          </cell>
        </row>
        <row r="1113">
          <cell r="A1113" t="str">
            <v>CL35884</v>
          </cell>
          <cell r="B1113" t="str">
            <v>PT. HARVEST GLOBAL NIAGA</v>
          </cell>
          <cell r="C1113">
            <v>2123247.2727272725</v>
          </cell>
        </row>
        <row r="1114">
          <cell r="A1114" t="str">
            <v>CL35916</v>
          </cell>
          <cell r="B1114" t="str">
            <v>VIVIO</v>
          </cell>
          <cell r="C1114">
            <v>86700</v>
          </cell>
        </row>
        <row r="1115">
          <cell r="A1115" t="str">
            <v>CL35921</v>
          </cell>
          <cell r="B1115" t="str">
            <v>JIFFA MART</v>
          </cell>
          <cell r="C1115">
            <v>79465.909090909088</v>
          </cell>
        </row>
        <row r="1116">
          <cell r="A1116" t="str">
            <v>CL35958</v>
          </cell>
          <cell r="B1116" t="str">
            <v>FALTIN BEAUTY</v>
          </cell>
          <cell r="C1116">
            <v>88800.000000000015</v>
          </cell>
        </row>
        <row r="1117">
          <cell r="A1117" t="str">
            <v>CL35959</v>
          </cell>
          <cell r="B1117" t="str">
            <v>ANNA</v>
          </cell>
          <cell r="C1117">
            <v>79465.909090909088</v>
          </cell>
        </row>
        <row r="1118">
          <cell r="A1118" t="str">
            <v>CL35968</v>
          </cell>
          <cell r="B1118" t="str">
            <v>SINARTA BEAUTY</v>
          </cell>
          <cell r="C1118">
            <v>9515369.1818181835</v>
          </cell>
        </row>
        <row r="1119">
          <cell r="A1119" t="str">
            <v>CL35975</v>
          </cell>
          <cell r="B1119" t="str">
            <v>FOCUS KOSMETIK</v>
          </cell>
          <cell r="C1119">
            <v>64650</v>
          </cell>
        </row>
        <row r="1120">
          <cell r="A1120" t="str">
            <v>CL35976</v>
          </cell>
          <cell r="B1120" t="str">
            <v>NN COLLECTION</v>
          </cell>
          <cell r="C1120">
            <v>635727.27272727271</v>
          </cell>
        </row>
        <row r="1121">
          <cell r="A1121" t="str">
            <v>CL36045</v>
          </cell>
          <cell r="B1121" t="str">
            <v>PRIMKOPPOL MART</v>
          </cell>
          <cell r="C1121">
            <v>392817.04545454547</v>
          </cell>
        </row>
        <row r="1122">
          <cell r="A1122" t="str">
            <v>CL36056</v>
          </cell>
          <cell r="B1122" t="str">
            <v>ISTANA COSMETICS</v>
          </cell>
          <cell r="C1122">
            <v>6149848.3636363652</v>
          </cell>
        </row>
        <row r="1123">
          <cell r="A1123" t="str">
            <v>CL36102</v>
          </cell>
          <cell r="B1123" t="str">
            <v>REMAJA OPRA (KEPATIHAN)</v>
          </cell>
          <cell r="C1123">
            <v>6682766.1818181835</v>
          </cell>
        </row>
        <row r="1124">
          <cell r="A1124" t="str">
            <v>CL36111</v>
          </cell>
          <cell r="B1124" t="str">
            <v>ATIK SBM</v>
          </cell>
          <cell r="C1124">
            <v>105954.54545454546</v>
          </cell>
        </row>
        <row r="1125">
          <cell r="A1125" t="str">
            <v>CL36193</v>
          </cell>
          <cell r="B1125" t="str">
            <v>CITRA</v>
          </cell>
          <cell r="C1125">
            <v>70989.545454545456</v>
          </cell>
        </row>
        <row r="1126">
          <cell r="A1126" t="str">
            <v>CL36235</v>
          </cell>
          <cell r="B1126" t="str">
            <v>ELISABET, BU</v>
          </cell>
          <cell r="C1126">
            <v>11385918.954545457</v>
          </cell>
        </row>
        <row r="1127">
          <cell r="A1127" t="str">
            <v>CL36257</v>
          </cell>
          <cell r="B1127" t="str">
            <v>DNA COSMETICS</v>
          </cell>
          <cell r="C1127">
            <v>111000.00000000001</v>
          </cell>
        </row>
        <row r="1128">
          <cell r="A1128" t="str">
            <v>CL36345</v>
          </cell>
          <cell r="B1128" t="str">
            <v>TUESBELLE</v>
          </cell>
          <cell r="C1128">
            <v>3640054.0909090908</v>
          </cell>
        </row>
        <row r="1129">
          <cell r="A1129" t="str">
            <v>CL36353</v>
          </cell>
          <cell r="B1129" t="str">
            <v>DEWATA TRADING CORP</v>
          </cell>
          <cell r="C1129">
            <v>29210547.545454547</v>
          </cell>
        </row>
        <row r="1130">
          <cell r="A1130" t="str">
            <v>CL36366</v>
          </cell>
          <cell r="B1130" t="str">
            <v>BINTANG OLSHOP</v>
          </cell>
          <cell r="C1130">
            <v>79465.909090909088</v>
          </cell>
        </row>
        <row r="1131">
          <cell r="A1131" t="str">
            <v>CL36367</v>
          </cell>
          <cell r="B1131" t="str">
            <v>SAKURA SHOP</v>
          </cell>
          <cell r="C1131">
            <v>3905454.5454545459</v>
          </cell>
        </row>
        <row r="1132">
          <cell r="A1132" t="str">
            <v>CL36392</v>
          </cell>
          <cell r="B1132" t="str">
            <v>REJEKI BAROKAH</v>
          </cell>
          <cell r="C1132">
            <v>448389.54545454547</v>
          </cell>
        </row>
        <row r="1133">
          <cell r="A1133" t="str">
            <v>CL36450</v>
          </cell>
          <cell r="B1133" t="str">
            <v>ELY, TK</v>
          </cell>
          <cell r="C1133">
            <v>953595.27272727247</v>
          </cell>
        </row>
        <row r="1134">
          <cell r="A1134" t="str">
            <v>CL36467</v>
          </cell>
          <cell r="B1134" t="str">
            <v>SERBA KADO ACCESORIES</v>
          </cell>
          <cell r="C1134">
            <v>291374.99999999994</v>
          </cell>
        </row>
        <row r="1135">
          <cell r="A1135" t="str">
            <v>CL36497</v>
          </cell>
          <cell r="B1135" t="str">
            <v>MIYU COSMETIC</v>
          </cell>
          <cell r="C1135">
            <v>5410985.9090909092</v>
          </cell>
        </row>
        <row r="1136">
          <cell r="A1136" t="str">
            <v>CL36556</v>
          </cell>
          <cell r="B1136" t="str">
            <v>JR BEAUTY</v>
          </cell>
          <cell r="C1136">
            <v>1420355.2272727273</v>
          </cell>
        </row>
        <row r="1137">
          <cell r="A1137" t="str">
            <v>CL36581</v>
          </cell>
          <cell r="B1137" t="str">
            <v>AL-FATIH</v>
          </cell>
          <cell r="C1137">
            <v>88800.000000000015</v>
          </cell>
        </row>
        <row r="1138">
          <cell r="A1138" t="str">
            <v>CL36583</v>
          </cell>
          <cell r="B1138" t="str">
            <v>GUDANG BARANG MURAH</v>
          </cell>
          <cell r="C1138">
            <v>529773.81818181812</v>
          </cell>
        </row>
        <row r="1139">
          <cell r="A1139" t="str">
            <v>CL36585</v>
          </cell>
          <cell r="B1139" t="str">
            <v>NUR LAILI</v>
          </cell>
          <cell r="C1139">
            <v>66600.000000000015</v>
          </cell>
        </row>
        <row r="1140">
          <cell r="A1140" t="str">
            <v>CL36599</v>
          </cell>
          <cell r="B1140" t="str">
            <v>KAY ACCESSORIES</v>
          </cell>
          <cell r="C1140">
            <v>670418.18181818177</v>
          </cell>
        </row>
        <row r="1141">
          <cell r="A1141" t="str">
            <v>CL36615</v>
          </cell>
          <cell r="B1141" t="str">
            <v>YUDHA JAYAPURA, TK</v>
          </cell>
          <cell r="C1141">
            <v>29341655</v>
          </cell>
        </row>
        <row r="1142">
          <cell r="A1142" t="str">
            <v>CL36692</v>
          </cell>
          <cell r="B1142" t="str">
            <v>MEMEY BEAUTY SKINCARE</v>
          </cell>
          <cell r="C1142">
            <v>1447140</v>
          </cell>
        </row>
        <row r="1143">
          <cell r="A1143" t="str">
            <v>CL36714</v>
          </cell>
          <cell r="B1143" t="str">
            <v>RIA CELL</v>
          </cell>
          <cell r="C1143">
            <v>88800</v>
          </cell>
        </row>
        <row r="1144">
          <cell r="A1144" t="str">
            <v>CL36716</v>
          </cell>
          <cell r="B1144" t="str">
            <v>KURNIA ACCESSORIES</v>
          </cell>
          <cell r="C1144">
            <v>39293087.727272734</v>
          </cell>
        </row>
        <row r="1145">
          <cell r="A1145" t="str">
            <v>CL36735</v>
          </cell>
          <cell r="B1145" t="str">
            <v>MS GLOW STORE (GROSIR SKINCARE ORI)</v>
          </cell>
          <cell r="C1145">
            <v>70500</v>
          </cell>
        </row>
        <row r="1146">
          <cell r="A1146" t="str">
            <v>CL36758</v>
          </cell>
          <cell r="B1146" t="str">
            <v>KAY COSMETICS</v>
          </cell>
          <cell r="C1146">
            <v>9005423.0000000019</v>
          </cell>
        </row>
        <row r="1147">
          <cell r="A1147" t="str">
            <v>CL36896</v>
          </cell>
          <cell r="B1147" t="str">
            <v>JIBRUT STORE</v>
          </cell>
          <cell r="C1147">
            <v>953590.90909090894</v>
          </cell>
        </row>
        <row r="1148">
          <cell r="A1148" t="str">
            <v>CL37053</v>
          </cell>
          <cell r="B1148" t="str">
            <v>LARISSO KOSMETIK</v>
          </cell>
          <cell r="C1148">
            <v>333200</v>
          </cell>
        </row>
        <row r="1149">
          <cell r="A1149" t="str">
            <v>CL37258</v>
          </cell>
          <cell r="B1149" t="str">
            <v>IIS</v>
          </cell>
          <cell r="C1149">
            <v>88800.000000000015</v>
          </cell>
        </row>
        <row r="1150">
          <cell r="A1150" t="str">
            <v>CL37323</v>
          </cell>
          <cell r="B1150" t="str">
            <v>WIWIK COLLECTION</v>
          </cell>
          <cell r="C1150">
            <v>1242634.0909090911</v>
          </cell>
        </row>
        <row r="1151">
          <cell r="A1151" t="str">
            <v>CL37327</v>
          </cell>
          <cell r="B1151" t="str">
            <v>TWINSHOP</v>
          </cell>
          <cell r="C1151">
            <v>112100</v>
          </cell>
        </row>
        <row r="1152">
          <cell r="A1152" t="str">
            <v>CL37546</v>
          </cell>
          <cell r="B1152" t="str">
            <v>ANGELIA SKIN OFFICIAL</v>
          </cell>
          <cell r="C1152">
            <v>8780789.8181818202</v>
          </cell>
        </row>
        <row r="1153">
          <cell r="A1153" t="str">
            <v>CL37657</v>
          </cell>
          <cell r="B1153" t="str">
            <v>SHANUM COSMETIC</v>
          </cell>
          <cell r="C1153">
            <v>3009066.1818181835</v>
          </cell>
        </row>
        <row r="1154">
          <cell r="A1154" t="str">
            <v>CL37706</v>
          </cell>
          <cell r="B1154" t="str">
            <v>YUNIZA</v>
          </cell>
          <cell r="C1154">
            <v>1528340.3636363635</v>
          </cell>
        </row>
        <row r="1155">
          <cell r="A1155" t="str">
            <v>CL37789</v>
          </cell>
          <cell r="B1155" t="str">
            <v>ILS BEAUTY STORE</v>
          </cell>
          <cell r="C1155">
            <v>2574474.3636363638</v>
          </cell>
        </row>
        <row r="1156">
          <cell r="A1156" t="str">
            <v>CL37849</v>
          </cell>
          <cell r="B1156" t="str">
            <v>BU ELIS, TOKO</v>
          </cell>
          <cell r="C1156">
            <v>63500</v>
          </cell>
        </row>
        <row r="1157">
          <cell r="A1157" t="str">
            <v>CL37905</v>
          </cell>
          <cell r="B1157" t="str">
            <v xml:space="preserve">GRIYA CANTIK_x000D_
</v>
          </cell>
          <cell r="C1157">
            <v>3838319.0454545449</v>
          </cell>
        </row>
        <row r="1158">
          <cell r="A1158" t="str">
            <v>CL37987</v>
          </cell>
          <cell r="B1158" t="str">
            <v>NAYA STORE</v>
          </cell>
          <cell r="C1158">
            <v>125200</v>
          </cell>
        </row>
        <row r="1159">
          <cell r="A1159" t="str">
            <v>CL38055</v>
          </cell>
          <cell r="B1159" t="str">
            <v>KYNL, TOKO</v>
          </cell>
          <cell r="C1159">
            <v>1855946.4545454544</v>
          </cell>
        </row>
        <row r="1160">
          <cell r="A1160" t="str">
            <v>CL38118</v>
          </cell>
          <cell r="B1160" t="str">
            <v>BAROKAH JAYA</v>
          </cell>
          <cell r="C1160">
            <v>105954.54545454546</v>
          </cell>
        </row>
        <row r="1161">
          <cell r="A1161" t="str">
            <v>CL38124</v>
          </cell>
          <cell r="B1161" t="str">
            <v>RISKY COSMETIK</v>
          </cell>
          <cell r="C1161">
            <v>88800.000000000015</v>
          </cell>
        </row>
        <row r="1162">
          <cell r="A1162" t="str">
            <v>CL38146</v>
          </cell>
          <cell r="B1162" t="str">
            <v>TB ACCESORIES</v>
          </cell>
          <cell r="C1162">
            <v>66600.000000000015</v>
          </cell>
        </row>
        <row r="1163">
          <cell r="A1163" t="str">
            <v>CL38157</v>
          </cell>
          <cell r="B1163" t="str">
            <v>AMALIA, TOKO</v>
          </cell>
          <cell r="C1163">
            <v>387568.63636363641</v>
          </cell>
        </row>
        <row r="1164">
          <cell r="A1164" t="str">
            <v>CL38357</v>
          </cell>
          <cell r="B1164" t="str">
            <v>REVANDRA SHOP</v>
          </cell>
          <cell r="C1164">
            <v>117266.27272727274</v>
          </cell>
        </row>
        <row r="1165">
          <cell r="A1165" t="str">
            <v>CL38487</v>
          </cell>
          <cell r="B1165" t="str">
            <v>BASMALLAH 5</v>
          </cell>
          <cell r="C1165">
            <v>211909.09090909088</v>
          </cell>
        </row>
        <row r="1166">
          <cell r="A1166" t="str">
            <v>CL38490</v>
          </cell>
          <cell r="B1166" t="str">
            <v>JOYO ACC, TOKO</v>
          </cell>
          <cell r="C1166">
            <v>214000</v>
          </cell>
        </row>
        <row r="1167">
          <cell r="A1167" t="str">
            <v>CL38510</v>
          </cell>
          <cell r="B1167" t="str">
            <v>REMAJA SUKODONO</v>
          </cell>
          <cell r="C1167">
            <v>14938655.590909095</v>
          </cell>
        </row>
        <row r="1168">
          <cell r="A1168" t="str">
            <v>CL38789</v>
          </cell>
          <cell r="B1168" t="str">
            <v>LULUK HIDAYATUR ROHMAH</v>
          </cell>
          <cell r="C1168">
            <v>111000.00000000001</v>
          </cell>
        </row>
        <row r="1169">
          <cell r="A1169" t="str">
            <v>CL38857</v>
          </cell>
          <cell r="B1169" t="str">
            <v>KILA KOSMETIK</v>
          </cell>
          <cell r="C1169">
            <v>553480.27272727271</v>
          </cell>
        </row>
        <row r="1170">
          <cell r="A1170" t="str">
            <v>CL38904</v>
          </cell>
          <cell r="B1170" t="str">
            <v>VEYH STORE</v>
          </cell>
          <cell r="C1170">
            <v>460954.81818181818</v>
          </cell>
        </row>
        <row r="1171">
          <cell r="A1171" t="str">
            <v>CL39010</v>
          </cell>
          <cell r="B1171" t="str">
            <v>PRIMA ACC</v>
          </cell>
          <cell r="C1171">
            <v>635727.27272727259</v>
          </cell>
        </row>
        <row r="1172">
          <cell r="A1172" t="str">
            <v>CL39022</v>
          </cell>
          <cell r="B1172" t="str">
            <v>ENGGAL SAE, TK</v>
          </cell>
          <cell r="C1172">
            <v>172944.27272727274</v>
          </cell>
        </row>
        <row r="1173">
          <cell r="A1173" t="str">
            <v>CL39055</v>
          </cell>
          <cell r="B1173" t="str">
            <v>VELLA KOSMETIK</v>
          </cell>
          <cell r="C1173">
            <v>1126310</v>
          </cell>
        </row>
        <row r="1174">
          <cell r="A1174" t="str">
            <v>CL39105</v>
          </cell>
          <cell r="B1174" t="str">
            <v>ALI KOSMETIK</v>
          </cell>
          <cell r="C1174">
            <v>1245940.8181818184</v>
          </cell>
        </row>
        <row r="1175">
          <cell r="A1175" t="str">
            <v>CL39127</v>
          </cell>
          <cell r="B1175" t="str">
            <v>EVA KOSMETIK</v>
          </cell>
          <cell r="C1175">
            <v>115288.63636363638</v>
          </cell>
        </row>
        <row r="1176">
          <cell r="A1176" t="str">
            <v>CL39141</v>
          </cell>
          <cell r="B1176" t="str">
            <v>AMANDA, TOKO</v>
          </cell>
          <cell r="C1176">
            <v>111000.00000000001</v>
          </cell>
        </row>
        <row r="1177">
          <cell r="A1177" t="str">
            <v>CL39145</v>
          </cell>
          <cell r="B1177" t="str">
            <v>SHE BEAUTY</v>
          </cell>
          <cell r="C1177">
            <v>12961089.090909097</v>
          </cell>
        </row>
        <row r="1178">
          <cell r="A1178" t="str">
            <v>CL39176</v>
          </cell>
          <cell r="B1178" t="str">
            <v>SAMUDRA MART</v>
          </cell>
          <cell r="C1178">
            <v>178468.18181818182</v>
          </cell>
        </row>
        <row r="1179">
          <cell r="A1179" t="str">
            <v>CL39181</v>
          </cell>
          <cell r="B1179" t="str">
            <v>NEKAT SHOP</v>
          </cell>
          <cell r="C1179">
            <v>1938881.9090909089</v>
          </cell>
        </row>
        <row r="1180">
          <cell r="A1180" t="str">
            <v>CL39190</v>
          </cell>
          <cell r="B1180" t="str">
            <v>KARIMA STORE</v>
          </cell>
          <cell r="C1180">
            <v>33801697.636363626</v>
          </cell>
        </row>
        <row r="1181">
          <cell r="A1181" t="str">
            <v>CL39243</v>
          </cell>
          <cell r="B1181" t="str">
            <v>BU ASIYAH</v>
          </cell>
          <cell r="C1181">
            <v>1646421.8181818179</v>
          </cell>
        </row>
        <row r="1182">
          <cell r="A1182" t="str">
            <v>CL39244</v>
          </cell>
          <cell r="B1182" t="str">
            <v>PELANGI TOKO</v>
          </cell>
          <cell r="C1182">
            <v>531891.81818181812</v>
          </cell>
        </row>
        <row r="1183">
          <cell r="A1183" t="str">
            <v>CL39261</v>
          </cell>
          <cell r="B1183" t="str">
            <v>LIBRA, TK</v>
          </cell>
          <cell r="C1183">
            <v>140000</v>
          </cell>
        </row>
        <row r="1184">
          <cell r="A1184" t="str">
            <v>CL39357</v>
          </cell>
          <cell r="B1184" t="str">
            <v>RADIKA BABY AND MOM</v>
          </cell>
          <cell r="C1184">
            <v>1006571.0909090907</v>
          </cell>
        </row>
        <row r="1185">
          <cell r="A1185" t="str">
            <v>CL39404</v>
          </cell>
          <cell r="B1185" t="str">
            <v>CANTIKIN BEAUTY STORE</v>
          </cell>
          <cell r="C1185">
            <v>9640057.1363636367</v>
          </cell>
        </row>
        <row r="1186">
          <cell r="A1186" t="str">
            <v>CL39435</v>
          </cell>
          <cell r="B1186" t="str">
            <v>PT. YCX INTERNASIONAL TRADE</v>
          </cell>
          <cell r="C1186">
            <v>8880000</v>
          </cell>
        </row>
        <row r="1187">
          <cell r="A1187" t="str">
            <v>CL39539</v>
          </cell>
          <cell r="B1187" t="str">
            <v>SARI SAMUDRA</v>
          </cell>
          <cell r="C1187">
            <v>66600.000000000015</v>
          </cell>
        </row>
        <row r="1188">
          <cell r="A1188" t="str">
            <v>CL39543</v>
          </cell>
          <cell r="B1188" t="str">
            <v>CANTIKKU, TK</v>
          </cell>
          <cell r="C1188">
            <v>23724249.863636367</v>
          </cell>
        </row>
        <row r="1189">
          <cell r="A1189" t="str">
            <v>CL39607</v>
          </cell>
          <cell r="B1189" t="str">
            <v>RYAN, TK</v>
          </cell>
          <cell r="C1189">
            <v>317863.63636363635</v>
          </cell>
        </row>
        <row r="1190">
          <cell r="A1190" t="str">
            <v>CL39634</v>
          </cell>
          <cell r="B1190" t="str">
            <v>ONE SEVEN, TK</v>
          </cell>
          <cell r="C1190">
            <v>7059113.454545456</v>
          </cell>
        </row>
        <row r="1191">
          <cell r="A1191" t="str">
            <v>CL39647</v>
          </cell>
          <cell r="B1191" t="str">
            <v>AMORA COSMETIC</v>
          </cell>
          <cell r="C1191">
            <v>10934037.318181822</v>
          </cell>
        </row>
        <row r="1192">
          <cell r="A1192" t="str">
            <v>CL39663</v>
          </cell>
          <cell r="B1192" t="str">
            <v>LANGGENG, TK</v>
          </cell>
          <cell r="C1192">
            <v>3600084.0909090918</v>
          </cell>
        </row>
        <row r="1193">
          <cell r="A1193" t="str">
            <v>CL39694</v>
          </cell>
          <cell r="B1193" t="str">
            <v>BAROKAH</v>
          </cell>
          <cell r="C1193">
            <v>88800.000000000015</v>
          </cell>
        </row>
        <row r="1194">
          <cell r="A1194" t="str">
            <v>CL39717</v>
          </cell>
          <cell r="B1194" t="str">
            <v>KNYL BEUTY / MBK KIKI</v>
          </cell>
          <cell r="C1194">
            <v>12799647.045454549</v>
          </cell>
        </row>
        <row r="1195">
          <cell r="A1195" t="str">
            <v>CL39718</v>
          </cell>
          <cell r="B1195" t="str">
            <v>NUR NIESA RESELER KOSMETIK</v>
          </cell>
          <cell r="C1195">
            <v>2665738.6363636358</v>
          </cell>
        </row>
        <row r="1196">
          <cell r="A1196" t="str">
            <v>CL39731</v>
          </cell>
          <cell r="B1196" t="str">
            <v>THANIA SALON/FITRIA</v>
          </cell>
          <cell r="C1196">
            <v>551151.81818181812</v>
          </cell>
        </row>
        <row r="1197">
          <cell r="A1197" t="str">
            <v>CL39735</v>
          </cell>
          <cell r="B1197" t="str">
            <v>BINTANG</v>
          </cell>
          <cell r="C1197">
            <v>102900</v>
          </cell>
        </row>
        <row r="1198">
          <cell r="A1198" t="str">
            <v>CL39874</v>
          </cell>
          <cell r="B1198" t="str">
            <v>CV. GRAND RETAILINDO ANUGERAH</v>
          </cell>
          <cell r="C1198">
            <v>35481631.363636374</v>
          </cell>
        </row>
        <row r="1199">
          <cell r="A1199" t="str">
            <v>CL39908</v>
          </cell>
          <cell r="B1199" t="str">
            <v>AELLA COSMETIC</v>
          </cell>
          <cell r="C1199">
            <v>78469766.181818187</v>
          </cell>
        </row>
        <row r="1200">
          <cell r="A1200" t="str">
            <v>CL40012</v>
          </cell>
          <cell r="B1200" t="str">
            <v>MURAH SAE</v>
          </cell>
          <cell r="C1200">
            <v>6271069.7727272725</v>
          </cell>
        </row>
        <row r="1201">
          <cell r="A1201" t="str">
            <v>CL40040</v>
          </cell>
          <cell r="B1201" t="str">
            <v>MEGA MART 2</v>
          </cell>
          <cell r="C1201">
            <v>192103.36363636365</v>
          </cell>
        </row>
        <row r="1202">
          <cell r="A1202" t="str">
            <v>CL40083</v>
          </cell>
          <cell r="B1202" t="str">
            <v>ELVIRA BEAUTY SHOP</v>
          </cell>
          <cell r="C1202">
            <v>2256966.8181818179</v>
          </cell>
        </row>
        <row r="1203">
          <cell r="A1203" t="str">
            <v>CL40146</v>
          </cell>
          <cell r="B1203" t="str">
            <v>NASYA BEAUTY STORE</v>
          </cell>
          <cell r="C1203">
            <v>1939238.1818181821</v>
          </cell>
        </row>
        <row r="1204">
          <cell r="A1204" t="str">
            <v>CL40203</v>
          </cell>
          <cell r="B1204" t="str">
            <v>SENTOSA CANTIKA KOSMETIKA, CV</v>
          </cell>
          <cell r="C1204">
            <v>25251422.18181818</v>
          </cell>
        </row>
        <row r="1205">
          <cell r="A1205" t="str">
            <v>CL40246</v>
          </cell>
          <cell r="B1205" t="str">
            <v>LANCAR MART 3</v>
          </cell>
          <cell r="C1205">
            <v>392863.63636363635</v>
          </cell>
        </row>
        <row r="1206">
          <cell r="A1206" t="str">
            <v>CL40310</v>
          </cell>
          <cell r="B1206" t="str">
            <v>THALITA</v>
          </cell>
          <cell r="C1206">
            <v>12247200.000000002</v>
          </cell>
        </row>
        <row r="1207">
          <cell r="A1207" t="str">
            <v>CL40427</v>
          </cell>
          <cell r="B1207" t="str">
            <v>H &amp; Y STORE</v>
          </cell>
          <cell r="C1207">
            <v>132443.18181818182</v>
          </cell>
        </row>
        <row r="1208">
          <cell r="A1208" t="str">
            <v>CL40542</v>
          </cell>
          <cell r="B1208" t="str">
            <v>CAHAYA RETAIL PAPUA, PT</v>
          </cell>
          <cell r="C1208">
            <v>15945231.272727273</v>
          </cell>
        </row>
        <row r="1209">
          <cell r="A1209" t="str">
            <v>CL40650</v>
          </cell>
          <cell r="B1209" t="str">
            <v>V STORE / ZUHANAFIKA</v>
          </cell>
          <cell r="C1209">
            <v>220796.18181818182</v>
          </cell>
        </row>
        <row r="1210">
          <cell r="A1210" t="str">
            <v>CL40712</v>
          </cell>
          <cell r="B1210" t="str">
            <v>FE BEAUTY COSMETIC &amp; SKINCARE</v>
          </cell>
          <cell r="C1210">
            <v>655854.54545454541</v>
          </cell>
        </row>
        <row r="1211">
          <cell r="A1211" t="str">
            <v>CL40713</v>
          </cell>
          <cell r="B1211" t="str">
            <v>SUMBER RAHMAD / KHOIRUNISA</v>
          </cell>
          <cell r="C1211">
            <v>117465.90909090909</v>
          </cell>
        </row>
        <row r="1212">
          <cell r="A1212" t="str">
            <v>CL40714</v>
          </cell>
          <cell r="B1212" t="str">
            <v>PURI SHOP</v>
          </cell>
          <cell r="C1212">
            <v>13929000</v>
          </cell>
        </row>
        <row r="1213">
          <cell r="A1213" t="str">
            <v>CL40741</v>
          </cell>
          <cell r="B1213" t="str">
            <v>MALIKA LITANI KOSMETIK INDONESIA, PT</v>
          </cell>
          <cell r="C1213">
            <v>11357318.636363639</v>
          </cell>
        </row>
        <row r="1214">
          <cell r="A1214" t="str">
            <v>CL40752</v>
          </cell>
          <cell r="B1214" t="str">
            <v>EKI OLSHOP</v>
          </cell>
          <cell r="C1214">
            <v>120478</v>
          </cell>
        </row>
        <row r="1215">
          <cell r="A1215" t="str">
            <v>CL40772</v>
          </cell>
          <cell r="B1215" t="str">
            <v>ARINA SHOP / ANA FI INAYATI</v>
          </cell>
          <cell r="C1215">
            <v>964620.63636363624</v>
          </cell>
        </row>
        <row r="1216">
          <cell r="A1216" t="str">
            <v>CL40780</v>
          </cell>
          <cell r="B1216" t="str">
            <v>TOP PANGAN DLANGGU</v>
          </cell>
          <cell r="C1216">
            <v>75600</v>
          </cell>
        </row>
        <row r="1217">
          <cell r="A1217" t="str">
            <v>CL40794</v>
          </cell>
          <cell r="B1217" t="str">
            <v>IZDIHAR ALL SHOP</v>
          </cell>
          <cell r="C1217">
            <v>5397600</v>
          </cell>
        </row>
        <row r="1218">
          <cell r="A1218" t="str">
            <v>CL40806</v>
          </cell>
          <cell r="B1218" t="str">
            <v>LARISO 2</v>
          </cell>
          <cell r="C1218">
            <v>129560.45454545453</v>
          </cell>
        </row>
        <row r="1219">
          <cell r="A1219" t="str">
            <v>CL40825</v>
          </cell>
          <cell r="B1219" t="str">
            <v>ASKA MART</v>
          </cell>
          <cell r="C1219">
            <v>291148.36363636365</v>
          </cell>
        </row>
        <row r="1220">
          <cell r="A1220" t="str">
            <v>CL40871</v>
          </cell>
          <cell r="B1220" t="str">
            <v>GRIZTA KOSMETIK</v>
          </cell>
          <cell r="C1220">
            <v>102675.00000000001</v>
          </cell>
        </row>
        <row r="1221">
          <cell r="A1221" t="str">
            <v>CL40872</v>
          </cell>
          <cell r="B1221" t="str">
            <v>SUMBER MAKMUR NGAGEL</v>
          </cell>
          <cell r="C1221">
            <v>1937454.5454545452</v>
          </cell>
        </row>
        <row r="1222">
          <cell r="A1222" t="str">
            <v>CL40888</v>
          </cell>
          <cell r="B1222" t="str">
            <v>FAJAR JAYA</v>
          </cell>
          <cell r="C1222">
            <v>171754.90909090909</v>
          </cell>
        </row>
        <row r="1223">
          <cell r="A1223" t="str">
            <v>CL40965</v>
          </cell>
          <cell r="B1223" t="str">
            <v>SEPAKAT MAKMUR JAYA, PT</v>
          </cell>
          <cell r="C1223">
            <v>958780.27272727259</v>
          </cell>
        </row>
        <row r="1224">
          <cell r="A1224" t="str">
            <v>CL41015</v>
          </cell>
          <cell r="B1224" t="str">
            <v>DEWZU</v>
          </cell>
          <cell r="C1224">
            <v>66600</v>
          </cell>
        </row>
        <row r="1225">
          <cell r="A1225" t="str">
            <v>CL41034</v>
          </cell>
          <cell r="B1225" t="str">
            <v>SOFI, TK</v>
          </cell>
          <cell r="C1225">
            <v>123865.90909090909</v>
          </cell>
        </row>
        <row r="1226">
          <cell r="A1226" t="str">
            <v>CL41089</v>
          </cell>
          <cell r="B1226" t="str">
            <v>TOKO WIJAYA</v>
          </cell>
          <cell r="C1226">
            <v>635727.27272727259</v>
          </cell>
        </row>
        <row r="1227">
          <cell r="A1227" t="str">
            <v>CL41091</v>
          </cell>
          <cell r="B1227" t="str">
            <v>SC MART</v>
          </cell>
          <cell r="C1227">
            <v>317863.63636363635</v>
          </cell>
        </row>
        <row r="1228">
          <cell r="A1228" t="str">
            <v>CL41132</v>
          </cell>
          <cell r="B1228" t="str">
            <v>AURORA CANTIK INDONESIA, CV</v>
          </cell>
          <cell r="C1228">
            <v>9016032</v>
          </cell>
        </row>
        <row r="1229">
          <cell r="A1229" t="str">
            <v>CL41145</v>
          </cell>
          <cell r="B1229" t="str">
            <v>NIA, TOKO/ MBAK TIN</v>
          </cell>
          <cell r="C1229">
            <v>317863.63636363635</v>
          </cell>
        </row>
        <row r="1230">
          <cell r="A1230" t="str">
            <v>CL41209</v>
          </cell>
          <cell r="B1230" t="str">
            <v>MULINDAH</v>
          </cell>
          <cell r="C1230">
            <v>4679608.6363636348</v>
          </cell>
        </row>
        <row r="1231">
          <cell r="A1231" t="str">
            <v>CL41221</v>
          </cell>
          <cell r="B1231" t="str">
            <v>ORISKIN STORE</v>
          </cell>
          <cell r="C1231">
            <v>161700.00000000003</v>
          </cell>
        </row>
        <row r="1232">
          <cell r="A1232" t="str">
            <v>CL41239</v>
          </cell>
          <cell r="B1232" t="str">
            <v>ANEKA JAYA PLASTIK</v>
          </cell>
          <cell r="C1232">
            <v>135000</v>
          </cell>
        </row>
        <row r="1233">
          <cell r="A1233" t="str">
            <v>CL41259</v>
          </cell>
          <cell r="B1233" t="str">
            <v>AMANAH</v>
          </cell>
          <cell r="C1233">
            <v>132443.18181818182</v>
          </cell>
        </row>
        <row r="1234">
          <cell r="A1234" t="str">
            <v>CL41401</v>
          </cell>
          <cell r="B1234" t="str">
            <v>QEILA STORE</v>
          </cell>
          <cell r="C1234">
            <v>132443918.18181817</v>
          </cell>
        </row>
        <row r="1235">
          <cell r="A1235" t="str">
            <v>CL41425</v>
          </cell>
          <cell r="B1235" t="str">
            <v>JANAH, TOKO</v>
          </cell>
          <cell r="C1235">
            <v>88800.000000000015</v>
          </cell>
        </row>
        <row r="1236">
          <cell r="A1236" t="str">
            <v>CL41433</v>
          </cell>
          <cell r="B1236" t="str">
            <v>TOKO INNA</v>
          </cell>
          <cell r="C1236">
            <v>209761.36363636365</v>
          </cell>
        </row>
        <row r="1237">
          <cell r="A1237" t="str">
            <v>CL41452</v>
          </cell>
          <cell r="B1237" t="str">
            <v>AIDA JAYA</v>
          </cell>
          <cell r="C1237">
            <v>132443.18181818182</v>
          </cell>
        </row>
        <row r="1238">
          <cell r="A1238" t="str">
            <v>CL41501</v>
          </cell>
          <cell r="B1238" t="str">
            <v>KAUKABA</v>
          </cell>
          <cell r="C1238">
            <v>4502526.954545456</v>
          </cell>
        </row>
        <row r="1239">
          <cell r="A1239" t="str">
            <v>CL41506</v>
          </cell>
          <cell r="B1239" t="str">
            <v>WAGAYA</v>
          </cell>
          <cell r="C1239">
            <v>2909000</v>
          </cell>
        </row>
        <row r="1240">
          <cell r="A1240" t="str">
            <v>CL41530</v>
          </cell>
          <cell r="B1240" t="str">
            <v>BINTANG MUARA SWALAYAN, PT</v>
          </cell>
          <cell r="C1240">
            <v>123122080.90909086</v>
          </cell>
        </row>
        <row r="1241">
          <cell r="A1241" t="str">
            <v>CL41544</v>
          </cell>
          <cell r="B1241" t="str">
            <v>WENY</v>
          </cell>
          <cell r="C1241">
            <v>132443.18181818182</v>
          </cell>
        </row>
        <row r="1242">
          <cell r="A1242" t="str">
            <v>CL41602</v>
          </cell>
          <cell r="B1242" t="str">
            <v>HARIS RIADI</v>
          </cell>
          <cell r="C1242">
            <v>75841404</v>
          </cell>
        </row>
        <row r="1243">
          <cell r="A1243" t="str">
            <v>CL41603</v>
          </cell>
          <cell r="B1243" t="str">
            <v>NOVIYANTI BEAUTY</v>
          </cell>
          <cell r="C1243">
            <v>10884455.454545457</v>
          </cell>
        </row>
        <row r="1244">
          <cell r="A1244" t="str">
            <v>CL41604</v>
          </cell>
          <cell r="B1244" t="str">
            <v>RERE TOKO</v>
          </cell>
          <cell r="C1244">
            <v>1016317.818181818</v>
          </cell>
        </row>
        <row r="1245">
          <cell r="A1245" t="str">
            <v>CL41706</v>
          </cell>
          <cell r="B1245" t="str">
            <v>MILIKMU</v>
          </cell>
          <cell r="C1245">
            <v>101792.04545454547</v>
          </cell>
        </row>
        <row r="1246">
          <cell r="A1246" t="str">
            <v>CL41832</v>
          </cell>
          <cell r="B1246" t="str">
            <v>HADI RETAIL INDONESIA, PT</v>
          </cell>
          <cell r="C1246">
            <v>25296872.727272727</v>
          </cell>
        </row>
        <row r="1247">
          <cell r="A1247" t="str">
            <v>CL41854</v>
          </cell>
          <cell r="B1247" t="str">
            <v>EATING WORLD</v>
          </cell>
          <cell r="C1247">
            <v>631536</v>
          </cell>
        </row>
        <row r="1248">
          <cell r="A1248" t="str">
            <v>CL41960</v>
          </cell>
          <cell r="B1248" t="str">
            <v>BAROKAH, UD</v>
          </cell>
          <cell r="C1248">
            <v>475784.09090909094</v>
          </cell>
        </row>
        <row r="1249">
          <cell r="A1249" t="str">
            <v>CL42067</v>
          </cell>
          <cell r="B1249" t="str">
            <v>CV. RENA BEAUTY</v>
          </cell>
          <cell r="C1249">
            <v>13699355.454545453</v>
          </cell>
        </row>
        <row r="1250">
          <cell r="A1250" t="str">
            <v>CL42068</v>
          </cell>
          <cell r="B1250" t="str">
            <v>RENA FACTORY LAMONGAN</v>
          </cell>
          <cell r="C1250">
            <v>6791400</v>
          </cell>
        </row>
        <row r="1251">
          <cell r="A1251" t="str">
            <v>CL42136</v>
          </cell>
          <cell r="B1251" t="str">
            <v>IKFINA HIMMATI</v>
          </cell>
          <cell r="C1251">
            <v>2658245.4545454546</v>
          </cell>
        </row>
        <row r="1252">
          <cell r="A1252" t="str">
            <v>CL42190</v>
          </cell>
          <cell r="B1252" t="str">
            <v>JUGA 33</v>
          </cell>
          <cell r="C1252">
            <v>79465.909090909088</v>
          </cell>
        </row>
        <row r="1253">
          <cell r="A1253" t="str">
            <v>CL42269</v>
          </cell>
          <cell r="B1253" t="str">
            <v>AQILA JAYA</v>
          </cell>
          <cell r="C1253">
            <v>118800</v>
          </cell>
        </row>
        <row r="1254">
          <cell r="A1254" t="str">
            <v>CL42344</v>
          </cell>
          <cell r="B1254" t="str">
            <v>KITA</v>
          </cell>
          <cell r="C1254">
            <v>177800</v>
          </cell>
        </row>
        <row r="1255">
          <cell r="A1255" t="str">
            <v>CL42348</v>
          </cell>
          <cell r="B1255" t="str">
            <v>PT. MEGA KRIAN PERMAI</v>
          </cell>
          <cell r="C1255">
            <v>10691875.636363639</v>
          </cell>
        </row>
        <row r="1256">
          <cell r="A1256" t="str">
            <v>CL42376</v>
          </cell>
          <cell r="B1256" t="str">
            <v>TOKO JAGO</v>
          </cell>
          <cell r="C1256">
            <v>0</v>
          </cell>
        </row>
        <row r="1257">
          <cell r="A1257" t="str">
            <v>CL42439</v>
          </cell>
          <cell r="B1257" t="str">
            <v>QUEEN STORE</v>
          </cell>
          <cell r="C1257">
            <v>1958258.8636363638</v>
          </cell>
        </row>
        <row r="1258">
          <cell r="A1258" t="str">
            <v>CL42532</v>
          </cell>
          <cell r="B1258" t="str">
            <v>RAHAYU</v>
          </cell>
          <cell r="C1258">
            <v>623795.45454545447</v>
          </cell>
        </row>
        <row r="1259">
          <cell r="A1259" t="str">
            <v>CL42629</v>
          </cell>
          <cell r="B1259" t="str">
            <v>RENA FAKTORY BOJONEGORO</v>
          </cell>
          <cell r="C1259">
            <v>13745869.090909092</v>
          </cell>
        </row>
        <row r="1260">
          <cell r="A1260" t="str">
            <v>CL42765</v>
          </cell>
          <cell r="B1260" t="str">
            <v>ASIS / TOKO RUKAYAH</v>
          </cell>
          <cell r="C1260">
            <v>344352.27272727265</v>
          </cell>
        </row>
        <row r="1261">
          <cell r="A1261" t="str">
            <v>CL42766</v>
          </cell>
          <cell r="B1261" t="str">
            <v>DOSIDO</v>
          </cell>
          <cell r="C1261">
            <v>12108964.363636367</v>
          </cell>
        </row>
        <row r="1262">
          <cell r="A1262" t="str">
            <v>CL42798</v>
          </cell>
          <cell r="B1262" t="str">
            <v>HKS</v>
          </cell>
          <cell r="C1262">
            <v>2141121.5454545459</v>
          </cell>
        </row>
        <row r="1263">
          <cell r="A1263" t="str">
            <v>CL42823</v>
          </cell>
          <cell r="B1263" t="str">
            <v>RENA BEAUTY, CV</v>
          </cell>
          <cell r="C1263">
            <v>6479634.5454545449</v>
          </cell>
        </row>
        <row r="1264">
          <cell r="A1264" t="str">
            <v>CL42956</v>
          </cell>
          <cell r="B1264" t="str">
            <v>WITH US BEAUTY STORE</v>
          </cell>
          <cell r="C1264">
            <v>177977.27272727274</v>
          </cell>
        </row>
        <row r="1265">
          <cell r="A1265" t="str">
            <v>CL43019</v>
          </cell>
          <cell r="B1265" t="str">
            <v>MAHARANI STORE</v>
          </cell>
          <cell r="C1265">
            <v>2792290.4545454551</v>
          </cell>
        </row>
        <row r="1266">
          <cell r="A1266" t="str">
            <v>CL43130</v>
          </cell>
          <cell r="B1266" t="str">
            <v>ASNAN</v>
          </cell>
          <cell r="C1266">
            <v>215631.81818181818</v>
          </cell>
        </row>
        <row r="1267">
          <cell r="A1267" t="str">
            <v>CL43131</v>
          </cell>
          <cell r="B1267" t="str">
            <v>AULIA KOSMETIK</v>
          </cell>
          <cell r="C1267">
            <v>542173</v>
          </cell>
        </row>
        <row r="1268">
          <cell r="A1268" t="str">
            <v>CL43132</v>
          </cell>
          <cell r="B1268" t="str">
            <v>ENVIO STORE, CV</v>
          </cell>
          <cell r="C1268">
            <v>977250598.90909123</v>
          </cell>
        </row>
        <row r="1269">
          <cell r="A1269" t="str">
            <v>CL43133</v>
          </cell>
          <cell r="B1269" t="str">
            <v>RUSMINAH</v>
          </cell>
          <cell r="C1269">
            <v>105954.54545454546</v>
          </cell>
        </row>
        <row r="1270">
          <cell r="A1270" t="str">
            <v>CL43141</v>
          </cell>
          <cell r="B1270" t="str">
            <v>CITRA</v>
          </cell>
          <cell r="C1270">
            <v>347739.45454545459</v>
          </cell>
        </row>
        <row r="1271">
          <cell r="A1271" t="str">
            <v>CL43152</v>
          </cell>
          <cell r="B1271" t="str">
            <v>LADY LOOK</v>
          </cell>
          <cell r="C1271">
            <v>1317362.7272727273</v>
          </cell>
        </row>
        <row r="1272">
          <cell r="A1272" t="str">
            <v>CL43247</v>
          </cell>
          <cell r="B1272" t="str">
            <v>FIFI COSMETIC</v>
          </cell>
          <cell r="C1272">
            <v>718800.00000000012</v>
          </cell>
        </row>
        <row r="1273">
          <cell r="A1273" t="str">
            <v>CL43281</v>
          </cell>
          <cell r="B1273" t="str">
            <v>BANDUNG MODE</v>
          </cell>
          <cell r="C1273">
            <v>4350844.3636363633</v>
          </cell>
        </row>
        <row r="1274">
          <cell r="A1274" t="str">
            <v>CL43295</v>
          </cell>
          <cell r="B1274" t="str">
            <v>AURA COSMETIC</v>
          </cell>
          <cell r="C1274">
            <v>5482589.4545454551</v>
          </cell>
        </row>
        <row r="1275">
          <cell r="A1275" t="str">
            <v>CL43314</v>
          </cell>
          <cell r="B1275" t="str">
            <v>ABILA MART</v>
          </cell>
          <cell r="C1275">
            <v>402469.09090909094</v>
          </cell>
        </row>
        <row r="1276">
          <cell r="A1276" t="str">
            <v>CL43479</v>
          </cell>
          <cell r="B1276" t="str">
            <v>VINA</v>
          </cell>
          <cell r="C1276">
            <v>125660588.18181823</v>
          </cell>
        </row>
        <row r="1277">
          <cell r="A1277" t="str">
            <v>CL43488</v>
          </cell>
          <cell r="B1277" t="str">
            <v>VW BEAUTY &amp; FASHION</v>
          </cell>
          <cell r="C1277">
            <v>786954.54545454541</v>
          </cell>
        </row>
        <row r="1278">
          <cell r="A1278" t="str">
            <v>CL43520</v>
          </cell>
          <cell r="B1278" t="str">
            <v>ARFA TOKO</v>
          </cell>
          <cell r="C1278">
            <v>584463.63636363624</v>
          </cell>
        </row>
        <row r="1279">
          <cell r="A1279" t="str">
            <v>CL43533</v>
          </cell>
          <cell r="B1279" t="str">
            <v>RUMAH GLAMOR</v>
          </cell>
          <cell r="C1279">
            <v>4506728.1818181816</v>
          </cell>
        </row>
        <row r="1280">
          <cell r="A1280" t="str">
            <v>CL43551</v>
          </cell>
          <cell r="B1280" t="str">
            <v>CANDRA CELL</v>
          </cell>
          <cell r="C1280">
            <v>66600.000000000015</v>
          </cell>
        </row>
        <row r="1281">
          <cell r="A1281" t="str">
            <v>CL43641</v>
          </cell>
          <cell r="B1281" t="str">
            <v>YASMIN BEAUTY</v>
          </cell>
          <cell r="C1281">
            <v>4099377.6363636367</v>
          </cell>
        </row>
        <row r="1282">
          <cell r="A1282" t="str">
            <v>CL43688</v>
          </cell>
          <cell r="B1282" t="str">
            <v>AGATHA BEAUTY STORE</v>
          </cell>
          <cell r="C1282">
            <v>29673418.772727281</v>
          </cell>
        </row>
        <row r="1283">
          <cell r="A1283" t="str">
            <v>CL43689</v>
          </cell>
          <cell r="B1283" t="str">
            <v>BERKAH 9 MULIA</v>
          </cell>
          <cell r="C1283">
            <v>135218.18181818182</v>
          </cell>
        </row>
        <row r="1284">
          <cell r="A1284" t="str">
            <v>CL43704</v>
          </cell>
          <cell r="B1284" t="str">
            <v>SINAR GROSIR</v>
          </cell>
          <cell r="C1284">
            <v>1200015</v>
          </cell>
        </row>
        <row r="1285">
          <cell r="A1285" t="str">
            <v>CL43716</v>
          </cell>
          <cell r="B1285" t="str">
            <v>YUNIASIH</v>
          </cell>
          <cell r="C1285">
            <v>105954.54545454546</v>
          </cell>
        </row>
        <row r="1286">
          <cell r="A1286" t="str">
            <v>CL43717</v>
          </cell>
          <cell r="B1286" t="str">
            <v>DIAMOND STORE</v>
          </cell>
          <cell r="C1286">
            <v>2175000</v>
          </cell>
        </row>
        <row r="1287">
          <cell r="A1287" t="str">
            <v>CL43743</v>
          </cell>
          <cell r="B1287" t="str">
            <v>JAYA MART</v>
          </cell>
          <cell r="C1287">
            <v>243984.54545454547</v>
          </cell>
        </row>
        <row r="1288">
          <cell r="A1288" t="str">
            <v>CL43759</v>
          </cell>
          <cell r="B1288" t="str">
            <v>HERMOSA TRIMITRA UTAMA, CV</v>
          </cell>
          <cell r="C1288">
            <v>469650367.54545456</v>
          </cell>
        </row>
        <row r="1289">
          <cell r="A1289" t="str">
            <v>CL43760</v>
          </cell>
          <cell r="B1289" t="str">
            <v>CRYSTAL COSMETIC</v>
          </cell>
          <cell r="C1289">
            <v>1998000.0000000005</v>
          </cell>
        </row>
        <row r="1290">
          <cell r="A1290" t="str">
            <v>CL43812</v>
          </cell>
          <cell r="B1290" t="str">
            <v>HAINUN STORE</v>
          </cell>
          <cell r="C1290">
            <v>11553951.545454547</v>
          </cell>
        </row>
        <row r="1291">
          <cell r="A1291" t="str">
            <v>CL43955</v>
          </cell>
          <cell r="B1291" t="str">
            <v>PINK LOVELY</v>
          </cell>
          <cell r="C1291">
            <v>66600.000000000015</v>
          </cell>
        </row>
        <row r="1292">
          <cell r="A1292" t="str">
            <v>CL43957</v>
          </cell>
          <cell r="B1292" t="str">
            <v>KENCANA WUNGU</v>
          </cell>
          <cell r="C1292">
            <v>75600</v>
          </cell>
        </row>
        <row r="1293">
          <cell r="A1293" t="str">
            <v>CL43980</v>
          </cell>
          <cell r="B1293" t="str">
            <v>RENA BEAUTY PASURUAN</v>
          </cell>
          <cell r="C1293">
            <v>22288527.136363637</v>
          </cell>
        </row>
        <row r="1294">
          <cell r="A1294" t="str">
            <v>CL44060</v>
          </cell>
          <cell r="B1294" t="str">
            <v>NABILLAH SALSA</v>
          </cell>
          <cell r="C1294">
            <v>1148659.0909090908</v>
          </cell>
        </row>
        <row r="1295">
          <cell r="A1295" t="str">
            <v>CL44078</v>
          </cell>
          <cell r="B1295" t="str">
            <v>MY COSMETIC</v>
          </cell>
          <cell r="C1295">
            <v>66600.000000000015</v>
          </cell>
        </row>
        <row r="1296">
          <cell r="A1296" t="str">
            <v>CL44079</v>
          </cell>
          <cell r="B1296" t="str">
            <v>GEREND COSMETICS</v>
          </cell>
          <cell r="C1296">
            <v>513600.00000000006</v>
          </cell>
        </row>
        <row r="1297">
          <cell r="A1297" t="str">
            <v>CL44252</v>
          </cell>
          <cell r="B1297" t="str">
            <v>MELLYSYARA SKINCARE</v>
          </cell>
          <cell r="C1297">
            <v>1812565.9090909092</v>
          </cell>
        </row>
        <row r="1298">
          <cell r="A1298" t="str">
            <v>CL44339</v>
          </cell>
          <cell r="B1298" t="str">
            <v>LANCAR A3</v>
          </cell>
          <cell r="C1298">
            <v>216147.27272727274</v>
          </cell>
        </row>
        <row r="1299">
          <cell r="A1299" t="str">
            <v>CL44434</v>
          </cell>
          <cell r="B1299" t="str">
            <v>YEOROBUN SHOP</v>
          </cell>
          <cell r="C1299">
            <v>8330698.6363636367</v>
          </cell>
        </row>
        <row r="1300">
          <cell r="A1300" t="str">
            <v>CL44453</v>
          </cell>
          <cell r="B1300" t="str">
            <v>HARUM MART</v>
          </cell>
          <cell r="C1300">
            <v>499575</v>
          </cell>
        </row>
        <row r="1301">
          <cell r="A1301" t="str">
            <v>CL44489</v>
          </cell>
          <cell r="B1301" t="str">
            <v>PANDA LOVELY</v>
          </cell>
          <cell r="C1301">
            <v>0</v>
          </cell>
        </row>
        <row r="1302">
          <cell r="A1302" t="str">
            <v>CL44491</v>
          </cell>
          <cell r="B1302" t="str">
            <v>PT. ITSME COSME INDONESIA</v>
          </cell>
          <cell r="C1302">
            <v>18819728.181818184</v>
          </cell>
        </row>
        <row r="1303">
          <cell r="A1303" t="str">
            <v>CL44529</v>
          </cell>
          <cell r="B1303" t="str">
            <v>AURELIA KOSMETIK</v>
          </cell>
          <cell r="C1303">
            <v>14845921.63636364</v>
          </cell>
        </row>
        <row r="1304">
          <cell r="A1304" t="str">
            <v>CL44540</v>
          </cell>
          <cell r="B1304" t="str">
            <v>MEGA TOKO</v>
          </cell>
          <cell r="C1304">
            <v>492813.63636363629</v>
          </cell>
        </row>
        <row r="1305">
          <cell r="A1305" t="str">
            <v>CL44559</v>
          </cell>
          <cell r="B1305" t="str">
            <v>BERKAH JOSS, CV</v>
          </cell>
          <cell r="C1305">
            <v>7992000.0000000019</v>
          </cell>
        </row>
        <row r="1306">
          <cell r="A1306" t="str">
            <v>CL44613</v>
          </cell>
          <cell r="B1306" t="str">
            <v>LACICI SUKSES BERSAMA, CV</v>
          </cell>
          <cell r="C1306">
            <v>102476274.54545455</v>
          </cell>
        </row>
        <row r="1307">
          <cell r="A1307" t="str">
            <v>CL44660</v>
          </cell>
          <cell r="B1307" t="str">
            <v>AN BEAUTY COSMETIC</v>
          </cell>
          <cell r="C1307">
            <v>419036.36363636365</v>
          </cell>
        </row>
        <row r="1308">
          <cell r="A1308" t="str">
            <v>CL44779</v>
          </cell>
          <cell r="B1308" t="str">
            <v>DEWI PEDIASHOOP</v>
          </cell>
          <cell r="C1308">
            <v>491200</v>
          </cell>
        </row>
        <row r="1309">
          <cell r="A1309" t="str">
            <v>MDR-APT-A.BAYA-02</v>
          </cell>
          <cell r="B1309" t="str">
            <v>ISKANDAR</v>
          </cell>
          <cell r="C1309">
            <v>505554.54545454553</v>
          </cell>
        </row>
        <row r="1310">
          <cell r="A1310" t="str">
            <v>MDR-APT-APT ILIMA-25</v>
          </cell>
          <cell r="B1310" t="str">
            <v>PT. ILIMA BERKAH MAKMUR</v>
          </cell>
          <cell r="C1310">
            <v>1673635.363636364</v>
          </cell>
        </row>
        <row r="1311">
          <cell r="A1311" t="str">
            <v>MDR-KOP-BASKAMAL-01</v>
          </cell>
          <cell r="B1311" t="str">
            <v xml:space="preserve">KOPERASI PONDOK PESANTREN BASMALAH </v>
          </cell>
          <cell r="C1311">
            <v>-887870.4545454547</v>
          </cell>
        </row>
        <row r="1312">
          <cell r="A1312" t="str">
            <v>MDR-KOP-BASKWANYR-01</v>
          </cell>
          <cell r="B1312" t="str">
            <v>MOHAMMAD AKROMI NAWAWI</v>
          </cell>
          <cell r="C1312">
            <v>62775.000000000007</v>
          </cell>
        </row>
        <row r="1313">
          <cell r="A1313" t="str">
            <v>MDR-KOP-BASSRMADU-01</v>
          </cell>
          <cell r="B1313" t="str">
            <v>KOPERASI PONDOK PESANTREN SIDOGIRI</v>
          </cell>
          <cell r="C1313">
            <v>155767.5</v>
          </cell>
        </row>
        <row r="1314">
          <cell r="A1314" t="str">
            <v>MDR-KOP-BASTRAGAH-01</v>
          </cell>
          <cell r="B1314" t="str">
            <v>IMAM SADHILI</v>
          </cell>
          <cell r="C1314">
            <v>371162.45454545459</v>
          </cell>
        </row>
        <row r="1315">
          <cell r="A1315" t="str">
            <v>MDR-KOP-KARBAK-0001</v>
          </cell>
          <cell r="B1315" t="str">
            <v>KOP. KOPERASI PEGAWAI REPUBLIK INDONESIA BAKTI</v>
          </cell>
          <cell r="C1315">
            <v>1456934.4545454546</v>
          </cell>
        </row>
        <row r="1316">
          <cell r="A1316" t="str">
            <v>MDR-KOP-SIDBLBII-009</v>
          </cell>
          <cell r="B1316" t="str">
            <v>KOPERASI PONDOK PESANTREN SIDOGIRI</v>
          </cell>
          <cell r="C1316">
            <v>317863.63636363635</v>
          </cell>
        </row>
        <row r="1317">
          <cell r="A1317" t="str">
            <v>MDR-KOP-SIDCAMPL-002</v>
          </cell>
          <cell r="B1317" t="str">
            <v>MOH. ABDUS SALIM</v>
          </cell>
          <cell r="C1317">
            <v>99900.000000000029</v>
          </cell>
        </row>
        <row r="1318">
          <cell r="A1318" t="str">
            <v>MDR-KOP-SIDOGIRI-24</v>
          </cell>
          <cell r="B1318" t="str">
            <v>KOPONTREN SIDOGIRI SOCAH</v>
          </cell>
          <cell r="C1318">
            <v>226984.09090909094</v>
          </cell>
        </row>
        <row r="1319">
          <cell r="A1319" t="str">
            <v>MDR-KOP-SIDPAKONG-09</v>
          </cell>
          <cell r="B1319" t="str">
            <v>KOPERASI PONDOK PESANTREN SIDOGIRI</v>
          </cell>
          <cell r="C1319">
            <v>-262237.50000000012</v>
          </cell>
        </row>
        <row r="1320">
          <cell r="A1320" t="str">
            <v>MDR-KOP-SIDWARUII-02</v>
          </cell>
          <cell r="B1320" t="str">
            <v>KOPERASI PONDOK PESANTREN SIDOGIRI</v>
          </cell>
          <cell r="C1320">
            <v>78420.681818181823</v>
          </cell>
        </row>
        <row r="1321">
          <cell r="A1321" t="str">
            <v>MDR-MM-COIMBINTANG-2</v>
          </cell>
          <cell r="B1321" t="str">
            <v>SUDAHRI</v>
          </cell>
          <cell r="C1321">
            <v>3900974.8636363647</v>
          </cell>
        </row>
        <row r="1322">
          <cell r="A1322" t="str">
            <v>MDR-MM-NU BLUTO-02</v>
          </cell>
          <cell r="B1322" t="str">
            <v>KOPERASI SYARIAH NUSA UMAT GAPURA</v>
          </cell>
          <cell r="C1322">
            <v>1415140.9090909094</v>
          </cell>
        </row>
        <row r="1323">
          <cell r="A1323" t="str">
            <v>MDR-MM-NU DUNGKEK-46</v>
          </cell>
          <cell r="B1323" t="str">
            <v>KOPERASI SYARIAH NUSA UMAT GAPURA</v>
          </cell>
          <cell r="C1323">
            <v>-79465.909090909088</v>
          </cell>
        </row>
        <row r="1324">
          <cell r="A1324" t="str">
            <v>MDR-MM-NU-00002</v>
          </cell>
          <cell r="B1324" t="str">
            <v>KOPERASI SYARIAH NUSA UMAT GAPURA</v>
          </cell>
          <cell r="C1324">
            <v>1267347.2727272729</v>
          </cell>
        </row>
        <row r="1325">
          <cell r="A1325" t="str">
            <v>MDR-MM-NU-00003</v>
          </cell>
          <cell r="B1325" t="str">
            <v>KOPERASI SYARIAH NUSA UMAT GAPURA</v>
          </cell>
          <cell r="C1325">
            <v>643929.54545454541</v>
          </cell>
        </row>
        <row r="1326">
          <cell r="A1326" t="str">
            <v>MDR-MM-NU-00004</v>
          </cell>
          <cell r="B1326" t="str">
            <v>KOPERASI SYARIAH NUSA UMAT GAPURA</v>
          </cell>
          <cell r="C1326">
            <v>556262.45454545447</v>
          </cell>
        </row>
        <row r="1327">
          <cell r="A1327" t="str">
            <v>MDR-MM-NUKALIANGET-1</v>
          </cell>
          <cell r="B1327" t="str">
            <v>SYARIAH NUSA UMAT GAPURA</v>
          </cell>
          <cell r="C1327">
            <v>4723007.2727272725</v>
          </cell>
        </row>
        <row r="1328">
          <cell r="A1328" t="str">
            <v>MDR-R-2PUTRI-00001</v>
          </cell>
          <cell r="B1328" t="str">
            <v>MOH ILHAM AKBAR</v>
          </cell>
          <cell r="C1328">
            <v>824176.81818181823</v>
          </cell>
        </row>
        <row r="1329">
          <cell r="A1329" t="str">
            <v>MDR-R-2PUTRI-00002</v>
          </cell>
          <cell r="B1329" t="str">
            <v>2 PUTRI aby</v>
          </cell>
          <cell r="C1329">
            <v>22200.000000000004</v>
          </cell>
        </row>
        <row r="1330">
          <cell r="A1330" t="str">
            <v>MDR-R-ABD.GANI-01</v>
          </cell>
          <cell r="B1330" t="str">
            <v>ABD.GANI</v>
          </cell>
          <cell r="C1330">
            <v>688888.54545454541</v>
          </cell>
        </row>
        <row r="1331">
          <cell r="A1331" t="str">
            <v>MDR-R-ADIP-03</v>
          </cell>
          <cell r="B1331" t="str">
            <v>ADIP</v>
          </cell>
          <cell r="C1331">
            <v>26488.636363636364</v>
          </cell>
        </row>
        <row r="1332">
          <cell r="A1332" t="str">
            <v>MDR-R-ADITIAJAYA-01</v>
          </cell>
          <cell r="B1332" t="str">
            <v>ADITIA JAYA</v>
          </cell>
          <cell r="C1332">
            <v>52977.272727272728</v>
          </cell>
        </row>
        <row r="1333">
          <cell r="A1333" t="str">
            <v>MDR-R-AISWA-00001</v>
          </cell>
          <cell r="B1333" t="str">
            <v>AISWA MART</v>
          </cell>
          <cell r="C1333">
            <v>30303</v>
          </cell>
        </row>
        <row r="1334">
          <cell r="A1334" t="str">
            <v>MDR-R-AISYAH-0002</v>
          </cell>
          <cell r="B1334" t="str">
            <v>SITI AISYAH</v>
          </cell>
          <cell r="C1334">
            <v>3408676.9090909087</v>
          </cell>
        </row>
        <row r="1335">
          <cell r="A1335" t="str">
            <v>MDR-R-AISYAH-09</v>
          </cell>
          <cell r="B1335" t="str">
            <v>AISYAH</v>
          </cell>
          <cell r="C1335">
            <v>37311.136363636368</v>
          </cell>
        </row>
        <row r="1336">
          <cell r="A1336" t="str">
            <v>MDR-R-AKBARMART-01</v>
          </cell>
          <cell r="B1336" t="str">
            <v>AKBAR MART</v>
          </cell>
          <cell r="C1336">
            <v>51842.045454545463</v>
          </cell>
        </row>
        <row r="1337">
          <cell r="A1337" t="str">
            <v>MDR-R-AL AZIZ-01</v>
          </cell>
          <cell r="B1337" t="str">
            <v>AL AZIZ</v>
          </cell>
          <cell r="C1337">
            <v>22200.000000000004</v>
          </cell>
        </row>
        <row r="1338">
          <cell r="A1338" t="str">
            <v>MDR-R-AL FALAH-02</v>
          </cell>
          <cell r="B1338" t="str">
            <v>AL Falah</v>
          </cell>
          <cell r="C1338">
            <v>297458.18181818182</v>
          </cell>
        </row>
        <row r="1339">
          <cell r="A1339" t="str">
            <v>MDR-R-AL HUMAIDI-01</v>
          </cell>
          <cell r="B1339" t="str">
            <v>AL HUMAIDI</v>
          </cell>
          <cell r="C1339">
            <v>79467</v>
          </cell>
        </row>
        <row r="1340">
          <cell r="A1340" t="str">
            <v>MDR-R-AL KAUSAR-0005</v>
          </cell>
          <cell r="B1340" t="str">
            <v>AL KAUSAR</v>
          </cell>
          <cell r="C1340">
            <v>26867.045454545456</v>
          </cell>
        </row>
        <row r="1341">
          <cell r="A1341" t="str">
            <v>MDR-R-AL MAGFIROH-03</v>
          </cell>
          <cell r="B1341" t="str">
            <v>CV. MITRA BERKAH SUKSES</v>
          </cell>
          <cell r="C1341">
            <v>165818.86363636365</v>
          </cell>
        </row>
        <row r="1342">
          <cell r="A1342" t="str">
            <v>MDR-R-ALFAH-00002</v>
          </cell>
          <cell r="B1342" t="str">
            <v>SISKA AGUSTINI</v>
          </cell>
          <cell r="C1342">
            <v>19071.818181818184</v>
          </cell>
        </row>
        <row r="1343">
          <cell r="A1343" t="str">
            <v>MDR-R-ALFIRDA-00001</v>
          </cell>
          <cell r="B1343" t="str">
            <v>AL FIRDAUS</v>
          </cell>
          <cell r="C1343">
            <v>216600</v>
          </cell>
        </row>
        <row r="1344">
          <cell r="A1344" t="str">
            <v>MDR-R-ALHASANI-00001</v>
          </cell>
          <cell r="B1344" t="str">
            <v>AL HASANI</v>
          </cell>
          <cell r="C1344">
            <v>66600.000000000015</v>
          </cell>
        </row>
        <row r="1345">
          <cell r="A1345" t="str">
            <v>MDR-R-ALIFTA-00002</v>
          </cell>
          <cell r="B1345" t="str">
            <v>AHMAD SANHAJI</v>
          </cell>
          <cell r="C1345">
            <v>35192.045454545456</v>
          </cell>
        </row>
        <row r="1346">
          <cell r="A1346" t="str">
            <v>MDR-R-AMIN-01</v>
          </cell>
          <cell r="B1346" t="str">
            <v>AMIN</v>
          </cell>
          <cell r="C1346">
            <v>8325.0000000000018</v>
          </cell>
        </row>
        <row r="1347">
          <cell r="A1347" t="str">
            <v>MDR-R-ANEKA-04</v>
          </cell>
          <cell r="B1347" t="str">
            <v>ANEKA</v>
          </cell>
          <cell r="C1347">
            <v>0</v>
          </cell>
        </row>
        <row r="1348">
          <cell r="A1348" t="str">
            <v>MDR-R-ANFI MART-01</v>
          </cell>
          <cell r="B1348" t="str">
            <v>ANFI MART</v>
          </cell>
          <cell r="C1348">
            <v>16650.000000000004</v>
          </cell>
        </row>
        <row r="1349">
          <cell r="A1349" t="str">
            <v>MDR-R-ANITA-01</v>
          </cell>
          <cell r="B1349" t="str">
            <v>ANITA</v>
          </cell>
          <cell r="C1349">
            <v>52977.272727272728</v>
          </cell>
        </row>
        <row r="1350">
          <cell r="A1350" t="str">
            <v>MDR-R-ANKSYANG-00001</v>
          </cell>
          <cell r="B1350" t="str">
            <v>ANAK SAYANG</v>
          </cell>
          <cell r="C1350">
            <v>8325.0000000000018</v>
          </cell>
        </row>
        <row r="1351">
          <cell r="A1351" t="str">
            <v>MDR-R-ANNUR-02</v>
          </cell>
          <cell r="B1351" t="str">
            <v xml:space="preserve">ANNUR </v>
          </cell>
          <cell r="C1351">
            <v>8325.0000000000018</v>
          </cell>
        </row>
        <row r="1352">
          <cell r="A1352" t="str">
            <v>MDR-R-ARABELA-00001</v>
          </cell>
          <cell r="B1352" t="str">
            <v>ARABELA FRIEDNY</v>
          </cell>
          <cell r="C1352">
            <v>18788094.272727273</v>
          </cell>
        </row>
        <row r="1353">
          <cell r="A1353" t="str">
            <v>MDR-R-ARIF-04</v>
          </cell>
          <cell r="B1353" t="str">
            <v>ARIF</v>
          </cell>
          <cell r="C1353">
            <v>26488.636363636364</v>
          </cell>
        </row>
        <row r="1354">
          <cell r="A1354" t="str">
            <v>MDR-R-ARKA MART</v>
          </cell>
          <cell r="B1354" t="str">
            <v>ARKA MART</v>
          </cell>
          <cell r="C1354">
            <v>22200.000000000004</v>
          </cell>
        </row>
        <row r="1355">
          <cell r="A1355" t="str">
            <v>MDR-R-ATOK-01</v>
          </cell>
          <cell r="B1355" t="str">
            <v>ATOK</v>
          </cell>
          <cell r="C1355">
            <v>22200.000000000004</v>
          </cell>
        </row>
        <row r="1356">
          <cell r="A1356" t="str">
            <v>MDR-R-AZ MART-00001</v>
          </cell>
          <cell r="B1356" t="str">
            <v>MUZAKKI MUHAMMAD</v>
          </cell>
          <cell r="C1356">
            <v>44400.000000000007</v>
          </cell>
        </row>
        <row r="1357">
          <cell r="A1357" t="str">
            <v>MDR-R-AZZAIN-01</v>
          </cell>
          <cell r="B1357" t="str">
            <v>AZZAIN</v>
          </cell>
          <cell r="C1357">
            <v>44400.000000000007</v>
          </cell>
        </row>
        <row r="1358">
          <cell r="A1358" t="str">
            <v>MDR-R-B JAYA-01</v>
          </cell>
          <cell r="B1358" t="str">
            <v>BAROKAH JAYA</v>
          </cell>
          <cell r="C1358">
            <v>26489</v>
          </cell>
        </row>
        <row r="1359">
          <cell r="A1359" t="str">
            <v>MDR-R-BAGUS DASUK-46</v>
          </cell>
          <cell r="B1359" t="str">
            <v>MOH HODRI</v>
          </cell>
          <cell r="C1359">
            <v>635727.27272727259</v>
          </cell>
        </row>
        <row r="1360">
          <cell r="A1360" t="str">
            <v>MDR-R-BAGUS-00002</v>
          </cell>
          <cell r="B1360" t="str">
            <v>M SA'IE</v>
          </cell>
          <cell r="C1360">
            <v>26488.636363636364</v>
          </cell>
        </row>
        <row r="1361">
          <cell r="A1361" t="str">
            <v>MDR-R-BAGUS-00006</v>
          </cell>
          <cell r="B1361" t="str">
            <v>BAGUS PROPPO</v>
          </cell>
          <cell r="C1361">
            <v>44400.000000000007</v>
          </cell>
        </row>
        <row r="1362">
          <cell r="A1362" t="str">
            <v>MDR-R-BAGUS-00009</v>
          </cell>
          <cell r="B1362" t="str">
            <v>M SA'IE</v>
          </cell>
          <cell r="C1362">
            <v>320375.45454545459</v>
          </cell>
        </row>
        <row r="1363">
          <cell r="A1363" t="str">
            <v>MDR-R-BAGUS-00011</v>
          </cell>
          <cell r="B1363" t="str">
            <v>M SA'IE</v>
          </cell>
          <cell r="C1363">
            <v>1295595.2727272727</v>
          </cell>
        </row>
        <row r="1364">
          <cell r="A1364" t="str">
            <v>MDR-R-BAROKAH-00010</v>
          </cell>
          <cell r="B1364" t="str">
            <v>BAROKAH BERSAMA</v>
          </cell>
          <cell r="C1364">
            <v>-133200.00000000003</v>
          </cell>
        </row>
        <row r="1365">
          <cell r="A1365" t="str">
            <v>MDR-R-BARU-00003</v>
          </cell>
          <cell r="B1365" t="str">
            <v>MUJAB/LILIK HAMIZAH</v>
          </cell>
          <cell r="C1365">
            <v>22200.000000000004</v>
          </cell>
        </row>
        <row r="1366">
          <cell r="A1366" t="str">
            <v>MDR-R-BASPANAG-00001</v>
          </cell>
          <cell r="B1366" t="str">
            <v>KOPERASI PONDOK PESANTREN SIDOGIRI</v>
          </cell>
          <cell r="C1366">
            <v>66600.000000000015</v>
          </cell>
        </row>
        <row r="1367">
          <cell r="A1367" t="str">
            <v>MDR-R-BAZILK-00001</v>
          </cell>
          <cell r="B1367" t="str">
            <v>BAZIL KHOIR</v>
          </cell>
          <cell r="C1367">
            <v>768351.95454545459</v>
          </cell>
        </row>
        <row r="1368">
          <cell r="A1368" t="str">
            <v>MDR-R-BERKAT-03</v>
          </cell>
          <cell r="B1368" t="str">
            <v>BERKAT</v>
          </cell>
          <cell r="C1368">
            <v>20661.13636363636</v>
          </cell>
        </row>
        <row r="1369">
          <cell r="A1369" t="str">
            <v>MDR-R-BERKATJ-00001</v>
          </cell>
          <cell r="B1369" t="str">
            <v>BERKAT JAYA</v>
          </cell>
          <cell r="C1369">
            <v>-1047711.8181818182</v>
          </cell>
        </row>
        <row r="1370">
          <cell r="A1370" t="str">
            <v>MDR-R-BINAUSAHA-01</v>
          </cell>
          <cell r="B1370" t="str">
            <v>BINA USAHA</v>
          </cell>
          <cell r="C1370">
            <v>20661.13636363636</v>
          </cell>
        </row>
        <row r="1371">
          <cell r="A1371" t="str">
            <v>MDR-R-BINTANGMAS-01</v>
          </cell>
          <cell r="B1371" t="str">
            <v>BINTANG MAS</v>
          </cell>
          <cell r="C1371">
            <v>26489</v>
          </cell>
        </row>
        <row r="1372">
          <cell r="A1372" t="str">
            <v>MDR-R-BISMILLAH-01</v>
          </cell>
          <cell r="B1372" t="str">
            <v>BISMILLAH</v>
          </cell>
          <cell r="C1372">
            <v>26488.636363636364</v>
          </cell>
        </row>
        <row r="1373">
          <cell r="A1373" t="str">
            <v>MDR-R-BUNGA 3-01</v>
          </cell>
          <cell r="B1373" t="str">
            <v>BUNGA 3</v>
          </cell>
          <cell r="C1373">
            <v>-79238.863636363676</v>
          </cell>
        </row>
        <row r="1374">
          <cell r="A1374" t="str">
            <v>MDR-R-CAMELIA-01</v>
          </cell>
          <cell r="B1374" t="str">
            <v>CAMELIA</v>
          </cell>
          <cell r="C1374">
            <v>8325.0000000000018</v>
          </cell>
        </row>
        <row r="1375">
          <cell r="A1375" t="str">
            <v>MDR-R-CINTADAMAI-01</v>
          </cell>
          <cell r="B1375" t="str">
            <v>CINTA DAMAI</v>
          </cell>
          <cell r="C1375">
            <v>18542.045454545456</v>
          </cell>
        </row>
        <row r="1376">
          <cell r="A1376" t="str">
            <v>MDR-R-COIM-00002</v>
          </cell>
          <cell r="B1376" t="str">
            <v>COIM 4</v>
          </cell>
          <cell r="C1376">
            <v>-317863.63636363635</v>
          </cell>
        </row>
        <row r="1377">
          <cell r="A1377" t="str">
            <v>MDR-R-COIM-00003</v>
          </cell>
          <cell r="B1377" t="str">
            <v>COIM PAKONG</v>
          </cell>
          <cell r="C1377">
            <v>593100</v>
          </cell>
        </row>
        <row r="1378">
          <cell r="A1378" t="str">
            <v>MDR-R-COIM-00006</v>
          </cell>
          <cell r="B1378" t="str">
            <v>COIM BLUURAN 2</v>
          </cell>
          <cell r="C1378">
            <v>824367.27272727271</v>
          </cell>
        </row>
        <row r="1379">
          <cell r="A1379" t="str">
            <v>MDR-R-COIM-00007</v>
          </cell>
          <cell r="B1379" t="str">
            <v>COIM KTP</v>
          </cell>
          <cell r="C1379">
            <v>-133200.00000000003</v>
          </cell>
        </row>
        <row r="1380">
          <cell r="A1380" t="str">
            <v>MDR-R-COIM-00009</v>
          </cell>
          <cell r="B1380" t="str">
            <v>COIM BRINGKONING</v>
          </cell>
          <cell r="C1380">
            <v>726363.54545454541</v>
          </cell>
        </row>
        <row r="1381">
          <cell r="A1381" t="str">
            <v>MDR-R-COIM-002</v>
          </cell>
          <cell r="B1381" t="str">
            <v>COIM</v>
          </cell>
          <cell r="C1381">
            <v>-308781.81818181818</v>
          </cell>
        </row>
        <row r="1382">
          <cell r="A1382" t="str">
            <v>MDR-R-COIM5-001</v>
          </cell>
          <cell r="B1382" t="str">
            <v>COIM 5</v>
          </cell>
          <cell r="C1382">
            <v>-2.9103830456733704E-11</v>
          </cell>
        </row>
        <row r="1383">
          <cell r="A1383" t="str">
            <v>MDR-R-COIMII-003</v>
          </cell>
          <cell r="B1383" t="str">
            <v>COIM II</v>
          </cell>
          <cell r="C1383">
            <v>-27034.090909090963</v>
          </cell>
        </row>
        <row r="1384">
          <cell r="A1384" t="str">
            <v>MDR-R-COIM-PS -00001</v>
          </cell>
          <cell r="B1384" t="str">
            <v>COIM BUJUR</v>
          </cell>
          <cell r="C1384">
            <v>2306331.0000000009</v>
          </cell>
        </row>
        <row r="1385">
          <cell r="A1385" t="str">
            <v>MDR-R-DAHLIA-00001</v>
          </cell>
          <cell r="B1385" t="str">
            <v>DAHLIA STORE</v>
          </cell>
          <cell r="C1385">
            <v>169320580</v>
          </cell>
        </row>
        <row r="1386">
          <cell r="A1386" t="str">
            <v>MDR-R-DIVA JAYA-01</v>
          </cell>
          <cell r="B1386" t="str">
            <v>DIVA JAYA</v>
          </cell>
          <cell r="C1386">
            <v>24975.000000000007</v>
          </cell>
        </row>
        <row r="1387">
          <cell r="A1387" t="str">
            <v>MDR-R-ELIZET-01</v>
          </cell>
          <cell r="B1387" t="str">
            <v>ELIZET</v>
          </cell>
          <cell r="C1387">
            <v>8325.0000000000018</v>
          </cell>
        </row>
        <row r="1388">
          <cell r="A1388" t="str">
            <v>MDR-R-ELVIE-46</v>
          </cell>
          <cell r="B1388" t="str">
            <v>VEZA DIMAS FERDIANSYAH</v>
          </cell>
          <cell r="C1388">
            <v>-768170.45454545435</v>
          </cell>
        </row>
        <row r="1389">
          <cell r="A1389" t="str">
            <v>MDR-R-FAMILI-00001</v>
          </cell>
          <cell r="B1389" t="str">
            <v>FAMILI TOKO</v>
          </cell>
          <cell r="C1389">
            <v>-199497.27272727276</v>
          </cell>
        </row>
        <row r="1390">
          <cell r="A1390" t="str">
            <v>MDR-R-FAREL-00001</v>
          </cell>
          <cell r="B1390" t="str">
            <v>FAREL</v>
          </cell>
          <cell r="C1390">
            <v>44400.000000000007</v>
          </cell>
        </row>
        <row r="1391">
          <cell r="A1391" t="str">
            <v>MDR-R-FARIDA-01</v>
          </cell>
          <cell r="B1391" t="str">
            <v xml:space="preserve">FARIDA </v>
          </cell>
          <cell r="C1391">
            <v>1501238.0454545456</v>
          </cell>
        </row>
        <row r="1392">
          <cell r="A1392" t="str">
            <v>MDR-R-FELY J-02</v>
          </cell>
          <cell r="B1392" t="str">
            <v>FELY JAYA</v>
          </cell>
          <cell r="C1392">
            <v>26488.636363636364</v>
          </cell>
        </row>
        <row r="1393">
          <cell r="A1393" t="str">
            <v>MDR-R-FIRDAUS-0001</v>
          </cell>
          <cell r="B1393" t="str">
            <v xml:space="preserve">FIRDAUS </v>
          </cell>
          <cell r="C1393">
            <v>49950.000000000015</v>
          </cell>
        </row>
        <row r="1394">
          <cell r="A1394" t="str">
            <v>MDR-R-HAMDALAH-00003</v>
          </cell>
          <cell r="B1394" t="str">
            <v>HAMDALAH</v>
          </cell>
          <cell r="C1394">
            <v>56700</v>
          </cell>
        </row>
        <row r="1395">
          <cell r="A1395" t="str">
            <v>MDR-R-HERMANTO-01</v>
          </cell>
          <cell r="B1395" t="str">
            <v>HERMANTO</v>
          </cell>
          <cell r="C1395">
            <v>34814</v>
          </cell>
        </row>
        <row r="1396">
          <cell r="A1396" t="str">
            <v>MDR-R-HIKMAHJAYA-01</v>
          </cell>
          <cell r="B1396" t="str">
            <v>HIKMAH JAYA</v>
          </cell>
          <cell r="C1396">
            <v>34814</v>
          </cell>
        </row>
        <row r="1397">
          <cell r="A1397" t="str">
            <v>MDR-R-HITO-00001</v>
          </cell>
          <cell r="B1397" t="str">
            <v>ABDUS SALAM</v>
          </cell>
          <cell r="C1397">
            <v>38850.000000000007</v>
          </cell>
        </row>
        <row r="1398">
          <cell r="A1398" t="str">
            <v>MDR-R-HJ.HASINI-01</v>
          </cell>
          <cell r="B1398" t="str">
            <v>HJ.HASINI</v>
          </cell>
          <cell r="C1398">
            <v>22200.000000000004</v>
          </cell>
        </row>
        <row r="1399">
          <cell r="A1399" t="str">
            <v>MDR-R-HOSNI-01</v>
          </cell>
          <cell r="B1399" t="str">
            <v>HOSNI</v>
          </cell>
          <cell r="C1399">
            <v>22200.000000000004</v>
          </cell>
        </row>
        <row r="1400">
          <cell r="A1400" t="str">
            <v>MDR-R-IKBAS-00001</v>
          </cell>
          <cell r="B1400" t="str">
            <v>RUSDIANTO</v>
          </cell>
          <cell r="C1400">
            <v>40742.045454545456</v>
          </cell>
        </row>
        <row r="1401">
          <cell r="A1401" t="str">
            <v>MDR-R-IKHLAS-01</v>
          </cell>
          <cell r="B1401" t="str">
            <v>IKHLAS</v>
          </cell>
          <cell r="C1401">
            <v>207184.09090909091</v>
          </cell>
        </row>
        <row r="1402">
          <cell r="A1402" t="str">
            <v>MDR-R-INDAH JAYA-01</v>
          </cell>
          <cell r="B1402" t="str">
            <v>INDAH JAYA</v>
          </cell>
          <cell r="C1402">
            <v>8325.0000000000018</v>
          </cell>
        </row>
        <row r="1403">
          <cell r="A1403" t="str">
            <v>MDR-R-INDOMARS-01</v>
          </cell>
          <cell r="B1403" t="str">
            <v>INDOMARS</v>
          </cell>
          <cell r="C1403">
            <v>37084.090909090912</v>
          </cell>
        </row>
        <row r="1404">
          <cell r="A1404" t="str">
            <v>MDR-R-IRA.I-01</v>
          </cell>
          <cell r="B1404" t="str">
            <v>IRA IRAWAN</v>
          </cell>
          <cell r="C1404">
            <v>392868</v>
          </cell>
        </row>
        <row r="1405">
          <cell r="A1405" t="str">
            <v>MDR-R-ISBAR-00001</v>
          </cell>
          <cell r="B1405" t="str">
            <v>RIDWAN</v>
          </cell>
          <cell r="C1405">
            <v>105576.13636363643</v>
          </cell>
        </row>
        <row r="1406">
          <cell r="A1406" t="str">
            <v>MDR-R-IZDIHAAR-00001</v>
          </cell>
          <cell r="B1406" t="str">
            <v>PUTRI MASITAH</v>
          </cell>
          <cell r="C1406">
            <v>2686847.3181818179</v>
          </cell>
        </row>
        <row r="1407">
          <cell r="A1407" t="str">
            <v>MDR-R-KARIJAYA-00001</v>
          </cell>
          <cell r="B1407" t="str">
            <v>KARIN JAYA</v>
          </cell>
          <cell r="C1407">
            <v>52977.272727272728</v>
          </cell>
        </row>
        <row r="1408">
          <cell r="A1408" t="str">
            <v>MDR-R-KARISMA-07</v>
          </cell>
          <cell r="B1408" t="str">
            <v>KARISMA</v>
          </cell>
          <cell r="C1408">
            <v>18542.045454545456</v>
          </cell>
        </row>
        <row r="1409">
          <cell r="A1409" t="str">
            <v>MDR-R-KAVINA-00001</v>
          </cell>
          <cell r="B1409" t="str">
            <v>KAVINA BEAUTY</v>
          </cell>
          <cell r="C1409">
            <v>97377.272727272735</v>
          </cell>
        </row>
        <row r="1410">
          <cell r="A1410" t="str">
            <v>MDR-R-KEBUN.BII-014</v>
          </cell>
          <cell r="B1410" t="str">
            <v>ALAMUL HUDA</v>
          </cell>
          <cell r="C1410">
            <v>-37800</v>
          </cell>
        </row>
        <row r="1411">
          <cell r="A1411" t="str">
            <v>MDR-R-KEBUN.BII-016</v>
          </cell>
          <cell r="B1411" t="str">
            <v>R. SHOLEH</v>
          </cell>
          <cell r="C1411">
            <v>948930.5454545453</v>
          </cell>
        </row>
        <row r="1412">
          <cell r="A1412" t="str">
            <v>MDR-R-KIRANA-00001</v>
          </cell>
          <cell r="B1412" t="str">
            <v>KIRANA KOSMETIK</v>
          </cell>
          <cell r="C1412">
            <v>44400.000000000007</v>
          </cell>
        </row>
        <row r="1413">
          <cell r="A1413" t="str">
            <v>MDR-R-LAMUBAR-003</v>
          </cell>
          <cell r="B1413" t="str">
            <v>MOH RIDWAN</v>
          </cell>
          <cell r="C1413">
            <v>-443747.72727272729</v>
          </cell>
        </row>
        <row r="1414">
          <cell r="A1414" t="str">
            <v>MDR-R-LATANZA-09</v>
          </cell>
          <cell r="B1414" t="str">
            <v>LATANZA</v>
          </cell>
          <cell r="C1414">
            <v>55626.136363636375</v>
          </cell>
        </row>
        <row r="1415">
          <cell r="A1415" t="str">
            <v>MDR-R-MAHARANI-0001</v>
          </cell>
          <cell r="B1415" t="str">
            <v>MAHARANI</v>
          </cell>
          <cell r="C1415">
            <v>18542.045454545456</v>
          </cell>
        </row>
        <row r="1416">
          <cell r="A1416" t="str">
            <v>MDR-R-MAHDALY-00001</v>
          </cell>
          <cell r="B1416" t="str">
            <v>MAHDALY COSMETIK</v>
          </cell>
          <cell r="C1416">
            <v>-2569030.9090909101</v>
          </cell>
        </row>
        <row r="1417">
          <cell r="A1417" t="str">
            <v>MDR-R-MAKMUR-01</v>
          </cell>
          <cell r="B1417" t="str">
            <v>MAKMUR</v>
          </cell>
          <cell r="C1417">
            <v>4288.6363636363603</v>
          </cell>
        </row>
        <row r="1418">
          <cell r="A1418" t="str">
            <v>MDR-R-MAUFIROH-01</v>
          </cell>
          <cell r="B1418" t="str">
            <v>MAUFIROH</v>
          </cell>
          <cell r="C1418">
            <v>8325.0000000000018</v>
          </cell>
        </row>
        <row r="1419">
          <cell r="A1419" t="str">
            <v>MDR-R-MECCA-00001</v>
          </cell>
          <cell r="B1419" t="str">
            <v>ELVIRA NOVITA SARI</v>
          </cell>
          <cell r="C1419">
            <v>21779126.000000004</v>
          </cell>
        </row>
        <row r="1420">
          <cell r="A1420" t="str">
            <v>MDR-R-MELATI-01</v>
          </cell>
          <cell r="B1420" t="str">
            <v xml:space="preserve">MELATI </v>
          </cell>
          <cell r="C1420">
            <v>22200.000000000004</v>
          </cell>
        </row>
        <row r="1421">
          <cell r="A1421" t="str">
            <v>MDR-R-MESSY-00001</v>
          </cell>
          <cell r="B1421" t="str">
            <v>MESSY COSMETIK</v>
          </cell>
          <cell r="C1421">
            <v>33813857.454545461</v>
          </cell>
        </row>
        <row r="1422">
          <cell r="A1422" t="str">
            <v>MDR-R-MITUSA-002</v>
          </cell>
          <cell r="B1422" t="str">
            <v>MITRA USAHA</v>
          </cell>
          <cell r="C1422">
            <v>8325.0000000000018</v>
          </cell>
        </row>
        <row r="1423">
          <cell r="A1423" t="str">
            <v>MDR-R-MURIA-01</v>
          </cell>
          <cell r="B1423" t="str">
            <v>MURIA</v>
          </cell>
          <cell r="C1423">
            <v>22200.000000000004</v>
          </cell>
        </row>
        <row r="1424">
          <cell r="A1424" t="str">
            <v>MDR-R-MURNI-00001</v>
          </cell>
          <cell r="B1424" t="str">
            <v>MURNI II</v>
          </cell>
          <cell r="C1424">
            <v>25190301.363636363</v>
          </cell>
        </row>
        <row r="1425">
          <cell r="A1425" t="str">
            <v>MDR-R-NA-00001</v>
          </cell>
          <cell r="B1425" t="str">
            <v>TOKO NA</v>
          </cell>
          <cell r="C1425">
            <v>26488.636363636364</v>
          </cell>
        </row>
        <row r="1426">
          <cell r="A1426" t="str">
            <v>MDR-R-NADA S-02</v>
          </cell>
          <cell r="B1426" t="str">
            <v>RUSTAM</v>
          </cell>
          <cell r="C1426">
            <v>996014.04545454541</v>
          </cell>
        </row>
        <row r="1427">
          <cell r="A1427" t="str">
            <v>MDR-R-NAFAKA-01</v>
          </cell>
          <cell r="B1427" t="str">
            <v>NAFAKA</v>
          </cell>
          <cell r="C1427">
            <v>18900</v>
          </cell>
        </row>
        <row r="1428">
          <cell r="A1428" t="str">
            <v>MDR-R-NAYA-001</v>
          </cell>
          <cell r="B1428" t="str">
            <v>NAYA KOSMETIK</v>
          </cell>
          <cell r="C1428">
            <v>4295619.5454545459</v>
          </cell>
        </row>
        <row r="1429">
          <cell r="A1429" t="str">
            <v>MDR-R-NIA-00002</v>
          </cell>
          <cell r="B1429" t="str">
            <v>BUHARNIA</v>
          </cell>
          <cell r="C1429">
            <v>155400.00000000003</v>
          </cell>
        </row>
        <row r="1430">
          <cell r="A1430" t="str">
            <v>MDR-R-NOER-00001</v>
          </cell>
          <cell r="B1430" t="str">
            <v>NOER</v>
          </cell>
          <cell r="C1430">
            <v>33605321.63636364</v>
          </cell>
        </row>
        <row r="1431">
          <cell r="A1431" t="str">
            <v>MDR-R-NURI SHOP-01</v>
          </cell>
          <cell r="B1431" t="str">
            <v>NURI SHOP</v>
          </cell>
          <cell r="C1431">
            <v>19071.818181818184</v>
          </cell>
        </row>
        <row r="1432">
          <cell r="A1432" t="str">
            <v>MDR-R-OBATAGRA-00002</v>
          </cell>
          <cell r="B1432" t="str">
            <v>SUCIPTO</v>
          </cell>
          <cell r="C1432">
            <v>24975.000000000007</v>
          </cell>
        </row>
        <row r="1433">
          <cell r="A1433" t="str">
            <v>MDR-R-PELANGI-00001</v>
          </cell>
          <cell r="B1433" t="str">
            <v>PELANGI</v>
          </cell>
          <cell r="C1433">
            <v>22200.000000000004</v>
          </cell>
        </row>
        <row r="1434">
          <cell r="A1434" t="str">
            <v>MDR-R-PESONA-0001</v>
          </cell>
          <cell r="B1434" t="str">
            <v>PESONA</v>
          </cell>
          <cell r="C1434">
            <v>22200.000000000004</v>
          </cell>
        </row>
        <row r="1435">
          <cell r="A1435" t="str">
            <v>MDR-R-PJ2-01</v>
          </cell>
          <cell r="B1435" t="str">
            <v>IRDATUL HASANAH</v>
          </cell>
          <cell r="C1435">
            <v>2736318.6363636372</v>
          </cell>
        </row>
        <row r="1436">
          <cell r="A1436" t="str">
            <v>MDR-R-PURNAMA-01</v>
          </cell>
          <cell r="B1436" t="str">
            <v xml:space="preserve">PURNAMA </v>
          </cell>
          <cell r="C1436">
            <v>8325.0000000000018</v>
          </cell>
        </row>
        <row r="1437">
          <cell r="A1437" t="str">
            <v>MDR-R-PUTRA JAYA-01</v>
          </cell>
          <cell r="B1437" t="str">
            <v>PUTRA JAYA</v>
          </cell>
          <cell r="C1437">
            <v>16650.000000000004</v>
          </cell>
        </row>
        <row r="1438">
          <cell r="A1438" t="str">
            <v>MDR-R-PUTRIJAYA-01</v>
          </cell>
          <cell r="B1438" t="str">
            <v>PUTRI JAYA</v>
          </cell>
          <cell r="C1438">
            <v>37084.090909090912</v>
          </cell>
        </row>
        <row r="1439">
          <cell r="A1439" t="str">
            <v>MDR-R-RAMAII-01</v>
          </cell>
          <cell r="B1439" t="str">
            <v>RAMA II</v>
          </cell>
          <cell r="C1439">
            <v>37084.090909090912</v>
          </cell>
        </row>
        <row r="1440">
          <cell r="A1440" t="str">
            <v>MDR-R-REJEKI-001</v>
          </cell>
          <cell r="B1440" t="str">
            <v xml:space="preserve">REJEKI </v>
          </cell>
          <cell r="C1440">
            <v>22200.000000000004</v>
          </cell>
        </row>
        <row r="1441">
          <cell r="A1441" t="str">
            <v>MDR-R-REJEKI-10</v>
          </cell>
          <cell r="B1441" t="str">
            <v>REJEKI</v>
          </cell>
          <cell r="C1441">
            <v>155526.13636363641</v>
          </cell>
        </row>
        <row r="1442">
          <cell r="A1442" t="str">
            <v>MDR-R-RISKY-02</v>
          </cell>
          <cell r="B1442" t="str">
            <v>RISKY OMBEN</v>
          </cell>
          <cell r="C1442">
            <v>16650.000000000004</v>
          </cell>
        </row>
        <row r="1443">
          <cell r="A1443" t="str">
            <v>MDR-R-RISKYMART-0001</v>
          </cell>
          <cell r="B1443" t="str">
            <v>UMAR FARUK SAHRONDI</v>
          </cell>
          <cell r="C1443">
            <v>-317863.63636363635</v>
          </cell>
        </row>
        <row r="1444">
          <cell r="A1444" t="str">
            <v>MDR-R-ROWI-01</v>
          </cell>
          <cell r="B1444" t="str">
            <v>ROWI</v>
          </cell>
          <cell r="C1444">
            <v>238401</v>
          </cell>
        </row>
        <row r="1445">
          <cell r="A1445" t="str">
            <v>MDR-R-RUMCOSM002</v>
          </cell>
          <cell r="B1445" t="str">
            <v xml:space="preserve">RUMAH COSMETIK </v>
          </cell>
          <cell r="C1445">
            <v>5225812.1818181826</v>
          </cell>
        </row>
        <row r="1446">
          <cell r="A1446" t="str">
            <v>MDR-R-SAEHMD-00001</v>
          </cell>
          <cell r="B1446" t="str">
            <v>SAE HAMDALAH</v>
          </cell>
          <cell r="C1446">
            <v>238397.72727272726</v>
          </cell>
        </row>
        <row r="1447">
          <cell r="A1447" t="str">
            <v>MDR-R-SAHABATTANI-01</v>
          </cell>
          <cell r="B1447" t="str">
            <v>SAHABAT TANI</v>
          </cell>
          <cell r="C1447">
            <v>-26488.636363636364</v>
          </cell>
        </row>
        <row r="1448">
          <cell r="A1448" t="str">
            <v>MDR-R-SAIFY-00001</v>
          </cell>
          <cell r="B1448" t="str">
            <v>SAIFY MART</v>
          </cell>
          <cell r="C1448">
            <v>79465.909090909088</v>
          </cell>
        </row>
        <row r="1449">
          <cell r="A1449" t="str">
            <v>MDR-R-SAMPOERNA-03</v>
          </cell>
          <cell r="B1449" t="str">
            <v xml:space="preserve">SAMPOERNA </v>
          </cell>
          <cell r="C1449">
            <v>53734.090909090912</v>
          </cell>
        </row>
        <row r="1450">
          <cell r="A1450" t="str">
            <v>MDR-R-SAMPOERNA-08</v>
          </cell>
          <cell r="B1450" t="str">
            <v>SAMPOERNA</v>
          </cell>
          <cell r="C1450">
            <v>52978</v>
          </cell>
        </row>
        <row r="1451">
          <cell r="A1451" t="str">
            <v>MDR-R-SEMULYO-00001</v>
          </cell>
          <cell r="B1451" t="str">
            <v>SEJATI MULYO</v>
          </cell>
          <cell r="C1451">
            <v>26488.636363636364</v>
          </cell>
        </row>
        <row r="1452">
          <cell r="A1452" t="str">
            <v>MDR-R-SERBU MART-02</v>
          </cell>
          <cell r="B1452" t="str">
            <v>HUZAIFI</v>
          </cell>
          <cell r="C1452">
            <v>390442.5</v>
          </cell>
        </row>
        <row r="1453">
          <cell r="A1453" t="str">
            <v>MDR-R-SERGUNA-00001</v>
          </cell>
          <cell r="B1453" t="str">
            <v>SUKRON</v>
          </cell>
          <cell r="C1453">
            <v>16650.000000000004</v>
          </cell>
        </row>
        <row r="1454">
          <cell r="A1454" t="str">
            <v>MDR-R-SERMAS-00002</v>
          </cell>
          <cell r="B1454" t="str">
            <v>CV SIRTO EMAS II</v>
          </cell>
          <cell r="C1454">
            <v>63299.999999999993</v>
          </cell>
        </row>
        <row r="1455">
          <cell r="A1455" t="str">
            <v>MDR-R-SETIA EMIL-01</v>
          </cell>
          <cell r="B1455" t="str">
            <v>SETIA EMIL</v>
          </cell>
          <cell r="C1455">
            <v>-3.2014213502407074E-10</v>
          </cell>
        </row>
        <row r="1456">
          <cell r="A1456" t="str">
            <v>MDR-R-SHAFA-00001</v>
          </cell>
          <cell r="B1456" t="str">
            <v>SHAFA SWALAYAN</v>
          </cell>
          <cell r="C1456">
            <v>-178760.45454545456</v>
          </cell>
        </row>
        <row r="1457">
          <cell r="A1457" t="str">
            <v>MDR-R-SONI-01</v>
          </cell>
          <cell r="B1457" t="str">
            <v>SONI</v>
          </cell>
          <cell r="C1457">
            <v>16650.000000000004</v>
          </cell>
        </row>
        <row r="1458">
          <cell r="A1458" t="str">
            <v>MDR-R-SRI.R-02</v>
          </cell>
          <cell r="B1458" t="str">
            <v>SRI REJEKI</v>
          </cell>
          <cell r="C1458">
            <v>44400.000000000007</v>
          </cell>
        </row>
        <row r="1459">
          <cell r="A1459" t="str">
            <v>MDR-R-SUKMA.I-01</v>
          </cell>
          <cell r="B1459" t="str">
            <v>SUKMA INDAH</v>
          </cell>
          <cell r="C1459">
            <v>36630</v>
          </cell>
        </row>
        <row r="1460">
          <cell r="A1460" t="str">
            <v>MDR-R-SULTANJ-00001</v>
          </cell>
          <cell r="B1460" t="str">
            <v>JUMAIDAH</v>
          </cell>
          <cell r="C1460">
            <v>105956</v>
          </cell>
        </row>
        <row r="1461">
          <cell r="A1461" t="str">
            <v>MDR-R-SUMBER.R-01</v>
          </cell>
          <cell r="B1461" t="str">
            <v xml:space="preserve">SUMBER REJEKI </v>
          </cell>
          <cell r="C1461">
            <v>-18542.045454545456</v>
          </cell>
        </row>
        <row r="1462">
          <cell r="A1462" t="str">
            <v>MDR-R-SUMBERMANIS-02</v>
          </cell>
          <cell r="B1462" t="str">
            <v xml:space="preserve">SUMBER MANIS </v>
          </cell>
          <cell r="C1462">
            <v>52978</v>
          </cell>
        </row>
        <row r="1463">
          <cell r="A1463" t="str">
            <v>MDR-R-SUTIHAH</v>
          </cell>
          <cell r="B1463" t="str">
            <v>sutihah</v>
          </cell>
          <cell r="C1463">
            <v>26488.636363636364</v>
          </cell>
        </row>
        <row r="1464">
          <cell r="A1464" t="str">
            <v>MDR-R-TOHA FARMA-01</v>
          </cell>
          <cell r="B1464" t="str">
            <v>TOHA FARMA</v>
          </cell>
          <cell r="C1464">
            <v>26488.636363636364</v>
          </cell>
        </row>
        <row r="1465">
          <cell r="A1465" t="str">
            <v>MDR-R-TWINS-00001</v>
          </cell>
          <cell r="B1465" t="str">
            <v>TWINS MART</v>
          </cell>
          <cell r="C1465">
            <v>26488.636363636364</v>
          </cell>
        </row>
        <row r="1466">
          <cell r="A1466" t="str">
            <v>MDR-R-WILDANB-00001</v>
          </cell>
          <cell r="B1466" t="str">
            <v>SYAIFUL ANAM</v>
          </cell>
          <cell r="C1466">
            <v>56473.772727272721</v>
          </cell>
        </row>
        <row r="1467">
          <cell r="A1467" t="str">
            <v>MDR-R-WN-01</v>
          </cell>
          <cell r="B1467" t="str">
            <v>WN</v>
          </cell>
          <cell r="C1467">
            <v>26488.636363636364</v>
          </cell>
        </row>
        <row r="1468">
          <cell r="A1468" t="str">
            <v>MDR-R-WOORIKU-01</v>
          </cell>
          <cell r="B1468" t="str">
            <v>WOORIKU</v>
          </cell>
          <cell r="C1468">
            <v>16650.000000000004</v>
          </cell>
        </row>
        <row r="1469">
          <cell r="A1469" t="str">
            <v>MDR-R-ZAHRA-00001</v>
          </cell>
          <cell r="B1469" t="str">
            <v>LATIFAH</v>
          </cell>
          <cell r="C1469">
            <v>33300.000000000007</v>
          </cell>
        </row>
        <row r="1470">
          <cell r="A1470" t="str">
            <v>MDR-R-ZAMSWA-00001</v>
          </cell>
          <cell r="B1470" t="str">
            <v>ZAM ZAM SWALAYAN</v>
          </cell>
          <cell r="C1470">
            <v>24975.000000000007</v>
          </cell>
        </row>
        <row r="1471">
          <cell r="A1471" t="str">
            <v>MDR-R-ZAYHANI-01</v>
          </cell>
          <cell r="B1471" t="str">
            <v>ZAYHANI</v>
          </cell>
          <cell r="C1471">
            <v>18315</v>
          </cell>
        </row>
        <row r="1472">
          <cell r="A1472" t="str">
            <v>MDR-SWS-ALFATIH-01</v>
          </cell>
          <cell r="B1472" t="str">
            <v xml:space="preserve">AL FATIH </v>
          </cell>
          <cell r="C1472">
            <v>22200.000000000004</v>
          </cell>
        </row>
        <row r="1473">
          <cell r="A1473" t="str">
            <v>MDR-SWS-BUPATI SW-10</v>
          </cell>
          <cell r="B1473" t="str">
            <v>ROBBY ROZIEQI</v>
          </cell>
          <cell r="C1473">
            <v>399236.72727272724</v>
          </cell>
        </row>
        <row r="1474">
          <cell r="A1474" t="str">
            <v>MDR-SWS-FAJARSWA-002</v>
          </cell>
          <cell r="B1474" t="str">
            <v>FAJAR SWALAYAN</v>
          </cell>
          <cell r="C1474">
            <v>8325.0000000000018</v>
          </cell>
        </row>
        <row r="1475">
          <cell r="A1475" t="str">
            <v>MDR-SWS-FIT.UD-00001</v>
          </cell>
          <cell r="B1475" t="str">
            <v>MOHAMDA SYAOFUL BAHRI</v>
          </cell>
          <cell r="C1475">
            <v>388753.36363636365</v>
          </cell>
        </row>
        <row r="1476">
          <cell r="A1476" t="str">
            <v>MDR-SWS-IB-00001</v>
          </cell>
          <cell r="B1476" t="str">
            <v>HALIMAH</v>
          </cell>
          <cell r="C1476">
            <v>212665.90909090912</v>
          </cell>
        </row>
        <row r="1477">
          <cell r="A1477" t="str">
            <v>MDR-SWS-KANCA KONA-9</v>
          </cell>
          <cell r="B1477" t="str">
            <v>H. DAURI</v>
          </cell>
          <cell r="C1477">
            <v>233568.40909090915</v>
          </cell>
        </row>
        <row r="1478">
          <cell r="A1478" t="str">
            <v>MDR-SWS-KANCAKONA-10</v>
          </cell>
          <cell r="B1478" t="str">
            <v>H. DAURI</v>
          </cell>
          <cell r="C1478">
            <v>1529390.8636363635</v>
          </cell>
        </row>
        <row r="1479">
          <cell r="A1479" t="str">
            <v>MDR-SWS-KANCAKONA2-8</v>
          </cell>
          <cell r="B1479" t="str">
            <v>H. DAURI</v>
          </cell>
          <cell r="C1479">
            <v>830740.90909090918</v>
          </cell>
        </row>
        <row r="1480">
          <cell r="A1480" t="str">
            <v>MDR-SWS-KANCAKONA5-5</v>
          </cell>
          <cell r="B1480" t="str">
            <v>H. DAURI</v>
          </cell>
          <cell r="C1480">
            <v>631977.95454545459</v>
          </cell>
        </row>
        <row r="1481">
          <cell r="A1481" t="str">
            <v>MDR-SWS-KANCAKONA6-6</v>
          </cell>
          <cell r="B1481" t="str">
            <v>H. DAURI</v>
          </cell>
          <cell r="C1481">
            <v>203023.22727272726</v>
          </cell>
        </row>
        <row r="1482">
          <cell r="A1482" t="str">
            <v>MDR-SWS-KANCAKONA7-7</v>
          </cell>
          <cell r="B1482" t="str">
            <v>H. DAURI</v>
          </cell>
          <cell r="C1482">
            <v>1045255.9090909088</v>
          </cell>
        </row>
        <row r="1483">
          <cell r="A1483" t="str">
            <v>MDR-SWS-KANCAKONA8-8</v>
          </cell>
          <cell r="B1483" t="str">
            <v>H. DAURI</v>
          </cell>
          <cell r="C1483">
            <v>526459.90909090918</v>
          </cell>
        </row>
        <row r="1484">
          <cell r="A1484" t="str">
            <v>MDR-SWS-KARUNIA-0001</v>
          </cell>
          <cell r="B1484" t="str">
            <v>JAMALI</v>
          </cell>
          <cell r="C1484">
            <v>26489</v>
          </cell>
        </row>
        <row r="1485">
          <cell r="A1485" t="str">
            <v>MDR-SWS-PUNCAK.JY-02</v>
          </cell>
          <cell r="B1485" t="str">
            <v>PUNCAK JAYA</v>
          </cell>
          <cell r="C1485">
            <v>1930884.4090909096</v>
          </cell>
        </row>
        <row r="1486">
          <cell r="A1486" t="str">
            <v>MDR-SWS-R.JANNAH-01</v>
          </cell>
          <cell r="B1486" t="str">
            <v>RAUDATUL JANNAH</v>
          </cell>
          <cell r="C1486">
            <v>133200.00000000003</v>
          </cell>
        </row>
        <row r="1487">
          <cell r="A1487" t="str">
            <v>MDR-SWS-REJEKI II-01</v>
          </cell>
          <cell r="B1487" t="str">
            <v>REJEKI II</v>
          </cell>
          <cell r="C1487">
            <v>675777.27272727282</v>
          </cell>
        </row>
        <row r="1488">
          <cell r="A1488" t="str">
            <v>MDR-SWS-RIFNA MART-1</v>
          </cell>
          <cell r="B1488" t="str">
            <v>NURHASANAH</v>
          </cell>
          <cell r="C1488">
            <v>530378.18181818177</v>
          </cell>
        </row>
        <row r="1489">
          <cell r="A1489" t="str">
            <v>MDR-SWS-RISMUR-00001</v>
          </cell>
          <cell r="B1489" t="str">
            <v>PT. RIZKI MURNI AMIN</v>
          </cell>
          <cell r="C1489">
            <v>399600.00000000012</v>
          </cell>
        </row>
        <row r="1490">
          <cell r="A1490" t="str">
            <v>MDR-SWS-RUMAH K-01</v>
          </cell>
          <cell r="B1490" t="str">
            <v>RUMAH KOSMETIK</v>
          </cell>
          <cell r="C1490">
            <v>10226801.863636365</v>
          </cell>
        </row>
        <row r="1491">
          <cell r="A1491" t="str">
            <v>MDR-SWS-SAMPURNA-01</v>
          </cell>
          <cell r="B1491" t="str">
            <v>SAMPURNA MART</v>
          </cell>
          <cell r="C1491">
            <v>79465.909090909088</v>
          </cell>
        </row>
        <row r="1492">
          <cell r="A1492" t="str">
            <v>MDR-SWS-SANTRI 1-1</v>
          </cell>
          <cell r="B1492" t="str">
            <v>H. DAURI</v>
          </cell>
          <cell r="C1492">
            <v>1140099.5454545452</v>
          </cell>
        </row>
        <row r="1493">
          <cell r="A1493" t="str">
            <v>MDR-SWS-SEMBUNG.S-01</v>
          </cell>
          <cell r="B1493" t="str">
            <v>SEMBUNG SWALAYAN</v>
          </cell>
          <cell r="C1493">
            <v>24975.000000000007</v>
          </cell>
        </row>
        <row r="1494">
          <cell r="A1494" t="str">
            <v>MDR-SWS-SIMPATI-01</v>
          </cell>
          <cell r="B1494" t="str">
            <v>SIMPATI</v>
          </cell>
          <cell r="C1494">
            <v>26488.636363636364</v>
          </cell>
        </row>
        <row r="1495">
          <cell r="A1495" t="str">
            <v>MDR-SWS-SYAM-01</v>
          </cell>
          <cell r="B1495" t="str">
            <v>SYAM</v>
          </cell>
          <cell r="C1495">
            <v>212665.90909090909</v>
          </cell>
        </row>
        <row r="1496">
          <cell r="A1496" t="str">
            <v>MDR-SWS-T.CHYSEHAT-1</v>
          </cell>
          <cell r="B1496" t="str">
            <v>TO CAHAYA SEHAT</v>
          </cell>
          <cell r="C1496">
            <v>96831105.545454532</v>
          </cell>
        </row>
        <row r="1497">
          <cell r="A1497" t="str">
            <v>MDR-SWS-TERANG.B-01</v>
          </cell>
          <cell r="B1497" t="str">
            <v>TERANG BULAN</v>
          </cell>
          <cell r="C1497">
            <v>26488.636363636364</v>
          </cell>
        </row>
        <row r="1498">
          <cell r="A1498" t="str">
            <v>MDR-SWS-TRETAN-02</v>
          </cell>
          <cell r="B1498" t="str">
            <v>CV. TRETAN</v>
          </cell>
          <cell r="C1498">
            <v>2135879</v>
          </cell>
        </row>
        <row r="1499">
          <cell r="A1499" t="str">
            <v>MDR-SWS-TRETAN2-02</v>
          </cell>
          <cell r="B1499" t="str">
            <v>CV. TRETAN</v>
          </cell>
          <cell r="C1499">
            <v>-312745.90909090906</v>
          </cell>
        </row>
        <row r="1500">
          <cell r="A1500" t="str">
            <v>MDR-SWS-WK-00001</v>
          </cell>
          <cell r="B1500" t="str">
            <v>AWI SUYONO</v>
          </cell>
          <cell r="C1500">
            <v>33300.000000000007</v>
          </cell>
        </row>
        <row r="1501">
          <cell r="A1501" t="str">
            <v>MDR-WS-ABCNEW-00001</v>
          </cell>
          <cell r="B1501" t="str">
            <v>CV ABC SWALAYAN &amp; GROSIR</v>
          </cell>
          <cell r="C1501">
            <v>17079720.954545457</v>
          </cell>
        </row>
        <row r="1502">
          <cell r="A1502" t="str">
            <v>MDR-WS-LARIS-00001</v>
          </cell>
          <cell r="B1502" t="str">
            <v>LILIK HIDAYAT</v>
          </cell>
          <cell r="C1502">
            <v>808281.81818181812</v>
          </cell>
        </row>
        <row r="1503">
          <cell r="A1503" t="str">
            <v>Grand Total</v>
          </cell>
          <cell r="C1503">
            <v>12033747222.409096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0A2-2CD8-477D-AD5D-8136040C8C49}">
  <sheetPr>
    <tabColor theme="7" tint="0.59999389629810485"/>
    <pageSetUpPr fitToPage="1"/>
  </sheetPr>
  <dimension ref="A1:V50"/>
  <sheetViews>
    <sheetView workbookViewId="0">
      <selection sqref="A1:V50"/>
    </sheetView>
  </sheetViews>
  <sheetFormatPr defaultRowHeight="14.4" x14ac:dyDescent="0.3"/>
  <cols>
    <col min="1" max="1" width="11.6640625" bestFit="1" customWidth="1"/>
    <col min="2" max="2" width="35.33203125" bestFit="1" customWidth="1"/>
    <col min="3" max="3" width="15.109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3" width="16.44140625" customWidth="1"/>
    <col min="14" max="17" width="13.5546875" bestFit="1" customWidth="1"/>
    <col min="18" max="18" width="14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1" ht="14.55" customHeight="1" x14ac:dyDescent="0.3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1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1" ht="18" x14ac:dyDescent="0.35">
      <c r="A4" s="16" t="s">
        <v>77</v>
      </c>
      <c r="C4" s="49">
        <v>2024</v>
      </c>
      <c r="D4" s="49"/>
      <c r="E4" s="10">
        <v>2025</v>
      </c>
      <c r="M4" s="51" t="s">
        <v>189</v>
      </c>
      <c r="N4" s="51"/>
      <c r="O4" s="51"/>
      <c r="P4" s="51"/>
      <c r="Q4" s="51"/>
      <c r="R4" s="51"/>
      <c r="S4" s="51"/>
      <c r="T4" s="51"/>
      <c r="U4" s="51"/>
    </row>
    <row r="5" spans="1:21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1" x14ac:dyDescent="0.3">
      <c r="A6" s="2" t="s">
        <v>15</v>
      </c>
      <c r="B6" s="2" t="s">
        <v>46</v>
      </c>
      <c r="C6" s="13">
        <v>4282025204.9999995</v>
      </c>
      <c r="D6" s="13">
        <v>2514877138.909091</v>
      </c>
      <c r="E6" s="13">
        <v>3385284936.3636379</v>
      </c>
      <c r="F6" s="7">
        <f t="shared" ref="F6:F36" si="0">SUM(C6:E6)</f>
        <v>10182187280.272728</v>
      </c>
      <c r="G6" s="8">
        <f t="shared" ref="G6:G39" si="1">AVERAGE(C6:E6)</f>
        <v>3394062426.757576</v>
      </c>
      <c r="H6" s="9">
        <f>G6*110%</f>
        <v>3733468669.4333339</v>
      </c>
      <c r="I6" s="9">
        <f>H6*3</f>
        <v>11200406008.300001</v>
      </c>
      <c r="J6" s="11">
        <f>H6/G6-1</f>
        <v>0.10000000000000009</v>
      </c>
      <c r="K6" s="3">
        <f>H6/1.11</f>
        <v>3363485287.7777781</v>
      </c>
      <c r="L6" s="3">
        <f>I6/1.11</f>
        <v>10090455863.333334</v>
      </c>
      <c r="M6" s="19">
        <v>4273709205</v>
      </c>
      <c r="N6" s="19">
        <v>2500621138.9090915</v>
      </c>
      <c r="O6" s="19">
        <v>3385284936.3636379</v>
      </c>
      <c r="P6" s="22">
        <f>AVERAGE(M6:O6)</f>
        <v>3386538426.7575765</v>
      </c>
      <c r="Q6" s="20">
        <v>0.10000000000000009</v>
      </c>
      <c r="R6" s="19">
        <f>P6+(P6*Q6)</f>
        <v>3725192269.4333344</v>
      </c>
      <c r="S6" s="19">
        <f>R6*3</f>
        <v>11175576808.300003</v>
      </c>
      <c r="T6" s="19">
        <f>R6/1.11</f>
        <v>3356029071.5615621</v>
      </c>
      <c r="U6" s="19">
        <f>S6/1.11</f>
        <v>10068087214.684687</v>
      </c>
    </row>
    <row r="7" spans="1:21" x14ac:dyDescent="0.3">
      <c r="A7" s="2" t="s">
        <v>16</v>
      </c>
      <c r="B7" s="2" t="s">
        <v>47</v>
      </c>
      <c r="C7" s="13">
        <v>2934950759.9999981</v>
      </c>
      <c r="D7" s="13">
        <v>3457102082.727273</v>
      </c>
      <c r="E7" s="13">
        <v>977250598.90909123</v>
      </c>
      <c r="F7" s="7">
        <f t="shared" si="0"/>
        <v>7369303441.6363621</v>
      </c>
      <c r="G7" s="8">
        <f t="shared" si="1"/>
        <v>2456434480.545454</v>
      </c>
      <c r="H7" s="9">
        <f>G7*110%</f>
        <v>2702077928.5999994</v>
      </c>
      <c r="I7" s="9">
        <f t="shared" ref="I7:I28" si="2">H7*3</f>
        <v>8106233785.7999983</v>
      </c>
      <c r="J7" s="11">
        <f t="shared" ref="J7:J39" si="3">H7/G7-1</f>
        <v>0.10000000000000009</v>
      </c>
      <c r="K7" s="3">
        <f t="shared" ref="K7:K39" si="4">H7/1.11</f>
        <v>2434304440.1801796</v>
      </c>
      <c r="L7" s="3">
        <f t="shared" ref="L7:L39" si="5">I7/1.11</f>
        <v>7302913320.5405388</v>
      </c>
      <c r="M7" s="19">
        <v>2934950760.0000019</v>
      </c>
      <c r="N7" s="19">
        <v>3457102082.727273</v>
      </c>
      <c r="O7" s="19">
        <v>977250598.90909123</v>
      </c>
      <c r="P7" s="22">
        <f t="shared" ref="P7:P39" si="6">AVERAGE(M7:O7)</f>
        <v>2456434480.5454555</v>
      </c>
      <c r="Q7" s="11">
        <v>0.10000000000000009</v>
      </c>
      <c r="R7" s="19">
        <f t="shared" ref="R7:R39" si="7">P7+(P7*Q7)</f>
        <v>2702077928.6000013</v>
      </c>
      <c r="S7" s="19">
        <f t="shared" ref="S7:S39" si="8">R7*3</f>
        <v>8106233785.800004</v>
      </c>
      <c r="T7" s="19">
        <f t="shared" ref="T7:T39" si="9">R7/1.11</f>
        <v>2434304440.180181</v>
      </c>
      <c r="U7" s="19">
        <f t="shared" ref="U7:U39" si="10">S7/1.11</f>
        <v>7302913320.5405436</v>
      </c>
    </row>
    <row r="8" spans="1:21" x14ac:dyDescent="0.3">
      <c r="A8" s="2" t="s">
        <v>17</v>
      </c>
      <c r="B8" s="2" t="s">
        <v>48</v>
      </c>
      <c r="C8" s="13">
        <v>3335427295.9090896</v>
      </c>
      <c r="D8" s="13">
        <v>761933065.45454514</v>
      </c>
      <c r="E8" s="13">
        <v>1088583527.9999995</v>
      </c>
      <c r="F8" s="7">
        <f t="shared" si="0"/>
        <v>5185943889.3636341</v>
      </c>
      <c r="G8" s="8">
        <f t="shared" si="1"/>
        <v>1728647963.1212113</v>
      </c>
      <c r="H8" s="9">
        <f>G8*110%</f>
        <v>1901512759.4333327</v>
      </c>
      <c r="I8" s="9">
        <f t="shared" si="2"/>
        <v>5704538278.2999983</v>
      </c>
      <c r="J8" s="11">
        <f t="shared" si="3"/>
        <v>0.10000000000000009</v>
      </c>
      <c r="K8" s="3">
        <f t="shared" si="4"/>
        <v>1713074558.0480473</v>
      </c>
      <c r="L8" s="3">
        <f t="shared" si="5"/>
        <v>5139223674.1441422</v>
      </c>
      <c r="M8" s="19">
        <v>3335427295.9090891</v>
      </c>
      <c r="N8" s="19">
        <v>761933065.45454514</v>
      </c>
      <c r="O8" s="19">
        <v>1088583527.9999995</v>
      </c>
      <c r="P8" s="22">
        <f t="shared" si="6"/>
        <v>1728647963.1212113</v>
      </c>
      <c r="Q8" s="11">
        <v>0.10000000000000009</v>
      </c>
      <c r="R8" s="19">
        <f t="shared" si="7"/>
        <v>1901512759.4333324</v>
      </c>
      <c r="S8" s="19">
        <f t="shared" si="8"/>
        <v>5704538278.2999973</v>
      </c>
      <c r="T8" s="19">
        <f t="shared" si="9"/>
        <v>1713074558.0480471</v>
      </c>
      <c r="U8" s="19">
        <f t="shared" si="10"/>
        <v>5139223674.1441412</v>
      </c>
    </row>
    <row r="9" spans="1:21" x14ac:dyDescent="0.3">
      <c r="A9" s="2" t="s">
        <v>18</v>
      </c>
      <c r="B9" s="2" t="s">
        <v>49</v>
      </c>
      <c r="C9" s="13">
        <v>342799317.27272707</v>
      </c>
      <c r="D9" s="13">
        <v>314384991.54545474</v>
      </c>
      <c r="E9" s="13">
        <v>280386381.13636357</v>
      </c>
      <c r="F9" s="7">
        <f t="shared" si="0"/>
        <v>937570689.95454526</v>
      </c>
      <c r="G9" s="8">
        <f t="shared" si="1"/>
        <v>312523563.31818175</v>
      </c>
      <c r="H9" s="9">
        <f>G9*130%</f>
        <v>406280632.3136363</v>
      </c>
      <c r="I9" s="9">
        <f t="shared" si="2"/>
        <v>1218841896.9409089</v>
      </c>
      <c r="J9" s="11">
        <f t="shared" si="3"/>
        <v>0.30000000000000004</v>
      </c>
      <c r="K9" s="3">
        <f t="shared" si="4"/>
        <v>366018587.66994256</v>
      </c>
      <c r="L9" s="3">
        <f t="shared" si="5"/>
        <v>1098055763.0098279</v>
      </c>
      <c r="M9" s="19">
        <v>341611317.27272719</v>
      </c>
      <c r="N9" s="19">
        <v>312602991.54545474</v>
      </c>
      <c r="O9" s="19">
        <v>280386381.13636357</v>
      </c>
      <c r="P9" s="22">
        <f t="shared" si="6"/>
        <v>311533563.31818181</v>
      </c>
      <c r="Q9" s="11">
        <v>0.30000000000000004</v>
      </c>
      <c r="R9" s="19">
        <f t="shared" si="7"/>
        <v>404993632.31363636</v>
      </c>
      <c r="S9" s="19">
        <f t="shared" si="8"/>
        <v>1214980896.9409091</v>
      </c>
      <c r="T9" s="19">
        <f t="shared" si="9"/>
        <v>364859128.21048319</v>
      </c>
      <c r="U9" s="19">
        <f t="shared" si="10"/>
        <v>1094577384.6314497</v>
      </c>
    </row>
    <row r="10" spans="1:21" x14ac:dyDescent="0.3">
      <c r="A10" s="2" t="s">
        <v>19</v>
      </c>
      <c r="B10" s="2" t="s">
        <v>50</v>
      </c>
      <c r="C10" s="13">
        <v>219583883.86363637</v>
      </c>
      <c r="D10" s="13">
        <v>397082139.81818175</v>
      </c>
      <c r="E10" s="13">
        <v>319622789.18181813</v>
      </c>
      <c r="F10" s="7">
        <f t="shared" si="0"/>
        <v>936288812.86363626</v>
      </c>
      <c r="G10" s="8">
        <f t="shared" si="1"/>
        <v>312096270.95454544</v>
      </c>
      <c r="H10" s="9">
        <f t="shared" ref="H10:H36" si="11">G10*110%</f>
        <v>343305898.05000001</v>
      </c>
      <c r="I10" s="9">
        <f t="shared" si="2"/>
        <v>1029917694.1500001</v>
      </c>
      <c r="J10" s="11">
        <f t="shared" si="3"/>
        <v>0.10000000000000009</v>
      </c>
      <c r="K10" s="3">
        <f t="shared" si="4"/>
        <v>309284592.83783782</v>
      </c>
      <c r="L10" s="3">
        <f t="shared" si="5"/>
        <v>927853778.51351357</v>
      </c>
      <c r="M10" s="19">
        <v>219583883.86363634</v>
      </c>
      <c r="N10" s="19">
        <v>397082139.81818175</v>
      </c>
      <c r="O10" s="19">
        <v>319622789.18181813</v>
      </c>
      <c r="P10" s="22">
        <f t="shared" si="6"/>
        <v>312096270.95454544</v>
      </c>
      <c r="Q10" s="11">
        <v>0.10000000000000009</v>
      </c>
      <c r="R10" s="19">
        <f t="shared" si="7"/>
        <v>343305898.05000001</v>
      </c>
      <c r="S10" s="19">
        <f t="shared" si="8"/>
        <v>1029917694.1500001</v>
      </c>
      <c r="T10" s="19">
        <f t="shared" si="9"/>
        <v>309284592.83783782</v>
      </c>
      <c r="U10" s="19">
        <f t="shared" si="10"/>
        <v>927853778.51351357</v>
      </c>
    </row>
    <row r="11" spans="1:21" x14ac:dyDescent="0.3">
      <c r="A11" s="2" t="s">
        <v>20</v>
      </c>
      <c r="B11" s="2" t="s">
        <v>51</v>
      </c>
      <c r="C11" s="13">
        <v>127429970.18181817</v>
      </c>
      <c r="D11" s="13">
        <v>324853158.81818175</v>
      </c>
      <c r="E11" s="13">
        <v>469650367.54545456</v>
      </c>
      <c r="F11" s="7">
        <f t="shared" si="0"/>
        <v>921933496.5454545</v>
      </c>
      <c r="G11" s="8">
        <f t="shared" si="1"/>
        <v>307311165.5151515</v>
      </c>
      <c r="H11" s="9">
        <f>G11*115%</f>
        <v>353407840.34242421</v>
      </c>
      <c r="I11" s="9">
        <f t="shared" si="2"/>
        <v>1060223521.0272727</v>
      </c>
      <c r="J11" s="11">
        <f t="shared" si="3"/>
        <v>0.14999999999999991</v>
      </c>
      <c r="K11" s="3">
        <f t="shared" si="4"/>
        <v>318385441.74993169</v>
      </c>
      <c r="L11" s="3">
        <f t="shared" si="5"/>
        <v>955156325.2497952</v>
      </c>
      <c r="M11" s="19">
        <v>122677970.18181817</v>
      </c>
      <c r="N11" s="19">
        <v>320101158.81818175</v>
      </c>
      <c r="O11" s="19">
        <v>469650367.54545456</v>
      </c>
      <c r="P11" s="22">
        <f t="shared" si="6"/>
        <v>304143165.5151515</v>
      </c>
      <c r="Q11" s="11">
        <v>0.14999999999999991</v>
      </c>
      <c r="R11" s="19">
        <f t="shared" si="7"/>
        <v>349764640.34242421</v>
      </c>
      <c r="S11" s="19">
        <f t="shared" si="8"/>
        <v>1049293921.0272727</v>
      </c>
      <c r="T11" s="19">
        <f t="shared" si="9"/>
        <v>315103279.58776951</v>
      </c>
      <c r="U11" s="19">
        <f t="shared" si="10"/>
        <v>945309838.76330864</v>
      </c>
    </row>
    <row r="12" spans="1:21" x14ac:dyDescent="0.3">
      <c r="A12" s="2" t="s">
        <v>21</v>
      </c>
      <c r="B12" s="2" t="s">
        <v>52</v>
      </c>
      <c r="C12" s="13">
        <v>357085388.18181819</v>
      </c>
      <c r="D12" s="13">
        <v>437220891.81818163</v>
      </c>
      <c r="E12" s="13">
        <v>0</v>
      </c>
      <c r="F12" s="7">
        <f t="shared" si="0"/>
        <v>794306279.99999976</v>
      </c>
      <c r="G12" s="8">
        <f t="shared" si="1"/>
        <v>264768759.99999991</v>
      </c>
      <c r="H12" s="9">
        <f>G12*110%</f>
        <v>291245635.99999994</v>
      </c>
      <c r="I12" s="9">
        <f t="shared" si="2"/>
        <v>873736907.99999976</v>
      </c>
      <c r="J12" s="11">
        <f t="shared" si="3"/>
        <v>0.10000000000000009</v>
      </c>
      <c r="K12" s="3">
        <f t="shared" si="4"/>
        <v>262383455.85585579</v>
      </c>
      <c r="L12" s="3">
        <f t="shared" si="5"/>
        <v>787150367.56756723</v>
      </c>
      <c r="M12" s="19">
        <v>357085388.18181807</v>
      </c>
      <c r="N12" s="19">
        <v>437220891.81818163</v>
      </c>
      <c r="O12" s="19">
        <v>0</v>
      </c>
      <c r="P12" s="22">
        <f t="shared" si="6"/>
        <v>264768759.99999991</v>
      </c>
      <c r="Q12" s="11">
        <v>0.10000000000000009</v>
      </c>
      <c r="R12" s="19">
        <f t="shared" si="7"/>
        <v>291245635.99999994</v>
      </c>
      <c r="S12" s="19">
        <f t="shared" si="8"/>
        <v>873736907.99999976</v>
      </c>
      <c r="T12" s="19">
        <f t="shared" si="9"/>
        <v>262383455.85585579</v>
      </c>
      <c r="U12" s="19">
        <f t="shared" si="10"/>
        <v>787150367.56756723</v>
      </c>
    </row>
    <row r="13" spans="1:21" x14ac:dyDescent="0.3">
      <c r="A13" s="2" t="s">
        <v>22</v>
      </c>
      <c r="B13" s="2" t="s">
        <v>53</v>
      </c>
      <c r="C13" s="13">
        <v>38165563.636363633</v>
      </c>
      <c r="D13" s="13">
        <v>220874627.99999955</v>
      </c>
      <c r="E13" s="13">
        <v>420689362.90909064</v>
      </c>
      <c r="F13" s="7">
        <f t="shared" si="0"/>
        <v>679729554.54545379</v>
      </c>
      <c r="G13" s="8">
        <f t="shared" si="1"/>
        <v>226576518.18181792</v>
      </c>
      <c r="H13" s="9">
        <f>G13*110%</f>
        <v>249234169.99999973</v>
      </c>
      <c r="I13" s="9">
        <f t="shared" si="2"/>
        <v>747702509.99999917</v>
      </c>
      <c r="J13" s="11">
        <f t="shared" si="3"/>
        <v>0.10000000000000009</v>
      </c>
      <c r="K13" s="3">
        <f t="shared" si="4"/>
        <v>224535288.28828803</v>
      </c>
      <c r="L13" s="3">
        <f t="shared" si="5"/>
        <v>673605864.86486411</v>
      </c>
      <c r="M13" s="19">
        <v>38165563.63636364</v>
      </c>
      <c r="N13" s="19">
        <v>220874627.99999955</v>
      </c>
      <c r="O13" s="19">
        <v>420689362.90909064</v>
      </c>
      <c r="P13" s="22">
        <f t="shared" si="6"/>
        <v>226576518.18181792</v>
      </c>
      <c r="Q13" s="11">
        <v>0.10000000000000009</v>
      </c>
      <c r="R13" s="19">
        <f t="shared" si="7"/>
        <v>249234169.99999973</v>
      </c>
      <c r="S13" s="19">
        <f t="shared" si="8"/>
        <v>747702509.99999917</v>
      </c>
      <c r="T13" s="19">
        <f t="shared" si="9"/>
        <v>224535288.28828803</v>
      </c>
      <c r="U13" s="19">
        <f t="shared" si="10"/>
        <v>673605864.86486411</v>
      </c>
    </row>
    <row r="14" spans="1:21" x14ac:dyDescent="0.3">
      <c r="A14" s="2" t="s">
        <v>23</v>
      </c>
      <c r="B14" s="2" t="s">
        <v>54</v>
      </c>
      <c r="C14" s="13">
        <v>480179101.81818151</v>
      </c>
      <c r="D14" s="13">
        <v>72739521.36363636</v>
      </c>
      <c r="E14" s="13">
        <v>119711261.63636354</v>
      </c>
      <c r="F14" s="7">
        <f t="shared" si="0"/>
        <v>672629884.8181814</v>
      </c>
      <c r="G14" s="8">
        <f t="shared" si="1"/>
        <v>224209961.60606048</v>
      </c>
      <c r="H14" s="9">
        <f>G14*125%</f>
        <v>280262452.00757557</v>
      </c>
      <c r="I14" s="9">
        <f t="shared" si="2"/>
        <v>840787356.02272677</v>
      </c>
      <c r="J14" s="11">
        <f t="shared" si="3"/>
        <v>0.25</v>
      </c>
      <c r="K14" s="3">
        <f t="shared" si="4"/>
        <v>252488695.50232032</v>
      </c>
      <c r="L14" s="3">
        <f t="shared" si="5"/>
        <v>757466086.50696099</v>
      </c>
      <c r="M14" s="19">
        <v>480179101.81818169</v>
      </c>
      <c r="N14" s="19">
        <v>72739521.36363636</v>
      </c>
      <c r="O14" s="19">
        <v>119711261.63636354</v>
      </c>
      <c r="P14" s="22">
        <f t="shared" si="6"/>
        <v>224209961.6060605</v>
      </c>
      <c r="Q14" s="11">
        <v>0.25</v>
      </c>
      <c r="R14" s="19">
        <f t="shared" si="7"/>
        <v>280262452.00757563</v>
      </c>
      <c r="S14" s="19">
        <f t="shared" si="8"/>
        <v>840787356.02272689</v>
      </c>
      <c r="T14" s="19">
        <f t="shared" si="9"/>
        <v>252488695.50232038</v>
      </c>
      <c r="U14" s="19">
        <f t="shared" si="10"/>
        <v>757466086.50696111</v>
      </c>
    </row>
    <row r="15" spans="1:21" x14ac:dyDescent="0.3">
      <c r="A15" s="2" t="s">
        <v>24</v>
      </c>
      <c r="B15" s="2" t="s">
        <v>55</v>
      </c>
      <c r="C15" s="13">
        <v>282336619.22727263</v>
      </c>
      <c r="D15" s="13">
        <v>92751152.318181813</v>
      </c>
      <c r="E15" s="13">
        <v>260495228.59090915</v>
      </c>
      <c r="F15" s="7">
        <f t="shared" si="0"/>
        <v>635583000.13636363</v>
      </c>
      <c r="G15" s="8">
        <f t="shared" si="1"/>
        <v>211861000.04545453</v>
      </c>
      <c r="H15" s="9">
        <f>G15*110%</f>
        <v>233047100.05000001</v>
      </c>
      <c r="I15" s="9">
        <f t="shared" si="2"/>
        <v>699141300.1500001</v>
      </c>
      <c r="J15" s="11">
        <f t="shared" si="3"/>
        <v>0.10000000000000009</v>
      </c>
      <c r="K15" s="3">
        <f t="shared" si="4"/>
        <v>209952342.38738737</v>
      </c>
      <c r="L15" s="3">
        <f t="shared" si="5"/>
        <v>629857027.16216218</v>
      </c>
      <c r="M15" s="19">
        <v>282336619.22727275</v>
      </c>
      <c r="N15" s="19">
        <v>92751152.318181813</v>
      </c>
      <c r="O15" s="19">
        <v>260495228.59090915</v>
      </c>
      <c r="P15" s="22">
        <f t="shared" si="6"/>
        <v>211861000.04545459</v>
      </c>
      <c r="Q15" s="11">
        <v>0.10000000000000009</v>
      </c>
      <c r="R15" s="19">
        <f t="shared" si="7"/>
        <v>233047100.05000007</v>
      </c>
      <c r="S15" s="19">
        <f t="shared" si="8"/>
        <v>699141300.15000021</v>
      </c>
      <c r="T15" s="19">
        <f t="shared" si="9"/>
        <v>209952342.38738742</v>
      </c>
      <c r="U15" s="19">
        <f t="shared" si="10"/>
        <v>629857027.1621623</v>
      </c>
    </row>
    <row r="16" spans="1:21" x14ac:dyDescent="0.3">
      <c r="A16" s="2" t="s">
        <v>25</v>
      </c>
      <c r="B16" s="2" t="s">
        <v>56</v>
      </c>
      <c r="C16" s="13">
        <v>225865360.6363636</v>
      </c>
      <c r="D16" s="13">
        <v>213760864.36363626</v>
      </c>
      <c r="E16" s="13">
        <v>89565453.272727266</v>
      </c>
      <c r="F16" s="7">
        <f t="shared" si="0"/>
        <v>529191678.27272713</v>
      </c>
      <c r="G16" s="8">
        <f t="shared" si="1"/>
        <v>176397226.09090903</v>
      </c>
      <c r="H16" s="9">
        <f t="shared" ref="H16" si="12">G16*115%</f>
        <v>202856810.00454536</v>
      </c>
      <c r="I16" s="9">
        <f t="shared" si="2"/>
        <v>608570430.01363611</v>
      </c>
      <c r="J16" s="11">
        <f t="shared" si="3"/>
        <v>0.14999999999999991</v>
      </c>
      <c r="K16" s="3">
        <f t="shared" si="4"/>
        <v>182753882.88697779</v>
      </c>
      <c r="L16" s="3">
        <f t="shared" si="5"/>
        <v>548261648.66093338</v>
      </c>
      <c r="M16" s="19">
        <v>225865360.63636351</v>
      </c>
      <c r="N16" s="19">
        <v>213760864.36363626</v>
      </c>
      <c r="O16" s="19">
        <v>89565453.272727266</v>
      </c>
      <c r="P16" s="22">
        <f t="shared" si="6"/>
        <v>176397226.090909</v>
      </c>
      <c r="Q16" s="11">
        <v>0.14999999999999991</v>
      </c>
      <c r="R16" s="19">
        <f t="shared" si="7"/>
        <v>202856810.00454533</v>
      </c>
      <c r="S16" s="19">
        <f t="shared" si="8"/>
        <v>608570430.01363599</v>
      </c>
      <c r="T16" s="19">
        <f t="shared" si="9"/>
        <v>182753882.88697776</v>
      </c>
      <c r="U16" s="19">
        <f t="shared" si="10"/>
        <v>548261648.66093326</v>
      </c>
    </row>
    <row r="17" spans="1:21" x14ac:dyDescent="0.3">
      <c r="A17" s="2" t="s">
        <v>26</v>
      </c>
      <c r="B17" s="2" t="s">
        <v>57</v>
      </c>
      <c r="C17" s="13">
        <v>140642977.36363637</v>
      </c>
      <c r="D17" s="13">
        <v>33305916.545454554</v>
      </c>
      <c r="E17" s="13">
        <v>226329225.81818193</v>
      </c>
      <c r="F17" s="7">
        <f t="shared" si="0"/>
        <v>400278119.72727287</v>
      </c>
      <c r="G17" s="8">
        <f t="shared" si="1"/>
        <v>133426039.90909095</v>
      </c>
      <c r="H17" s="9">
        <f>G17*110%</f>
        <v>146768643.90000007</v>
      </c>
      <c r="I17" s="9">
        <f t="shared" si="2"/>
        <v>440305931.70000017</v>
      </c>
      <c r="J17" s="11">
        <f t="shared" si="3"/>
        <v>0.10000000000000009</v>
      </c>
      <c r="K17" s="3">
        <f t="shared" si="4"/>
        <v>132224003.51351357</v>
      </c>
      <c r="L17" s="3">
        <f t="shared" si="5"/>
        <v>396672010.54054064</v>
      </c>
      <c r="M17" s="19">
        <v>140642977.36363637</v>
      </c>
      <c r="N17" s="19">
        <v>33305916.545454554</v>
      </c>
      <c r="O17" s="19">
        <v>226329225.81818193</v>
      </c>
      <c r="P17" s="22">
        <f t="shared" si="6"/>
        <v>133426039.90909095</v>
      </c>
      <c r="Q17" s="11">
        <v>0.10000000000000009</v>
      </c>
      <c r="R17" s="19">
        <f t="shared" si="7"/>
        <v>146768643.90000007</v>
      </c>
      <c r="S17" s="19">
        <f t="shared" si="8"/>
        <v>440305931.70000017</v>
      </c>
      <c r="T17" s="19">
        <f t="shared" si="9"/>
        <v>132224003.51351357</v>
      </c>
      <c r="U17" s="19">
        <f t="shared" si="10"/>
        <v>396672010.54054064</v>
      </c>
    </row>
    <row r="18" spans="1:21" x14ac:dyDescent="0.3">
      <c r="A18" s="2" t="s">
        <v>27</v>
      </c>
      <c r="B18" s="2" t="s">
        <v>58</v>
      </c>
      <c r="C18" s="13">
        <v>228755225.45454535</v>
      </c>
      <c r="D18" s="13">
        <v>32456138.18181818</v>
      </c>
      <c r="E18" s="13">
        <v>56849760.000000007</v>
      </c>
      <c r="F18" s="7">
        <f t="shared" si="0"/>
        <v>318061123.63636357</v>
      </c>
      <c r="G18" s="8">
        <f t="shared" si="1"/>
        <v>106020374.54545452</v>
      </c>
      <c r="H18" s="9">
        <f>G18*130%</f>
        <v>137826486.90909088</v>
      </c>
      <c r="I18" s="9">
        <f t="shared" si="2"/>
        <v>413479460.72727263</v>
      </c>
      <c r="J18" s="11">
        <f t="shared" si="3"/>
        <v>0.30000000000000004</v>
      </c>
      <c r="K18" s="3">
        <f t="shared" si="4"/>
        <v>124168006.22440618</v>
      </c>
      <c r="L18" s="3">
        <f t="shared" si="5"/>
        <v>372504018.67321855</v>
      </c>
      <c r="M18" s="19">
        <v>228755225.45454541</v>
      </c>
      <c r="N18" s="19">
        <v>32456138.18181818</v>
      </c>
      <c r="O18" s="19">
        <v>56849760.000000007</v>
      </c>
      <c r="P18" s="22">
        <f t="shared" si="6"/>
        <v>106020374.54545455</v>
      </c>
      <c r="Q18" s="11">
        <v>0.30000000000000004</v>
      </c>
      <c r="R18" s="19">
        <f t="shared" si="7"/>
        <v>137826486.90909091</v>
      </c>
      <c r="S18" s="19">
        <f t="shared" si="8"/>
        <v>413479460.72727275</v>
      </c>
      <c r="T18" s="19">
        <f t="shared" si="9"/>
        <v>124168006.22440621</v>
      </c>
      <c r="U18" s="19">
        <f t="shared" si="10"/>
        <v>372504018.67321867</v>
      </c>
    </row>
    <row r="19" spans="1:21" x14ac:dyDescent="0.3">
      <c r="A19" s="2" t="s">
        <v>28</v>
      </c>
      <c r="B19" s="2" t="s">
        <v>59</v>
      </c>
      <c r="C19" s="13">
        <v>146850914.99999994</v>
      </c>
      <c r="D19" s="13">
        <v>101616559.00000004</v>
      </c>
      <c r="E19" s="13">
        <v>61760407.090909071</v>
      </c>
      <c r="F19" s="7">
        <f t="shared" si="0"/>
        <v>310227881.09090906</v>
      </c>
      <c r="G19" s="8">
        <f t="shared" si="1"/>
        <v>103409293.69696969</v>
      </c>
      <c r="H19" s="9">
        <f>G19*120%</f>
        <v>124091152.43636362</v>
      </c>
      <c r="I19" s="9">
        <f t="shared" si="2"/>
        <v>372273457.30909085</v>
      </c>
      <c r="J19" s="11">
        <f t="shared" si="3"/>
        <v>0.19999999999999996</v>
      </c>
      <c r="K19" s="3">
        <f t="shared" si="4"/>
        <v>111793831.02375101</v>
      </c>
      <c r="L19" s="3">
        <f t="shared" si="5"/>
        <v>335381493.071253</v>
      </c>
      <c r="M19" s="19">
        <v>146652914.99999991</v>
      </c>
      <c r="N19" s="19">
        <v>101616559.00000004</v>
      </c>
      <c r="O19" s="19">
        <v>61760407.090909071</v>
      </c>
      <c r="P19" s="22">
        <f t="shared" si="6"/>
        <v>103343293.69696967</v>
      </c>
      <c r="Q19" s="11">
        <v>0.19999999999999996</v>
      </c>
      <c r="R19" s="19">
        <f t="shared" si="7"/>
        <v>124011952.43636361</v>
      </c>
      <c r="S19" s="19">
        <f t="shared" si="8"/>
        <v>372035857.30909085</v>
      </c>
      <c r="T19" s="19">
        <f t="shared" si="9"/>
        <v>111722479.67239964</v>
      </c>
      <c r="U19" s="19">
        <f t="shared" si="10"/>
        <v>335167439.01719892</v>
      </c>
    </row>
    <row r="20" spans="1:21" x14ac:dyDescent="0.3">
      <c r="A20" s="2" t="s">
        <v>29</v>
      </c>
      <c r="B20" s="2" t="s">
        <v>60</v>
      </c>
      <c r="C20" s="13">
        <v>85282819.6363637</v>
      </c>
      <c r="D20" s="13">
        <v>122275781.63636352</v>
      </c>
      <c r="E20" s="13">
        <v>101577718.63636363</v>
      </c>
      <c r="F20" s="7">
        <f t="shared" si="0"/>
        <v>309136319.90909088</v>
      </c>
      <c r="G20" s="8">
        <f t="shared" si="1"/>
        <v>103045439.96969695</v>
      </c>
      <c r="H20" s="9">
        <f>G20*125%</f>
        <v>128806799.96212119</v>
      </c>
      <c r="I20" s="9">
        <f t="shared" si="2"/>
        <v>386420399.88636357</v>
      </c>
      <c r="J20" s="11">
        <f t="shared" si="3"/>
        <v>0.25</v>
      </c>
      <c r="K20" s="3">
        <f t="shared" si="4"/>
        <v>116042162.1280371</v>
      </c>
      <c r="L20" s="3">
        <f t="shared" si="5"/>
        <v>348126486.38411129</v>
      </c>
      <c r="M20" s="19">
        <v>85282819.636363626</v>
      </c>
      <c r="N20" s="19">
        <v>122275781.63636352</v>
      </c>
      <c r="O20" s="19">
        <v>101577718.63636363</v>
      </c>
      <c r="P20" s="22">
        <f t="shared" si="6"/>
        <v>103045439.96969692</v>
      </c>
      <c r="Q20" s="11">
        <v>0.25</v>
      </c>
      <c r="R20" s="19">
        <f t="shared" si="7"/>
        <v>128806799.96212116</v>
      </c>
      <c r="S20" s="19">
        <f t="shared" si="8"/>
        <v>386420399.88636351</v>
      </c>
      <c r="T20" s="19">
        <f t="shared" si="9"/>
        <v>116042162.12803707</v>
      </c>
      <c r="U20" s="19">
        <f t="shared" si="10"/>
        <v>348126486.38411123</v>
      </c>
    </row>
    <row r="21" spans="1:21" x14ac:dyDescent="0.3">
      <c r="A21" s="2" t="s">
        <v>30</v>
      </c>
      <c r="B21" s="2" t="s">
        <v>61</v>
      </c>
      <c r="C21" s="13">
        <v>148587223.09090912</v>
      </c>
      <c r="D21" s="13">
        <v>56378336.18181818</v>
      </c>
      <c r="E21" s="13">
        <v>82800710.454545394</v>
      </c>
      <c r="F21" s="7">
        <f t="shared" si="0"/>
        <v>287766269.72727269</v>
      </c>
      <c r="G21" s="8">
        <f t="shared" si="1"/>
        <v>95922089.909090891</v>
      </c>
      <c r="H21" s="9">
        <f t="shared" si="11"/>
        <v>105514298.89999999</v>
      </c>
      <c r="I21" s="9">
        <f t="shared" si="2"/>
        <v>316542896.69999999</v>
      </c>
      <c r="J21" s="11">
        <f t="shared" si="3"/>
        <v>0.10000000000000009</v>
      </c>
      <c r="K21" s="3">
        <f t="shared" si="4"/>
        <v>95057926.936936915</v>
      </c>
      <c r="L21" s="3">
        <f t="shared" si="5"/>
        <v>285173780.8108108</v>
      </c>
      <c r="M21" s="19">
        <v>148191223.09090912</v>
      </c>
      <c r="N21" s="19">
        <v>55421336.18181818</v>
      </c>
      <c r="O21" s="19">
        <v>82800710.454545394</v>
      </c>
      <c r="P21" s="22">
        <f t="shared" si="6"/>
        <v>95471089.909090891</v>
      </c>
      <c r="Q21" s="11">
        <v>0.10000000000000009</v>
      </c>
      <c r="R21" s="19">
        <f t="shared" si="7"/>
        <v>105018198.89999999</v>
      </c>
      <c r="S21" s="19">
        <f t="shared" si="8"/>
        <v>315054596.69999999</v>
      </c>
      <c r="T21" s="19">
        <f t="shared" si="9"/>
        <v>94610989.999999985</v>
      </c>
      <c r="U21" s="19">
        <f t="shared" si="10"/>
        <v>283832969.99999994</v>
      </c>
    </row>
    <row r="22" spans="1:21" x14ac:dyDescent="0.3">
      <c r="A22" s="2" t="s">
        <v>31</v>
      </c>
      <c r="B22" s="2" t="s">
        <v>62</v>
      </c>
      <c r="C22" s="13">
        <v>63249436.36363636</v>
      </c>
      <c r="D22" s="13">
        <v>178843507.09090906</v>
      </c>
      <c r="E22" s="13">
        <v>0</v>
      </c>
      <c r="F22" s="7">
        <f t="shared" si="0"/>
        <v>242092943.45454544</v>
      </c>
      <c r="G22" s="8">
        <f t="shared" si="1"/>
        <v>80697647.818181813</v>
      </c>
      <c r="H22" s="9">
        <f>G22*115%</f>
        <v>92802294.990909085</v>
      </c>
      <c r="I22" s="9">
        <f t="shared" si="2"/>
        <v>278406884.97272724</v>
      </c>
      <c r="J22" s="11">
        <f t="shared" si="3"/>
        <v>0.14999999999999991</v>
      </c>
      <c r="K22" s="3">
        <f t="shared" si="4"/>
        <v>83605671.162981153</v>
      </c>
      <c r="L22" s="3">
        <f t="shared" si="5"/>
        <v>250817013.48894343</v>
      </c>
      <c r="M22" s="19">
        <v>63249436.36363636</v>
      </c>
      <c r="N22" s="19">
        <v>178843507.09090906</v>
      </c>
      <c r="O22" s="19">
        <v>0</v>
      </c>
      <c r="P22" s="22">
        <f t="shared" si="6"/>
        <v>80697647.818181813</v>
      </c>
      <c r="Q22" s="11">
        <v>0.14999999999999991</v>
      </c>
      <c r="R22" s="19">
        <f t="shared" si="7"/>
        <v>92802294.99090907</v>
      </c>
      <c r="S22" s="19">
        <f t="shared" si="8"/>
        <v>278406884.97272718</v>
      </c>
      <c r="T22" s="19">
        <f t="shared" si="9"/>
        <v>83605671.162981138</v>
      </c>
      <c r="U22" s="19">
        <f t="shared" si="10"/>
        <v>250817013.48894337</v>
      </c>
    </row>
    <row r="23" spans="1:21" x14ac:dyDescent="0.3">
      <c r="A23" s="2" t="s">
        <v>32</v>
      </c>
      <c r="B23" s="2" t="s">
        <v>63</v>
      </c>
      <c r="C23" s="13">
        <v>66647554.909090936</v>
      </c>
      <c r="D23" s="13">
        <v>33818223.272727266</v>
      </c>
      <c r="E23" s="13">
        <v>78469766.181818187</v>
      </c>
      <c r="F23" s="7">
        <f t="shared" si="0"/>
        <v>178935544.36363637</v>
      </c>
      <c r="G23" s="8">
        <f t="shared" si="1"/>
        <v>59645181.454545461</v>
      </c>
      <c r="H23" s="9">
        <f>G23*115%</f>
        <v>68591958.672727272</v>
      </c>
      <c r="I23" s="9">
        <f t="shared" si="2"/>
        <v>205775876.0181818</v>
      </c>
      <c r="J23" s="11">
        <f t="shared" si="3"/>
        <v>0.14999999999999991</v>
      </c>
      <c r="K23" s="3">
        <f t="shared" si="4"/>
        <v>61794557.362817355</v>
      </c>
      <c r="L23" s="3">
        <f t="shared" si="5"/>
        <v>185383672.08845207</v>
      </c>
      <c r="M23" s="19">
        <v>66647554.909090936</v>
      </c>
      <c r="N23" s="19">
        <v>33818223.272727266</v>
      </c>
      <c r="O23" s="19">
        <v>78469766.181818187</v>
      </c>
      <c r="P23" s="22">
        <f t="shared" si="6"/>
        <v>59645181.454545461</v>
      </c>
      <c r="Q23" s="11">
        <v>0.14999999999999991</v>
      </c>
      <c r="R23" s="19">
        <f t="shared" si="7"/>
        <v>68591958.672727272</v>
      </c>
      <c r="S23" s="19">
        <f t="shared" si="8"/>
        <v>205775876.0181818</v>
      </c>
      <c r="T23" s="19">
        <f t="shared" si="9"/>
        <v>61794557.362817355</v>
      </c>
      <c r="U23" s="19">
        <f t="shared" si="10"/>
        <v>185383672.08845207</v>
      </c>
    </row>
    <row r="24" spans="1:21" x14ac:dyDescent="0.3">
      <c r="A24" s="2" t="s">
        <v>33</v>
      </c>
      <c r="B24" s="2" t="s">
        <v>64</v>
      </c>
      <c r="C24" s="13">
        <v>54258935.454545453</v>
      </c>
      <c r="D24" s="13">
        <v>34467049.090909094</v>
      </c>
      <c r="E24" s="13">
        <v>75841404</v>
      </c>
      <c r="F24" s="7">
        <f t="shared" si="0"/>
        <v>164567388.54545456</v>
      </c>
      <c r="G24" s="8">
        <f t="shared" si="1"/>
        <v>54855796.181818187</v>
      </c>
      <c r="H24" s="9">
        <f>G24*115%</f>
        <v>63084165.609090909</v>
      </c>
      <c r="I24" s="9">
        <f t="shared" si="2"/>
        <v>189252496.82727271</v>
      </c>
      <c r="J24" s="11">
        <f t="shared" si="3"/>
        <v>0.14999999999999991</v>
      </c>
      <c r="K24" s="3">
        <f t="shared" si="4"/>
        <v>56832581.629811622</v>
      </c>
      <c r="L24" s="3">
        <f t="shared" si="5"/>
        <v>170497744.88943487</v>
      </c>
      <c r="M24" s="19">
        <v>54258935.454545461</v>
      </c>
      <c r="N24" s="19">
        <v>32091049.09090909</v>
      </c>
      <c r="O24" s="19">
        <v>75841404</v>
      </c>
      <c r="P24" s="22">
        <f t="shared" si="6"/>
        <v>54063796.181818187</v>
      </c>
      <c r="Q24" s="11">
        <v>0.14999999999999991</v>
      </c>
      <c r="R24" s="19">
        <f t="shared" si="7"/>
        <v>62173365.609090909</v>
      </c>
      <c r="S24" s="19">
        <f t="shared" si="8"/>
        <v>186520096.82727271</v>
      </c>
      <c r="T24" s="19">
        <f t="shared" si="9"/>
        <v>56012041.089271083</v>
      </c>
      <c r="U24" s="19">
        <f t="shared" si="10"/>
        <v>168036123.26781324</v>
      </c>
    </row>
    <row r="25" spans="1:21" x14ac:dyDescent="0.3">
      <c r="A25" s="2" t="s">
        <v>34</v>
      </c>
      <c r="B25" s="2" t="s">
        <v>65</v>
      </c>
      <c r="C25" s="13">
        <v>30251045.454545453</v>
      </c>
      <c r="D25" s="13">
        <v>69663490.909090921</v>
      </c>
      <c r="E25" s="13">
        <v>17164636.36363636</v>
      </c>
      <c r="F25" s="7">
        <f t="shared" si="0"/>
        <v>117079172.72727273</v>
      </c>
      <c r="G25" s="8">
        <f t="shared" si="1"/>
        <v>39026390.909090914</v>
      </c>
      <c r="H25" s="9">
        <f t="shared" si="11"/>
        <v>42929030.000000007</v>
      </c>
      <c r="I25" s="9">
        <f t="shared" si="2"/>
        <v>128787090.00000003</v>
      </c>
      <c r="J25" s="11">
        <f t="shared" si="3"/>
        <v>0.10000000000000009</v>
      </c>
      <c r="K25" s="3">
        <f t="shared" si="4"/>
        <v>38674801.801801808</v>
      </c>
      <c r="L25" s="3">
        <f t="shared" si="5"/>
        <v>116024405.40540542</v>
      </c>
      <c r="M25" s="19">
        <v>30251045.454545449</v>
      </c>
      <c r="N25" s="19">
        <v>69663490.909090921</v>
      </c>
      <c r="O25" s="19">
        <v>17164636.36363636</v>
      </c>
      <c r="P25" s="22">
        <f t="shared" si="6"/>
        <v>39026390.909090914</v>
      </c>
      <c r="Q25" s="11">
        <v>0.10000000000000009</v>
      </c>
      <c r="R25" s="19">
        <f t="shared" si="7"/>
        <v>42929030.000000007</v>
      </c>
      <c r="S25" s="19">
        <f t="shared" si="8"/>
        <v>128787090.00000003</v>
      </c>
      <c r="T25" s="19">
        <f t="shared" si="9"/>
        <v>38674801.801801808</v>
      </c>
      <c r="U25" s="19">
        <f t="shared" si="10"/>
        <v>116024405.40540542</v>
      </c>
    </row>
    <row r="26" spans="1:21" x14ac:dyDescent="0.3">
      <c r="A26" s="2" t="s">
        <v>35</v>
      </c>
      <c r="B26" s="2" t="s">
        <v>66</v>
      </c>
      <c r="C26" s="13">
        <v>86544095.727272823</v>
      </c>
      <c r="D26" s="13">
        <v>0</v>
      </c>
      <c r="E26" s="13">
        <v>28242970.909090906</v>
      </c>
      <c r="F26" s="7">
        <f t="shared" si="0"/>
        <v>114787066.63636373</v>
      </c>
      <c r="G26" s="8">
        <f t="shared" si="1"/>
        <v>38262355.545454577</v>
      </c>
      <c r="H26" s="9">
        <f t="shared" si="11"/>
        <v>42088591.100000039</v>
      </c>
      <c r="I26" s="9">
        <f t="shared" si="2"/>
        <v>126265773.30000012</v>
      </c>
      <c r="J26" s="11">
        <f t="shared" si="3"/>
        <v>0.10000000000000009</v>
      </c>
      <c r="K26" s="3">
        <f t="shared" si="4"/>
        <v>37917649.639639668</v>
      </c>
      <c r="L26" s="3">
        <f t="shared" si="5"/>
        <v>113752948.91891901</v>
      </c>
      <c r="M26" s="19">
        <v>86544095.727272734</v>
      </c>
      <c r="N26" s="19">
        <v>0</v>
      </c>
      <c r="O26" s="19">
        <v>28242970.909090906</v>
      </c>
      <c r="P26" s="22">
        <f t="shared" si="6"/>
        <v>38262355.545454547</v>
      </c>
      <c r="Q26" s="11">
        <v>0.10000000000000009</v>
      </c>
      <c r="R26" s="19">
        <f t="shared" si="7"/>
        <v>42088591.100000001</v>
      </c>
      <c r="S26" s="19">
        <f t="shared" si="8"/>
        <v>126265773.30000001</v>
      </c>
      <c r="T26" s="19">
        <f t="shared" si="9"/>
        <v>37917649.639639638</v>
      </c>
      <c r="U26" s="19">
        <f t="shared" si="10"/>
        <v>113752948.91891892</v>
      </c>
    </row>
    <row r="27" spans="1:21" x14ac:dyDescent="0.3">
      <c r="A27" s="2" t="s">
        <v>36</v>
      </c>
      <c r="B27" s="2" t="s">
        <v>67</v>
      </c>
      <c r="C27" s="13">
        <v>85443681.818181813</v>
      </c>
      <c r="D27" s="13">
        <v>24924600</v>
      </c>
      <c r="E27" s="13">
        <v>299700.00000000006</v>
      </c>
      <c r="F27" s="7">
        <f t="shared" si="0"/>
        <v>110667981.81818181</v>
      </c>
      <c r="G27" s="8">
        <f t="shared" si="1"/>
        <v>36889327.272727273</v>
      </c>
      <c r="H27" s="9">
        <f t="shared" si="11"/>
        <v>40578260.000000007</v>
      </c>
      <c r="I27" s="9">
        <f t="shared" si="2"/>
        <v>121734780.00000003</v>
      </c>
      <c r="J27" s="11">
        <f t="shared" si="3"/>
        <v>0.10000000000000009</v>
      </c>
      <c r="K27" s="3">
        <f t="shared" si="4"/>
        <v>36556990.990990996</v>
      </c>
      <c r="L27" s="3">
        <f t="shared" si="5"/>
        <v>109670972.97297299</v>
      </c>
      <c r="M27" s="19">
        <v>85443681.818181813</v>
      </c>
      <c r="N27" s="19">
        <v>24924600</v>
      </c>
      <c r="O27" s="19">
        <v>299700.00000000006</v>
      </c>
      <c r="P27" s="22">
        <f t="shared" si="6"/>
        <v>36889327.272727273</v>
      </c>
      <c r="Q27" s="11">
        <v>0.10000000000000009</v>
      </c>
      <c r="R27" s="19">
        <f t="shared" si="7"/>
        <v>40578260.000000007</v>
      </c>
      <c r="S27" s="19">
        <f t="shared" si="8"/>
        <v>121734780.00000003</v>
      </c>
      <c r="T27" s="19">
        <f t="shared" si="9"/>
        <v>36556990.990990996</v>
      </c>
      <c r="U27" s="19">
        <f t="shared" si="10"/>
        <v>109670972.97297299</v>
      </c>
    </row>
    <row r="28" spans="1:21" x14ac:dyDescent="0.3">
      <c r="A28" s="2" t="s">
        <v>37</v>
      </c>
      <c r="B28" s="2" t="s">
        <v>68</v>
      </c>
      <c r="C28" s="13">
        <v>19382125.090909094</v>
      </c>
      <c r="D28" s="13">
        <v>19069661.590909094</v>
      </c>
      <c r="E28" s="13">
        <v>64232483.181818187</v>
      </c>
      <c r="F28" s="7">
        <f t="shared" si="0"/>
        <v>102684269.86363637</v>
      </c>
      <c r="G28" s="8">
        <f t="shared" si="1"/>
        <v>34228089.954545461</v>
      </c>
      <c r="H28" s="9">
        <f t="shared" si="11"/>
        <v>37650898.95000001</v>
      </c>
      <c r="I28" s="9">
        <f t="shared" si="2"/>
        <v>112952696.85000002</v>
      </c>
      <c r="J28" s="11">
        <f t="shared" si="3"/>
        <v>0.10000000000000009</v>
      </c>
      <c r="K28" s="3">
        <f t="shared" si="4"/>
        <v>33919728.783783793</v>
      </c>
      <c r="L28" s="3">
        <f t="shared" si="5"/>
        <v>101759186.35135137</v>
      </c>
      <c r="M28" s="19">
        <v>19382125.09090909</v>
      </c>
      <c r="N28" s="19">
        <v>19069661.590909094</v>
      </c>
      <c r="O28" s="19">
        <v>64232483.181818187</v>
      </c>
      <c r="P28" s="22">
        <f t="shared" si="6"/>
        <v>34228089.954545461</v>
      </c>
      <c r="Q28" s="11">
        <v>0.10000000000000009</v>
      </c>
      <c r="R28" s="19">
        <f t="shared" si="7"/>
        <v>37650898.95000001</v>
      </c>
      <c r="S28" s="19">
        <f t="shared" si="8"/>
        <v>112952696.85000002</v>
      </c>
      <c r="T28" s="19">
        <f t="shared" si="9"/>
        <v>33919728.783783793</v>
      </c>
      <c r="U28" s="19">
        <f t="shared" si="10"/>
        <v>101759186.35135137</v>
      </c>
    </row>
    <row r="29" spans="1:21" x14ac:dyDescent="0.3">
      <c r="A29" s="2" t="s">
        <v>38</v>
      </c>
      <c r="B29" s="2" t="s">
        <v>69</v>
      </c>
      <c r="C29" s="13">
        <v>0</v>
      </c>
      <c r="D29" s="13">
        <v>0</v>
      </c>
      <c r="E29" s="13">
        <v>102476274.54545455</v>
      </c>
      <c r="F29" s="7">
        <f t="shared" si="0"/>
        <v>102476274.54545455</v>
      </c>
      <c r="G29" s="8">
        <f t="shared" si="1"/>
        <v>34158758.18181818</v>
      </c>
      <c r="H29" s="9">
        <f t="shared" si="11"/>
        <v>37574634</v>
      </c>
      <c r="I29" s="9">
        <f>H29*3</f>
        <v>112723902</v>
      </c>
      <c r="J29" s="11">
        <f t="shared" si="3"/>
        <v>0.10000000000000009</v>
      </c>
      <c r="K29" s="3">
        <f t="shared" si="4"/>
        <v>33851021.621621616</v>
      </c>
      <c r="L29" s="3">
        <f t="shared" si="5"/>
        <v>101553064.86486486</v>
      </c>
      <c r="M29" s="19">
        <v>0</v>
      </c>
      <c r="N29" s="19">
        <v>0</v>
      </c>
      <c r="O29" s="19">
        <v>102476274.54545455</v>
      </c>
      <c r="P29" s="22">
        <f t="shared" si="6"/>
        <v>34158758.18181818</v>
      </c>
      <c r="Q29" s="11">
        <v>0.10000000000000009</v>
      </c>
      <c r="R29" s="19">
        <f t="shared" si="7"/>
        <v>37574634</v>
      </c>
      <c r="S29" s="19">
        <f t="shared" si="8"/>
        <v>112723902</v>
      </c>
      <c r="T29" s="19">
        <f t="shared" si="9"/>
        <v>33851021.621621616</v>
      </c>
      <c r="U29" s="19">
        <f t="shared" si="10"/>
        <v>101553064.86486486</v>
      </c>
    </row>
    <row r="30" spans="1:21" x14ac:dyDescent="0.3">
      <c r="A30" s="2" t="s">
        <v>39</v>
      </c>
      <c r="B30" s="2" t="s">
        <v>70</v>
      </c>
      <c r="C30" s="13">
        <v>79251433.090909123</v>
      </c>
      <c r="D30" s="13">
        <v>15257454.545454543</v>
      </c>
      <c r="E30" s="14">
        <v>0</v>
      </c>
      <c r="F30" s="7">
        <f t="shared" si="0"/>
        <v>94508887.63636367</v>
      </c>
      <c r="G30" s="8">
        <f t="shared" si="1"/>
        <v>31502962.545454558</v>
      </c>
      <c r="H30" s="9">
        <f t="shared" si="11"/>
        <v>34653258.800000019</v>
      </c>
      <c r="I30" s="9">
        <f t="shared" ref="I30:I39" si="13">H30*3</f>
        <v>103959776.40000007</v>
      </c>
      <c r="J30" s="15">
        <f t="shared" si="3"/>
        <v>0.10000000000000009</v>
      </c>
      <c r="K30" s="3">
        <f t="shared" si="4"/>
        <v>31219152.072072085</v>
      </c>
      <c r="L30" s="3">
        <f t="shared" si="5"/>
        <v>93657456.216216266</v>
      </c>
      <c r="M30" s="19">
        <v>79251433.090909168</v>
      </c>
      <c r="N30" s="19">
        <v>15257454.545454543</v>
      </c>
      <c r="O30" s="19">
        <v>0</v>
      </c>
      <c r="P30" s="22">
        <f t="shared" si="6"/>
        <v>31502962.545454573</v>
      </c>
      <c r="Q30" s="11">
        <v>0.10000000000000009</v>
      </c>
      <c r="R30" s="19">
        <f t="shared" si="7"/>
        <v>34653258.800000034</v>
      </c>
      <c r="S30" s="19">
        <f t="shared" si="8"/>
        <v>103959776.4000001</v>
      </c>
      <c r="T30" s="19">
        <f t="shared" si="9"/>
        <v>31219152.0720721</v>
      </c>
      <c r="U30" s="19">
        <f t="shared" si="10"/>
        <v>93657456.216216296</v>
      </c>
    </row>
    <row r="31" spans="1:21" x14ac:dyDescent="0.3">
      <c r="A31" s="2" t="s">
        <v>40</v>
      </c>
      <c r="B31" s="2" t="s">
        <v>71</v>
      </c>
      <c r="C31" s="13">
        <v>12000000</v>
      </c>
      <c r="D31" s="13">
        <v>48999000</v>
      </c>
      <c r="E31" s="13">
        <v>18005016.000000004</v>
      </c>
      <c r="F31" s="7">
        <f t="shared" si="0"/>
        <v>79004016</v>
      </c>
      <c r="G31" s="8">
        <f t="shared" si="1"/>
        <v>26334672</v>
      </c>
      <c r="H31" s="9">
        <f t="shared" si="11"/>
        <v>28968139.200000003</v>
      </c>
      <c r="I31" s="9">
        <f t="shared" si="13"/>
        <v>86904417.600000009</v>
      </c>
      <c r="J31" s="15">
        <f t="shared" si="3"/>
        <v>0.10000000000000009</v>
      </c>
      <c r="K31" s="3">
        <f t="shared" si="4"/>
        <v>26097422.702702705</v>
      </c>
      <c r="L31" s="3">
        <f t="shared" si="5"/>
        <v>78292268.108108103</v>
      </c>
      <c r="M31" s="19">
        <v>12000000</v>
      </c>
      <c r="N31" s="19">
        <v>48999000</v>
      </c>
      <c r="O31" s="19">
        <v>18005016.000000004</v>
      </c>
      <c r="P31" s="22">
        <f t="shared" si="6"/>
        <v>26334672</v>
      </c>
      <c r="Q31" s="11">
        <v>0.10000000000000009</v>
      </c>
      <c r="R31" s="19">
        <f t="shared" si="7"/>
        <v>28968139.200000003</v>
      </c>
      <c r="S31" s="19">
        <f t="shared" si="8"/>
        <v>86904417.600000009</v>
      </c>
      <c r="T31" s="19">
        <f t="shared" si="9"/>
        <v>26097422.702702705</v>
      </c>
      <c r="U31" s="19">
        <f t="shared" si="10"/>
        <v>78292268.108108103</v>
      </c>
    </row>
    <row r="32" spans="1:21" x14ac:dyDescent="0.3">
      <c r="A32" s="2" t="s">
        <v>41</v>
      </c>
      <c r="B32" s="2" t="s">
        <v>72</v>
      </c>
      <c r="C32" s="13">
        <v>28814604.954545461</v>
      </c>
      <c r="D32" s="13">
        <v>37511745.090909086</v>
      </c>
      <c r="E32" s="13">
        <v>11357318.636363639</v>
      </c>
      <c r="F32" s="7">
        <f t="shared" si="0"/>
        <v>77683668.681818187</v>
      </c>
      <c r="G32" s="8">
        <f t="shared" si="1"/>
        <v>25894556.22727273</v>
      </c>
      <c r="H32" s="9">
        <f t="shared" si="11"/>
        <v>28484011.850000005</v>
      </c>
      <c r="I32" s="9">
        <f t="shared" si="13"/>
        <v>85452035.550000012</v>
      </c>
      <c r="J32" s="15">
        <f t="shared" si="3"/>
        <v>0.10000000000000009</v>
      </c>
      <c r="K32" s="3">
        <f t="shared" si="4"/>
        <v>25661271.936936941</v>
      </c>
      <c r="L32" s="3">
        <f t="shared" si="5"/>
        <v>76983815.810810819</v>
      </c>
      <c r="M32" s="19">
        <v>26834604.954545464</v>
      </c>
      <c r="N32" s="19">
        <v>35135745.090909094</v>
      </c>
      <c r="O32" s="19">
        <v>11357318.636363639</v>
      </c>
      <c r="P32" s="22">
        <f t="shared" si="6"/>
        <v>24442556.227272734</v>
      </c>
      <c r="Q32" s="11">
        <v>0.10000000000000009</v>
      </c>
      <c r="R32" s="19">
        <f t="shared" si="7"/>
        <v>26886811.850000009</v>
      </c>
      <c r="S32" s="19">
        <f t="shared" si="8"/>
        <v>80660435.550000027</v>
      </c>
      <c r="T32" s="19">
        <f t="shared" si="9"/>
        <v>24222353.018018022</v>
      </c>
      <c r="U32" s="19">
        <f t="shared" si="10"/>
        <v>72667059.054054067</v>
      </c>
    </row>
    <row r="33" spans="1:22" x14ac:dyDescent="0.3">
      <c r="A33" s="2" t="s">
        <v>42</v>
      </c>
      <c r="B33" s="2" t="s">
        <v>73</v>
      </c>
      <c r="C33" s="13">
        <v>74852640</v>
      </c>
      <c r="D33" s="13">
        <v>0</v>
      </c>
      <c r="E33" s="14">
        <v>0</v>
      </c>
      <c r="F33" s="7">
        <f t="shared" si="0"/>
        <v>74852640</v>
      </c>
      <c r="G33" s="8">
        <f t="shared" si="1"/>
        <v>24950880</v>
      </c>
      <c r="H33" s="9">
        <f t="shared" si="11"/>
        <v>27445968.000000004</v>
      </c>
      <c r="I33" s="9">
        <f t="shared" si="13"/>
        <v>82337904.000000015</v>
      </c>
      <c r="J33" s="15">
        <f t="shared" si="3"/>
        <v>0.10000000000000009</v>
      </c>
      <c r="K33" s="3">
        <f t="shared" si="4"/>
        <v>24726097.297297299</v>
      </c>
      <c r="L33" s="3">
        <f t="shared" si="5"/>
        <v>74178291.891891897</v>
      </c>
      <c r="M33" s="19">
        <v>74852640</v>
      </c>
      <c r="N33" s="19">
        <v>0</v>
      </c>
      <c r="O33" s="19">
        <v>0</v>
      </c>
      <c r="P33" s="22">
        <f t="shared" si="6"/>
        <v>24950880</v>
      </c>
      <c r="Q33" s="11">
        <v>0.10000000000000009</v>
      </c>
      <c r="R33" s="19">
        <f t="shared" si="7"/>
        <v>27445968.000000004</v>
      </c>
      <c r="S33" s="19">
        <f t="shared" si="8"/>
        <v>82337904.000000015</v>
      </c>
      <c r="T33" s="19">
        <f t="shared" si="9"/>
        <v>24726097.297297299</v>
      </c>
      <c r="U33" s="19">
        <f t="shared" si="10"/>
        <v>74178291.891891897</v>
      </c>
    </row>
    <row r="34" spans="1:22" x14ac:dyDescent="0.3">
      <c r="A34" s="2" t="s">
        <v>43</v>
      </c>
      <c r="B34" s="2" t="s">
        <v>74</v>
      </c>
      <c r="C34" s="13">
        <v>15045627.272727272</v>
      </c>
      <c r="D34" s="13">
        <v>42572987.181818202</v>
      </c>
      <c r="E34" s="13">
        <v>15945231.272727273</v>
      </c>
      <c r="F34" s="7">
        <f t="shared" si="0"/>
        <v>73563845.727272749</v>
      </c>
      <c r="G34" s="8">
        <f t="shared" si="1"/>
        <v>24521281.909090918</v>
      </c>
      <c r="H34" s="9">
        <f t="shared" si="11"/>
        <v>26973410.100000013</v>
      </c>
      <c r="I34" s="9">
        <f t="shared" si="13"/>
        <v>80920230.300000042</v>
      </c>
      <c r="J34" s="15">
        <f t="shared" si="3"/>
        <v>0.10000000000000009</v>
      </c>
      <c r="K34" s="3">
        <f t="shared" si="4"/>
        <v>24300369.459459469</v>
      </c>
      <c r="L34" s="3">
        <f t="shared" si="5"/>
        <v>72901108.378378406</v>
      </c>
      <c r="M34" s="19">
        <v>15045627.272727275</v>
      </c>
      <c r="N34" s="19">
        <v>41384987.181818202</v>
      </c>
      <c r="O34" s="19">
        <v>15945231.272727273</v>
      </c>
      <c r="P34" s="22">
        <f t="shared" si="6"/>
        <v>24125281.909090918</v>
      </c>
      <c r="Q34" s="11">
        <v>0.10000000000000009</v>
      </c>
      <c r="R34" s="19">
        <f t="shared" si="7"/>
        <v>26537810.100000013</v>
      </c>
      <c r="S34" s="19">
        <f t="shared" si="8"/>
        <v>79613430.300000042</v>
      </c>
      <c r="T34" s="19">
        <f t="shared" si="9"/>
        <v>23907937.027027037</v>
      </c>
      <c r="U34" s="19">
        <f t="shared" si="10"/>
        <v>71723811.081081107</v>
      </c>
    </row>
    <row r="35" spans="1:22" x14ac:dyDescent="0.3">
      <c r="A35" s="2" t="s">
        <v>44</v>
      </c>
      <c r="B35" s="2" t="s">
        <v>75</v>
      </c>
      <c r="C35" s="13">
        <v>44277255.81818182</v>
      </c>
      <c r="D35" s="13">
        <v>0</v>
      </c>
      <c r="E35" s="13">
        <v>23812192.363636367</v>
      </c>
      <c r="F35" s="7">
        <f t="shared" si="0"/>
        <v>68089448.181818187</v>
      </c>
      <c r="G35" s="8">
        <f t="shared" si="1"/>
        <v>22696482.72727273</v>
      </c>
      <c r="H35" s="9">
        <f t="shared" si="11"/>
        <v>24966131.000000004</v>
      </c>
      <c r="I35" s="9">
        <f t="shared" si="13"/>
        <v>74898393.000000015</v>
      </c>
      <c r="J35" s="15">
        <f t="shared" si="3"/>
        <v>0.10000000000000009</v>
      </c>
      <c r="K35" s="3">
        <f t="shared" si="4"/>
        <v>22492009.909909911</v>
      </c>
      <c r="L35" s="3">
        <f t="shared" si="5"/>
        <v>67476029.729729742</v>
      </c>
      <c r="M35" s="19">
        <v>44277255.81818182</v>
      </c>
      <c r="N35" s="19">
        <v>0</v>
      </c>
      <c r="O35" s="19">
        <v>23812192.363636367</v>
      </c>
      <c r="P35" s="22">
        <f t="shared" si="6"/>
        <v>22696482.72727273</v>
      </c>
      <c r="Q35" s="11">
        <v>0.10000000000000009</v>
      </c>
      <c r="R35" s="19">
        <f t="shared" si="7"/>
        <v>24966131.000000007</v>
      </c>
      <c r="S35" s="19">
        <f t="shared" si="8"/>
        <v>74898393.00000003</v>
      </c>
      <c r="T35" s="19">
        <f t="shared" si="9"/>
        <v>22492009.909909915</v>
      </c>
      <c r="U35" s="19">
        <f t="shared" si="10"/>
        <v>67476029.729729757</v>
      </c>
    </row>
    <row r="36" spans="1:22" x14ac:dyDescent="0.3">
      <c r="A36" s="2" t="s">
        <v>45</v>
      </c>
      <c r="B36" s="2" t="s">
        <v>76</v>
      </c>
      <c r="C36" s="13">
        <v>16445505</v>
      </c>
      <c r="D36" s="13">
        <v>39864754.772727281</v>
      </c>
      <c r="E36" s="13">
        <v>8003254.5454545487</v>
      </c>
      <c r="F36" s="7">
        <f t="shared" si="0"/>
        <v>64313514.318181828</v>
      </c>
      <c r="G36" s="8">
        <f t="shared" si="1"/>
        <v>21437838.106060609</v>
      </c>
      <c r="H36" s="9">
        <f t="shared" si="11"/>
        <v>23581621.916666672</v>
      </c>
      <c r="I36" s="9">
        <f t="shared" si="13"/>
        <v>70744865.750000015</v>
      </c>
      <c r="J36" s="15">
        <f t="shared" si="3"/>
        <v>0.10000000000000009</v>
      </c>
      <c r="K36" s="3">
        <f t="shared" si="4"/>
        <v>21244704.429429431</v>
      </c>
      <c r="L36" s="3">
        <f t="shared" si="5"/>
        <v>63734113.288288295</v>
      </c>
      <c r="M36" s="19">
        <v>16445505.000000002</v>
      </c>
      <c r="N36" s="19">
        <v>39864754.772727281</v>
      </c>
      <c r="O36" s="19">
        <v>8003254.5454545487</v>
      </c>
      <c r="P36" s="22">
        <f t="shared" si="6"/>
        <v>21437838.106060609</v>
      </c>
      <c r="Q36" s="11">
        <v>0.10000000000000009</v>
      </c>
      <c r="R36" s="19">
        <f t="shared" si="7"/>
        <v>23581621.916666672</v>
      </c>
      <c r="S36" s="19">
        <f t="shared" si="8"/>
        <v>70744865.750000015</v>
      </c>
      <c r="T36" s="19">
        <f t="shared" si="9"/>
        <v>21244704.429429431</v>
      </c>
      <c r="U36" s="19">
        <f t="shared" si="10"/>
        <v>63734113.288288295</v>
      </c>
    </row>
    <row r="37" spans="1:22" x14ac:dyDescent="0.3">
      <c r="A37" s="2" t="s">
        <v>83</v>
      </c>
      <c r="B37" s="2" t="s">
        <v>84</v>
      </c>
      <c r="C37" s="13">
        <v>45074280</v>
      </c>
      <c r="D37" s="13">
        <v>30511404.545454551</v>
      </c>
      <c r="E37" s="13">
        <v>12247200.000000002</v>
      </c>
      <c r="F37" s="7">
        <f t="shared" ref="F37:F39" si="14">SUM(C37:E37)</f>
        <v>87832884.545454547</v>
      </c>
      <c r="G37" s="8">
        <f t="shared" si="1"/>
        <v>29277628.181818184</v>
      </c>
      <c r="H37" s="9">
        <f>G37*110%</f>
        <v>32205391.000000004</v>
      </c>
      <c r="I37" s="9">
        <f t="shared" si="13"/>
        <v>96616173.000000015</v>
      </c>
      <c r="J37" s="11">
        <f t="shared" si="3"/>
        <v>0.10000000000000009</v>
      </c>
      <c r="K37" s="3">
        <f t="shared" si="4"/>
        <v>29013865.765765768</v>
      </c>
      <c r="L37" s="3">
        <f t="shared" si="5"/>
        <v>87041597.297297299</v>
      </c>
      <c r="M37" s="19">
        <v>45074280</v>
      </c>
      <c r="N37" s="19">
        <v>30511404.545454551</v>
      </c>
      <c r="O37" s="19">
        <v>12247200.000000002</v>
      </c>
      <c r="P37" s="22">
        <f t="shared" si="6"/>
        <v>29277628.181818184</v>
      </c>
      <c r="Q37" s="11">
        <v>0.10000000000000009</v>
      </c>
      <c r="R37" s="19">
        <f t="shared" si="7"/>
        <v>32205391.000000004</v>
      </c>
      <c r="S37" s="19">
        <f t="shared" si="8"/>
        <v>96616173.000000015</v>
      </c>
      <c r="T37" s="19">
        <f t="shared" si="9"/>
        <v>29013865.765765768</v>
      </c>
      <c r="U37" s="19">
        <f t="shared" si="10"/>
        <v>87041597.297297299</v>
      </c>
    </row>
    <row r="38" spans="1:22" s="31" customFormat="1" x14ac:dyDescent="0.3">
      <c r="A38" s="23" t="s">
        <v>158</v>
      </c>
      <c r="B38" s="23" t="s">
        <v>159</v>
      </c>
      <c r="C38" s="24">
        <v>11443090.909090912</v>
      </c>
      <c r="D38" s="24">
        <v>6039409.0909090918</v>
      </c>
      <c r="E38" s="24">
        <v>17482500.000000004</v>
      </c>
      <c r="F38" s="25">
        <f t="shared" si="14"/>
        <v>34965000.000000007</v>
      </c>
      <c r="G38" s="25">
        <f t="shared" si="1"/>
        <v>11655000.000000002</v>
      </c>
      <c r="H38" s="25">
        <f t="shared" ref="H38:H39" si="15">G38*110%</f>
        <v>12820500.000000004</v>
      </c>
      <c r="I38" s="25">
        <f t="shared" si="13"/>
        <v>38461500.000000015</v>
      </c>
      <c r="J38" s="26">
        <f t="shared" si="3"/>
        <v>0.10000000000000009</v>
      </c>
      <c r="K38" s="27">
        <f t="shared" si="4"/>
        <v>11550000.000000002</v>
      </c>
      <c r="L38" s="27">
        <f t="shared" si="5"/>
        <v>34650000.000000007</v>
      </c>
      <c r="M38" s="28">
        <v>11443090.909090912</v>
      </c>
      <c r="N38" s="28">
        <v>0</v>
      </c>
      <c r="O38" s="28">
        <v>6039409.0909090918</v>
      </c>
      <c r="P38" s="29">
        <f t="shared" si="6"/>
        <v>5827500.0000000009</v>
      </c>
      <c r="Q38" s="26">
        <v>0.10000000000000009</v>
      </c>
      <c r="R38" s="28">
        <f t="shared" si="7"/>
        <v>6410250.0000000019</v>
      </c>
      <c r="S38" s="28">
        <f t="shared" si="8"/>
        <v>19230750.000000007</v>
      </c>
      <c r="T38" s="28">
        <f t="shared" si="9"/>
        <v>5775000.0000000009</v>
      </c>
      <c r="U38" s="28">
        <f t="shared" si="10"/>
        <v>17325000.000000004</v>
      </c>
      <c r="V38" s="31" t="s">
        <v>198</v>
      </c>
    </row>
    <row r="39" spans="1:22" s="31" customFormat="1" x14ac:dyDescent="0.3">
      <c r="A39" s="23" t="s">
        <v>160</v>
      </c>
      <c r="B39" s="23" t="s">
        <v>161</v>
      </c>
      <c r="C39" s="24">
        <v>10392439.681818182</v>
      </c>
      <c r="D39" s="24">
        <v>26303369.590909086</v>
      </c>
      <c r="E39" s="24">
        <v>655854.54545454541</v>
      </c>
      <c r="F39" s="25">
        <f t="shared" si="14"/>
        <v>37351663.818181813</v>
      </c>
      <c r="G39" s="25">
        <f t="shared" si="1"/>
        <v>12450554.606060604</v>
      </c>
      <c r="H39" s="25">
        <f t="shared" si="15"/>
        <v>13695610.066666665</v>
      </c>
      <c r="I39" s="25">
        <f t="shared" si="13"/>
        <v>41086830.199999996</v>
      </c>
      <c r="J39" s="26">
        <f t="shared" si="3"/>
        <v>0.10000000000000009</v>
      </c>
      <c r="K39" s="27">
        <f t="shared" si="4"/>
        <v>12338387.447447445</v>
      </c>
      <c r="L39" s="27">
        <f t="shared" si="5"/>
        <v>37015162.342342332</v>
      </c>
      <c r="M39" s="28">
        <v>10392439.681818182</v>
      </c>
      <c r="N39" s="28">
        <v>26303369.590909086</v>
      </c>
      <c r="O39" s="28">
        <v>655854.54545454541</v>
      </c>
      <c r="P39" s="29">
        <f t="shared" si="6"/>
        <v>12450554.606060604</v>
      </c>
      <c r="Q39" s="26">
        <v>0.10000000000000009</v>
      </c>
      <c r="R39" s="28">
        <f t="shared" si="7"/>
        <v>13695610.066666665</v>
      </c>
      <c r="S39" s="28">
        <f t="shared" si="8"/>
        <v>41086830.199999996</v>
      </c>
      <c r="T39" s="28">
        <f t="shared" si="9"/>
        <v>12338387.447447445</v>
      </c>
      <c r="U39" s="28">
        <f t="shared" si="10"/>
        <v>37015162.342342332</v>
      </c>
      <c r="V39" s="31" t="s">
        <v>198</v>
      </c>
    </row>
    <row r="40" spans="1:22" x14ac:dyDescent="0.3">
      <c r="A40" s="5" t="s">
        <v>5</v>
      </c>
      <c r="B40" s="5"/>
      <c r="C40" s="4">
        <f>SUM(C6:C39)</f>
        <v>14119341377.818182</v>
      </c>
      <c r="D40" s="4">
        <f t="shared" ref="D40:L40" si="16">SUM(D6:D39)</f>
        <v>9761459023.4545498</v>
      </c>
      <c r="E40" s="4">
        <f t="shared" si="16"/>
        <v>8414793532.0909109</v>
      </c>
      <c r="F40" s="4">
        <f t="shared" si="16"/>
        <v>32295593933.363625</v>
      </c>
      <c r="G40" s="4">
        <f t="shared" si="16"/>
        <v>10765197977.78787</v>
      </c>
      <c r="H40" s="4">
        <f t="shared" si="16"/>
        <v>12018801153.598484</v>
      </c>
      <c r="I40" s="4">
        <f t="shared" si="16"/>
        <v>36056403460.795464</v>
      </c>
      <c r="J40" s="12">
        <f t="shared" ref="J40" si="17">H40/G40-1</f>
        <v>0.11644961647683649</v>
      </c>
      <c r="K40" s="4">
        <f t="shared" si="16"/>
        <v>10827748787.025663</v>
      </c>
      <c r="L40" s="4">
        <f t="shared" si="16"/>
        <v>32483246361.076977</v>
      </c>
      <c r="Q40" s="21"/>
    </row>
    <row r="44" spans="1:22" ht="18" x14ac:dyDescent="0.35">
      <c r="A44" s="16" t="s">
        <v>78</v>
      </c>
      <c r="C44" s="49">
        <v>2024</v>
      </c>
      <c r="D44" s="49"/>
      <c r="E44" s="10">
        <v>2025</v>
      </c>
      <c r="M44" s="51" t="s">
        <v>189</v>
      </c>
      <c r="N44" s="51"/>
      <c r="O44" s="51"/>
      <c r="P44" s="51"/>
      <c r="Q44" s="51"/>
      <c r="R44" s="51"/>
      <c r="S44" s="51"/>
      <c r="T44" s="51"/>
      <c r="U44" s="51"/>
    </row>
    <row r="45" spans="1:22" x14ac:dyDescent="0.3">
      <c r="A45" s="1" t="s">
        <v>0</v>
      </c>
      <c r="B45" s="1" t="s">
        <v>1</v>
      </c>
      <c r="C45" s="6" t="s">
        <v>2</v>
      </c>
      <c r="D45" s="6" t="s">
        <v>3</v>
      </c>
      <c r="E45" s="6" t="s">
        <v>4</v>
      </c>
      <c r="F45" s="6" t="s">
        <v>7</v>
      </c>
      <c r="G45" s="6" t="s">
        <v>8</v>
      </c>
      <c r="H45" s="6" t="s">
        <v>9</v>
      </c>
      <c r="I45" s="6" t="s">
        <v>11</v>
      </c>
      <c r="J45" s="6" t="s">
        <v>10</v>
      </c>
      <c r="K45" s="6" t="s">
        <v>12</v>
      </c>
      <c r="L45" s="6" t="s">
        <v>13</v>
      </c>
      <c r="M45" s="17" t="s">
        <v>2</v>
      </c>
      <c r="N45" s="17" t="s">
        <v>190</v>
      </c>
      <c r="O45" s="17" t="s">
        <v>4</v>
      </c>
      <c r="P45" s="17" t="s">
        <v>191</v>
      </c>
      <c r="Q45" s="18" t="s">
        <v>192</v>
      </c>
      <c r="R45" s="17" t="s">
        <v>193</v>
      </c>
      <c r="S45" s="17" t="s">
        <v>194</v>
      </c>
      <c r="T45" s="17" t="s">
        <v>195</v>
      </c>
      <c r="U45" s="17" t="s">
        <v>196</v>
      </c>
    </row>
    <row r="46" spans="1:22" x14ac:dyDescent="0.3">
      <c r="A46" s="2" t="s">
        <v>79</v>
      </c>
      <c r="B46" s="2" t="s">
        <v>80</v>
      </c>
      <c r="C46" s="13"/>
      <c r="D46" s="13"/>
      <c r="E46" s="13">
        <v>123122080.90909086</v>
      </c>
      <c r="F46" s="7">
        <f t="shared" ref="F46:F49" si="18">SUM(C46:E46)</f>
        <v>123122080.90909086</v>
      </c>
      <c r="G46" s="8">
        <f t="shared" ref="G46:G49" si="19">AVERAGE(C46:E46)</f>
        <v>123122080.90909086</v>
      </c>
      <c r="H46" s="9">
        <f>G46*125%</f>
        <v>153902601.13636357</v>
      </c>
      <c r="I46" s="9">
        <f t="shared" ref="I46:I49" si="20">H46*3</f>
        <v>461707803.4090907</v>
      </c>
      <c r="J46" s="11">
        <f t="shared" ref="J46:J49" si="21">H46/G46-1</f>
        <v>0.25</v>
      </c>
      <c r="K46" s="3">
        <f t="shared" ref="K46:K49" si="22">H46/1.11</f>
        <v>138650992.01474193</v>
      </c>
      <c r="L46" s="3">
        <f t="shared" ref="L46:L49" si="23">I46/1.11</f>
        <v>415952976.04422581</v>
      </c>
      <c r="M46" s="19">
        <v>0</v>
      </c>
      <c r="N46" s="19">
        <v>0</v>
      </c>
      <c r="O46" s="19">
        <v>123122080.90909086</v>
      </c>
      <c r="P46" s="22">
        <f>AVERAGE(M46:O46)</f>
        <v>41040693.636363618</v>
      </c>
      <c r="Q46" s="20">
        <v>0.25</v>
      </c>
      <c r="R46" s="19">
        <f>P46+(P46*Q46)</f>
        <v>51300867.045454524</v>
      </c>
      <c r="S46" s="19">
        <f>R46*3</f>
        <v>153902601.13636357</v>
      </c>
      <c r="T46" s="19">
        <f>R46/1.11</f>
        <v>46216997.338247314</v>
      </c>
      <c r="U46" s="19">
        <f>S46/1.11</f>
        <v>138650992.01474193</v>
      </c>
    </row>
    <row r="47" spans="1:22" x14ac:dyDescent="0.3">
      <c r="A47" s="2" t="s">
        <v>81</v>
      </c>
      <c r="B47" s="2" t="s">
        <v>82</v>
      </c>
      <c r="C47" s="13">
        <v>35682086.181818187</v>
      </c>
      <c r="D47" s="13">
        <v>22772204.454545453</v>
      </c>
      <c r="E47" s="13">
        <v>38992591.363636352</v>
      </c>
      <c r="F47" s="7">
        <f t="shared" si="18"/>
        <v>97446882</v>
      </c>
      <c r="G47" s="8">
        <f t="shared" si="19"/>
        <v>32482294</v>
      </c>
      <c r="H47" s="9">
        <f>G47*120%</f>
        <v>38978752.799999997</v>
      </c>
      <c r="I47" s="9">
        <f t="shared" si="20"/>
        <v>116936258.39999999</v>
      </c>
      <c r="J47" s="11">
        <f t="shared" si="21"/>
        <v>0.19999999999999996</v>
      </c>
      <c r="K47" s="3">
        <f t="shared" si="22"/>
        <v>35115993.513513505</v>
      </c>
      <c r="L47" s="3">
        <f t="shared" si="23"/>
        <v>105347980.54054052</v>
      </c>
      <c r="M47" s="19">
        <v>35682086.181818187</v>
      </c>
      <c r="N47" s="19">
        <v>20396204.454545453</v>
      </c>
      <c r="O47" s="19">
        <v>38992591.363636352</v>
      </c>
      <c r="P47" s="22">
        <f t="shared" ref="P47:P49" si="24">AVERAGE(M47:O47)</f>
        <v>31690294</v>
      </c>
      <c r="Q47" s="20">
        <v>0.19999999999999996</v>
      </c>
      <c r="R47" s="19">
        <f t="shared" ref="R47:R49" si="25">P47+(P47*Q47)</f>
        <v>38028352.799999997</v>
      </c>
      <c r="S47" s="19">
        <f t="shared" ref="S47:S49" si="26">R47*3</f>
        <v>114085058.39999999</v>
      </c>
      <c r="T47" s="19">
        <f t="shared" ref="T47:T49" si="27">R47/1.11</f>
        <v>34259777.297297291</v>
      </c>
      <c r="U47" s="19">
        <f t="shared" ref="U47:U49" si="28">S47/1.11</f>
        <v>102779331.89189188</v>
      </c>
    </row>
    <row r="48" spans="1:22" x14ac:dyDescent="0.3">
      <c r="A48" s="2" t="s">
        <v>85</v>
      </c>
      <c r="B48" s="2" t="s">
        <v>86</v>
      </c>
      <c r="C48" s="13">
        <v>17206624.590909097</v>
      </c>
      <c r="D48" s="13">
        <v>17066629.500000007</v>
      </c>
      <c r="E48" s="13">
        <v>18897236.090909101</v>
      </c>
      <c r="F48" s="7">
        <f t="shared" si="18"/>
        <v>53170490.18181821</v>
      </c>
      <c r="G48" s="8">
        <f t="shared" si="19"/>
        <v>17723496.727272738</v>
      </c>
      <c r="H48" s="9">
        <f>G48*120%</f>
        <v>21268196.072727285</v>
      </c>
      <c r="I48" s="9">
        <f t="shared" si="20"/>
        <v>63804588.218181856</v>
      </c>
      <c r="J48" s="11">
        <f t="shared" si="21"/>
        <v>0.19999999999999996</v>
      </c>
      <c r="K48" s="3">
        <f t="shared" si="22"/>
        <v>19160537.002457011</v>
      </c>
      <c r="L48" s="3">
        <f t="shared" si="23"/>
        <v>57481611.007371038</v>
      </c>
      <c r="M48" s="19">
        <v>17206624.590909097</v>
      </c>
      <c r="N48" s="19">
        <v>17066629.500000007</v>
      </c>
      <c r="O48" s="19">
        <v>18897236.090909101</v>
      </c>
      <c r="P48" s="22">
        <f t="shared" si="24"/>
        <v>17723496.727272738</v>
      </c>
      <c r="Q48" s="20">
        <v>0.19999999999999996</v>
      </c>
      <c r="R48" s="19">
        <f t="shared" si="25"/>
        <v>21268196.072727285</v>
      </c>
      <c r="S48" s="19">
        <f t="shared" si="26"/>
        <v>63804588.218181856</v>
      </c>
      <c r="T48" s="19">
        <f t="shared" si="27"/>
        <v>19160537.002457011</v>
      </c>
      <c r="U48" s="19">
        <f t="shared" si="28"/>
        <v>57481611.007371038</v>
      </c>
    </row>
    <row r="49" spans="1:22" s="31" customFormat="1" x14ac:dyDescent="0.3">
      <c r="A49" s="23" t="s">
        <v>157</v>
      </c>
      <c r="B49" s="23" t="s">
        <v>156</v>
      </c>
      <c r="C49" s="24">
        <v>22603663.36363636</v>
      </c>
      <c r="D49" s="24">
        <v>6231919.0909090908</v>
      </c>
      <c r="E49" s="24">
        <v>12108964.363636367</v>
      </c>
      <c r="F49" s="25">
        <f t="shared" si="18"/>
        <v>40944546.818181813</v>
      </c>
      <c r="G49" s="25">
        <f t="shared" si="19"/>
        <v>13648182.272727272</v>
      </c>
      <c r="H49" s="25">
        <f t="shared" ref="H49" si="29">G49*110%</f>
        <v>15013000.5</v>
      </c>
      <c r="I49" s="25">
        <f t="shared" si="20"/>
        <v>45039001.5</v>
      </c>
      <c r="J49" s="26">
        <f t="shared" si="21"/>
        <v>0.10000000000000009</v>
      </c>
      <c r="K49" s="27">
        <f t="shared" si="22"/>
        <v>13525225.675675675</v>
      </c>
      <c r="L49" s="27">
        <f t="shared" si="23"/>
        <v>40575677.027027026</v>
      </c>
      <c r="M49" s="28">
        <v>22603663.36363636</v>
      </c>
      <c r="N49" s="28">
        <v>3855919.0909090908</v>
      </c>
      <c r="O49" s="28">
        <v>12108964.363636367</v>
      </c>
      <c r="P49" s="29">
        <f t="shared" si="24"/>
        <v>12856182.272727272</v>
      </c>
      <c r="Q49" s="30">
        <v>0.10000000000000009</v>
      </c>
      <c r="R49" s="28">
        <f t="shared" si="25"/>
        <v>14141800.5</v>
      </c>
      <c r="S49" s="28">
        <f t="shared" si="26"/>
        <v>42425401.5</v>
      </c>
      <c r="T49" s="28">
        <f t="shared" si="27"/>
        <v>12740360.81081081</v>
      </c>
      <c r="U49" s="28">
        <f t="shared" si="28"/>
        <v>38221082.432432428</v>
      </c>
      <c r="V49" s="31" t="s">
        <v>198</v>
      </c>
    </row>
    <row r="50" spans="1:22" x14ac:dyDescent="0.3">
      <c r="A50" s="5" t="s">
        <v>5</v>
      </c>
      <c r="B50" s="5"/>
      <c r="C50" s="4">
        <f>SUM(C46:C49)</f>
        <v>75492374.13636364</v>
      </c>
      <c r="D50" s="4">
        <f t="shared" ref="D50:L50" si="30">SUM(D46:D49)</f>
        <v>46070753.045454554</v>
      </c>
      <c r="E50" s="4">
        <f t="shared" si="30"/>
        <v>193120872.72727269</v>
      </c>
      <c r="F50" s="4">
        <f t="shared" si="30"/>
        <v>314683999.90909088</v>
      </c>
      <c r="G50" s="4">
        <f t="shared" si="30"/>
        <v>186976053.90909091</v>
      </c>
      <c r="H50" s="4">
        <f t="shared" si="30"/>
        <v>229162550.50909087</v>
      </c>
      <c r="I50" s="4">
        <f t="shared" si="30"/>
        <v>687487651.52727258</v>
      </c>
      <c r="J50" s="12">
        <f>H50/G50-1</f>
        <v>0.22562513069460399</v>
      </c>
      <c r="K50" s="4">
        <f t="shared" si="30"/>
        <v>206452748.20638812</v>
      </c>
      <c r="L50" s="4">
        <f t="shared" si="30"/>
        <v>619358244.61916435</v>
      </c>
    </row>
  </sheetData>
  <sortState xmlns:xlrd2="http://schemas.microsoft.com/office/spreadsheetml/2017/richdata2" ref="A6:G29">
    <sortCondition descending="1" ref="F6:F29"/>
  </sortState>
  <mergeCells count="5">
    <mergeCell ref="C4:D4"/>
    <mergeCell ref="A1:L2"/>
    <mergeCell ref="C44:D44"/>
    <mergeCell ref="M4:U4"/>
    <mergeCell ref="M44:U44"/>
  </mergeCells>
  <pageMargins left="0.25" right="0.25" top="0.75" bottom="0.75" header="0.3" footer="0.3"/>
  <pageSetup paperSize="9" scale="6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0828-7606-4313-AB14-70D328988704}">
  <sheetPr>
    <pageSetUpPr fitToPage="1"/>
  </sheetPr>
  <dimension ref="A1:V9"/>
  <sheetViews>
    <sheetView workbookViewId="0">
      <selection activeCell="V8" sqref="A1:V8"/>
    </sheetView>
  </sheetViews>
  <sheetFormatPr defaultRowHeight="14.4" x14ac:dyDescent="0.3"/>
  <cols>
    <col min="1" max="1" width="11.6640625" bestFit="1" customWidth="1"/>
    <col min="2" max="2" width="35.33203125" bestFit="1" customWidth="1"/>
    <col min="3" max="3" width="14.77734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4" width="11" bestFit="1" customWidth="1"/>
    <col min="15" max="15" width="12" bestFit="1" customWidth="1"/>
    <col min="16" max="16" width="11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2" ht="14.55" customHeight="1" x14ac:dyDescent="0.3">
      <c r="A1" s="50" t="s">
        <v>93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2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2" ht="18" x14ac:dyDescent="0.35">
      <c r="A4" s="16" t="s">
        <v>77</v>
      </c>
      <c r="C4" s="49">
        <v>2024</v>
      </c>
      <c r="D4" s="49"/>
      <c r="E4" s="10">
        <v>2025</v>
      </c>
      <c r="M4" s="51" t="s">
        <v>189</v>
      </c>
      <c r="N4" s="51"/>
      <c r="O4" s="51"/>
      <c r="P4" s="51"/>
      <c r="Q4" s="51"/>
      <c r="R4" s="51"/>
      <c r="S4" s="51"/>
      <c r="T4" s="51"/>
      <c r="U4" s="51"/>
    </row>
    <row r="5" spans="1:22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2" x14ac:dyDescent="0.3">
      <c r="A6" s="2" t="s">
        <v>87</v>
      </c>
      <c r="B6" s="2" t="s">
        <v>88</v>
      </c>
      <c r="C6" s="13">
        <v>75223756.909090951</v>
      </c>
      <c r="D6" s="13">
        <v>93745757.36363627</v>
      </c>
      <c r="E6" s="13">
        <v>60269893.227272697</v>
      </c>
      <c r="F6" s="7">
        <f t="shared" ref="F6:F8" si="0">SUM(C6:E6)</f>
        <v>229239407.49999991</v>
      </c>
      <c r="G6" s="8">
        <f t="shared" ref="G6:G8" si="1">AVERAGE(C6:E6)</f>
        <v>76413135.833333299</v>
      </c>
      <c r="H6" s="9">
        <f>G6*110%</f>
        <v>84054449.416666642</v>
      </c>
      <c r="I6" s="9">
        <f>H6*3</f>
        <v>252163348.24999994</v>
      </c>
      <c r="J6" s="11">
        <f t="shared" ref="J6:J9" si="2">H6/G6-1</f>
        <v>0.10000000000000009</v>
      </c>
      <c r="K6" s="3">
        <f>H6/1.11</f>
        <v>75724729.204204172</v>
      </c>
      <c r="L6" s="3">
        <f>I6/1.11</f>
        <v>227174187.61261255</v>
      </c>
      <c r="M6" s="19">
        <v>74629756.909090936</v>
      </c>
      <c r="N6" s="19">
        <v>93745757.36363627</v>
      </c>
      <c r="O6" s="19">
        <v>60269893.227272697</v>
      </c>
      <c r="P6" s="22">
        <f>AVERAGE(M6:O6)</f>
        <v>76215135.833333299</v>
      </c>
      <c r="Q6" s="20">
        <v>0.10000000000000009</v>
      </c>
      <c r="R6" s="19">
        <f>P6+(P6*Q6)</f>
        <v>83836649.416666642</v>
      </c>
      <c r="S6" s="19">
        <f>R6*3</f>
        <v>251509948.24999994</v>
      </c>
      <c r="T6" s="19">
        <f>R6/1.11</f>
        <v>75528512.987987965</v>
      </c>
      <c r="U6" s="19">
        <f>S6/1.11</f>
        <v>226585538.9639639</v>
      </c>
    </row>
    <row r="7" spans="1:22" x14ac:dyDescent="0.3">
      <c r="A7" s="2" t="s">
        <v>89</v>
      </c>
      <c r="B7" s="2" t="s">
        <v>90</v>
      </c>
      <c r="C7" s="13">
        <v>8728409.0909090899</v>
      </c>
      <c r="D7" s="13">
        <v>68022245.454545483</v>
      </c>
      <c r="E7" s="13">
        <v>125660588.18181823</v>
      </c>
      <c r="F7" s="7">
        <f t="shared" si="0"/>
        <v>202411242.72727281</v>
      </c>
      <c r="G7" s="8">
        <f t="shared" si="1"/>
        <v>67470414.242424265</v>
      </c>
      <c r="H7" s="9">
        <f>G7*115%</f>
        <v>77590976.378787905</v>
      </c>
      <c r="I7" s="9">
        <f t="shared" ref="I7:I8" si="3">H7*3</f>
        <v>232772929.13636371</v>
      </c>
      <c r="J7" s="11">
        <f t="shared" si="2"/>
        <v>0.14999999999999991</v>
      </c>
      <c r="K7" s="3">
        <f t="shared" ref="K7:L8" si="4">H7/1.11</f>
        <v>69901780.521430537</v>
      </c>
      <c r="L7" s="3">
        <f t="shared" si="4"/>
        <v>209705341.56429163</v>
      </c>
      <c r="M7" s="19">
        <v>8728409.0909090899</v>
      </c>
      <c r="N7" s="19">
        <v>66834245.454545476</v>
      </c>
      <c r="O7" s="19">
        <v>125660588.18181823</v>
      </c>
      <c r="P7" s="22">
        <f t="shared" ref="P7" si="5">AVERAGE(M7:O7)</f>
        <v>67074414.242424272</v>
      </c>
      <c r="Q7" s="20">
        <v>0.14999999999999991</v>
      </c>
      <c r="R7" s="19">
        <f t="shared" ref="R7" si="6">P7+(P7*Q7)</f>
        <v>77135576.378787905</v>
      </c>
      <c r="S7" s="19">
        <f t="shared" ref="S7:S8" si="7">R7*3</f>
        <v>231406729.13636371</v>
      </c>
      <c r="T7" s="19">
        <f t="shared" ref="T7:U7" si="8">R7/1.11</f>
        <v>69491510.251160264</v>
      </c>
      <c r="U7" s="19">
        <f t="shared" si="8"/>
        <v>208474530.75348079</v>
      </c>
    </row>
    <row r="8" spans="1:22" s="63" customFormat="1" x14ac:dyDescent="0.3">
      <c r="A8" s="55" t="s">
        <v>91</v>
      </c>
      <c r="B8" s="55" t="s">
        <v>92</v>
      </c>
      <c r="C8" s="56">
        <v>13572651.818181818</v>
      </c>
      <c r="D8" s="56">
        <v>21603309.090909094</v>
      </c>
      <c r="E8" s="56">
        <v>7132227.2727272725</v>
      </c>
      <c r="F8" s="57">
        <f t="shared" si="0"/>
        <v>42308188.181818187</v>
      </c>
      <c r="G8" s="57">
        <f t="shared" si="1"/>
        <v>14102729.393939396</v>
      </c>
      <c r="H8" s="57">
        <f>G8*115%</f>
        <v>16218138.803030305</v>
      </c>
      <c r="I8" s="57">
        <f t="shared" si="3"/>
        <v>48654416.409090914</v>
      </c>
      <c r="J8" s="58">
        <f t="shared" si="2"/>
        <v>0.14999999999999991</v>
      </c>
      <c r="K8" s="59">
        <f t="shared" si="4"/>
        <v>14610935.858585859</v>
      </c>
      <c r="L8" s="59">
        <f t="shared" si="4"/>
        <v>43832807.575757578</v>
      </c>
      <c r="M8" s="60">
        <v>13572651.818181818</v>
      </c>
      <c r="N8" s="60">
        <v>21603309.090909094</v>
      </c>
      <c r="O8" s="60">
        <v>7132227.2727272725</v>
      </c>
      <c r="P8" s="61">
        <f t="shared" ref="P8" si="9">AVERAGE(M8:O8)</f>
        <v>14102729.393939396</v>
      </c>
      <c r="Q8" s="62">
        <v>0.14999999999999991</v>
      </c>
      <c r="R8" s="60">
        <f t="shared" ref="R8" si="10">P8+(P8*Q8)</f>
        <v>16218138.803030305</v>
      </c>
      <c r="S8" s="60">
        <f t="shared" si="7"/>
        <v>48654416.409090914</v>
      </c>
      <c r="T8" s="60">
        <f t="shared" ref="T8" si="11">R8/1.11</f>
        <v>14610935.858585859</v>
      </c>
      <c r="U8" s="60">
        <f t="shared" ref="U8" si="12">S8/1.11</f>
        <v>43832807.575757578</v>
      </c>
      <c r="V8" s="63" t="s">
        <v>198</v>
      </c>
    </row>
    <row r="9" spans="1:22" x14ac:dyDescent="0.3">
      <c r="A9" s="5" t="s">
        <v>5</v>
      </c>
      <c r="B9" s="5"/>
      <c r="C9" s="4">
        <f t="shared" ref="C9:I9" si="13">SUM(C6:C8)</f>
        <v>97524817.818181857</v>
      </c>
      <c r="D9" s="4">
        <f t="shared" si="13"/>
        <v>183371311.90909085</v>
      </c>
      <c r="E9" s="4">
        <f t="shared" si="13"/>
        <v>193062708.68181822</v>
      </c>
      <c r="F9" s="4">
        <f t="shared" si="13"/>
        <v>473958838.40909094</v>
      </c>
      <c r="G9" s="4">
        <f t="shared" si="13"/>
        <v>157986279.46969697</v>
      </c>
      <c r="H9" s="4">
        <f t="shared" si="13"/>
        <v>177863564.59848487</v>
      </c>
      <c r="I9" s="4">
        <f t="shared" si="13"/>
        <v>533590693.79545456</v>
      </c>
      <c r="J9" s="12">
        <f t="shared" si="2"/>
        <v>0.12581652783715636</v>
      </c>
      <c r="K9" s="4">
        <f>SUM(K6:K8)</f>
        <v>160237445.58422056</v>
      </c>
      <c r="L9" s="4">
        <f>SUM(L6:L8)</f>
        <v>480712336.75266176</v>
      </c>
    </row>
  </sheetData>
  <mergeCells count="3">
    <mergeCell ref="A1:L2"/>
    <mergeCell ref="C4:D4"/>
    <mergeCell ref="M4:U4"/>
  </mergeCells>
  <pageMargins left="0.25" right="0.25" top="0.75" bottom="0.75" header="0.3" footer="0.3"/>
  <pageSetup paperSize="9" scale="76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2494-6C03-4315-B2C2-DCF8200D3D3D}">
  <sheetPr>
    <pageSetUpPr fitToPage="1"/>
  </sheetPr>
  <dimension ref="A1:V26"/>
  <sheetViews>
    <sheetView zoomScale="85" zoomScaleNormal="85" workbookViewId="0">
      <selection sqref="A1:V27"/>
    </sheetView>
  </sheetViews>
  <sheetFormatPr defaultRowHeight="14.4" x14ac:dyDescent="0.3"/>
  <cols>
    <col min="1" max="1" width="11.6640625" bestFit="1" customWidth="1"/>
    <col min="2" max="2" width="35.33203125" bestFit="1" customWidth="1"/>
    <col min="3" max="3" width="14.77734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4" width="11" bestFit="1" customWidth="1"/>
    <col min="15" max="16" width="12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9.44140625" bestFit="1" customWidth="1"/>
  </cols>
  <sheetData>
    <row r="1" spans="1:22" ht="14.55" customHeight="1" x14ac:dyDescent="0.3">
      <c r="A1" s="50" t="s">
        <v>94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2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2" ht="18" x14ac:dyDescent="0.35">
      <c r="A4" s="16" t="s">
        <v>77</v>
      </c>
      <c r="C4" s="49">
        <v>2024</v>
      </c>
      <c r="D4" s="49"/>
      <c r="E4" s="10">
        <v>2025</v>
      </c>
      <c r="M4" s="51" t="s">
        <v>189</v>
      </c>
      <c r="N4" s="51"/>
      <c r="O4" s="51"/>
      <c r="P4" s="51"/>
      <c r="Q4" s="51"/>
      <c r="R4" s="51"/>
      <c r="S4" s="51"/>
      <c r="T4" s="51"/>
      <c r="U4" s="51"/>
    </row>
    <row r="5" spans="1:22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2" x14ac:dyDescent="0.3">
      <c r="A6" s="2" t="s">
        <v>101</v>
      </c>
      <c r="B6" s="2" t="s">
        <v>102</v>
      </c>
      <c r="C6" s="13">
        <v>565500535.68181801</v>
      </c>
      <c r="D6" s="13">
        <v>212002962.13636315</v>
      </c>
      <c r="E6" s="13">
        <v>145944321.68181813</v>
      </c>
      <c r="F6" s="7">
        <f t="shared" ref="F6:F16" si="0">SUM(C6:E6)</f>
        <v>923447819.49999928</v>
      </c>
      <c r="G6" s="8">
        <f t="shared" ref="G6:G16" si="1">AVERAGE(C6:E6)</f>
        <v>307815939.83333308</v>
      </c>
      <c r="H6" s="9">
        <f>G6*120%</f>
        <v>369379127.79999965</v>
      </c>
      <c r="I6" s="9">
        <f>H6*3</f>
        <v>1108137383.3999989</v>
      </c>
      <c r="J6" s="11">
        <f t="shared" ref="J6:J17" si="2">H6/G6-1</f>
        <v>0.19999999999999996</v>
      </c>
      <c r="K6" s="3">
        <f>H6/1.11</f>
        <v>332773989.00900865</v>
      </c>
      <c r="L6" s="3">
        <f>I6/1.11</f>
        <v>998321967.02702594</v>
      </c>
      <c r="M6" s="19">
        <v>564312535.68181741</v>
      </c>
      <c r="N6" s="19">
        <v>212002962.13636315</v>
      </c>
      <c r="O6" s="19">
        <v>145944321.68181813</v>
      </c>
      <c r="P6" s="22">
        <f>AVERAGE(M6:O6)</f>
        <v>307419939.8333329</v>
      </c>
      <c r="Q6" s="20">
        <v>0.19999999999999996</v>
      </c>
      <c r="R6" s="19">
        <f>P6+(P6*Q6)</f>
        <v>368903927.79999948</v>
      </c>
      <c r="S6" s="19">
        <f>R6*3</f>
        <v>1106711783.3999984</v>
      </c>
      <c r="T6" s="19">
        <f>R6/1.11</f>
        <v>332345880.90090042</v>
      </c>
      <c r="U6" s="19">
        <f>S6/1.11</f>
        <v>997037642.70270121</v>
      </c>
    </row>
    <row r="7" spans="1:22" x14ac:dyDescent="0.3">
      <c r="A7" s="2" t="s">
        <v>103</v>
      </c>
      <c r="B7" s="2" t="s">
        <v>6</v>
      </c>
      <c r="C7" s="13">
        <v>54612303.409090914</v>
      </c>
      <c r="D7" s="13">
        <v>41933571.81818182</v>
      </c>
      <c r="E7" s="13">
        <v>37316526.81818182</v>
      </c>
      <c r="F7" s="7">
        <f t="shared" si="0"/>
        <v>133862402.04545456</v>
      </c>
      <c r="G7" s="8">
        <f t="shared" si="1"/>
        <v>44620800.681818187</v>
      </c>
      <c r="H7" s="9">
        <f>G7*115%</f>
        <v>51313920.784090914</v>
      </c>
      <c r="I7" s="9">
        <f t="shared" ref="I7:I13" si="3">H7*3</f>
        <v>153941762.35227275</v>
      </c>
      <c r="J7" s="11">
        <f t="shared" si="2"/>
        <v>0.14999999999999991</v>
      </c>
      <c r="K7" s="3">
        <f t="shared" ref="K7:L13" si="4">H7/1.11</f>
        <v>46228757.463144965</v>
      </c>
      <c r="L7" s="3">
        <f t="shared" si="4"/>
        <v>138686272.3894349</v>
      </c>
      <c r="M7" s="19">
        <v>53424303.409090936</v>
      </c>
      <c r="N7" s="19">
        <v>41933571.81818182</v>
      </c>
      <c r="O7" s="19">
        <v>37316526.81818182</v>
      </c>
      <c r="P7" s="22">
        <f t="shared" ref="P7:P16" si="5">AVERAGE(M7:O7)</f>
        <v>44224800.681818187</v>
      </c>
      <c r="Q7" s="20">
        <v>0.14999999999999991</v>
      </c>
      <c r="R7" s="19">
        <f t="shared" ref="R7:R16" si="6">P7+(P7*Q7)</f>
        <v>50858520.784090914</v>
      </c>
      <c r="S7" s="19">
        <f t="shared" ref="S7:S16" si="7">R7*3</f>
        <v>152575562.35227275</v>
      </c>
      <c r="T7" s="19">
        <f t="shared" ref="T7:T16" si="8">R7/1.11</f>
        <v>45818487.192874692</v>
      </c>
      <c r="U7" s="19">
        <f t="shared" ref="U7:U16" si="9">S7/1.11</f>
        <v>137455461.5786241</v>
      </c>
    </row>
    <row r="8" spans="1:22" x14ac:dyDescent="0.3">
      <c r="A8" s="2" t="s">
        <v>104</v>
      </c>
      <c r="B8" s="2" t="s">
        <v>105</v>
      </c>
      <c r="C8" s="13">
        <v>27075917.954545457</v>
      </c>
      <c r="D8" s="13">
        <v>21060971.181818176</v>
      </c>
      <c r="E8" s="13">
        <v>20273571.318181824</v>
      </c>
      <c r="F8" s="7">
        <f t="shared" si="0"/>
        <v>68410460.454545453</v>
      </c>
      <c r="G8" s="8">
        <f t="shared" si="1"/>
        <v>22803486.818181816</v>
      </c>
      <c r="H8" s="9">
        <f>G8*110%</f>
        <v>25083835.5</v>
      </c>
      <c r="I8" s="9">
        <f t="shared" si="3"/>
        <v>75251506.5</v>
      </c>
      <c r="J8" s="11">
        <f t="shared" si="2"/>
        <v>0.10000000000000009</v>
      </c>
      <c r="K8" s="3">
        <f t="shared" si="4"/>
        <v>22598049.999999996</v>
      </c>
      <c r="L8" s="3">
        <f t="shared" si="4"/>
        <v>67794150</v>
      </c>
      <c r="M8" s="19">
        <v>27075917.954545457</v>
      </c>
      <c r="N8" s="19">
        <v>21060971.181818176</v>
      </c>
      <c r="O8" s="19">
        <v>20273571.318181824</v>
      </c>
      <c r="P8" s="22">
        <f t="shared" si="5"/>
        <v>22803486.818181816</v>
      </c>
      <c r="Q8" s="20">
        <v>0.10000000000000009</v>
      </c>
      <c r="R8" s="19">
        <f t="shared" si="6"/>
        <v>25083835.5</v>
      </c>
      <c r="S8" s="19">
        <f t="shared" si="7"/>
        <v>75251506.5</v>
      </c>
      <c r="T8" s="19">
        <f t="shared" si="8"/>
        <v>22598049.999999996</v>
      </c>
      <c r="U8" s="19">
        <f t="shared" si="9"/>
        <v>67794150</v>
      </c>
    </row>
    <row r="9" spans="1:22" s="31" customFormat="1" x14ac:dyDescent="0.3">
      <c r="A9" s="23" t="s">
        <v>106</v>
      </c>
      <c r="B9" s="23" t="s">
        <v>107</v>
      </c>
      <c r="C9" s="24">
        <v>15854535.681818185</v>
      </c>
      <c r="D9" s="24">
        <v>19598938.63636364</v>
      </c>
      <c r="E9" s="24">
        <v>9515369.1818181835</v>
      </c>
      <c r="F9" s="25">
        <f t="shared" si="0"/>
        <v>44968843.500000015</v>
      </c>
      <c r="G9" s="25">
        <f t="shared" si="1"/>
        <v>14989614.500000006</v>
      </c>
      <c r="H9" s="25">
        <f>G9*130%</f>
        <v>19486498.850000009</v>
      </c>
      <c r="I9" s="25">
        <f t="shared" si="3"/>
        <v>58459496.550000027</v>
      </c>
      <c r="J9" s="26">
        <f t="shared" si="2"/>
        <v>0.30000000000000004</v>
      </c>
      <c r="K9" s="27">
        <f t="shared" si="4"/>
        <v>17555404.369369376</v>
      </c>
      <c r="L9" s="27">
        <f t="shared" si="4"/>
        <v>52666213.108108126</v>
      </c>
      <c r="M9" s="28">
        <v>15854535.681818185</v>
      </c>
      <c r="N9" s="28">
        <v>19598938.63636364</v>
      </c>
      <c r="O9" s="28">
        <v>9515369.1818181835</v>
      </c>
      <c r="P9" s="29">
        <f t="shared" si="5"/>
        <v>14989614.500000006</v>
      </c>
      <c r="Q9" s="30">
        <v>0.30000000000000004</v>
      </c>
      <c r="R9" s="28">
        <f t="shared" si="6"/>
        <v>19486498.850000009</v>
      </c>
      <c r="S9" s="28">
        <f t="shared" si="7"/>
        <v>58459496.550000027</v>
      </c>
      <c r="T9" s="28">
        <f t="shared" si="8"/>
        <v>17555404.369369376</v>
      </c>
      <c r="U9" s="28">
        <f t="shared" si="9"/>
        <v>52666213.108108126</v>
      </c>
      <c r="V9" s="31" t="s">
        <v>198</v>
      </c>
    </row>
    <row r="10" spans="1:22" x14ac:dyDescent="0.3">
      <c r="A10" s="64" t="s">
        <v>108</v>
      </c>
      <c r="B10" s="64" t="s">
        <v>109</v>
      </c>
      <c r="C10" s="65">
        <v>26494541.181818184</v>
      </c>
      <c r="D10" s="65">
        <v>4441622.7272727266</v>
      </c>
      <c r="E10" s="65">
        <v>12135124.363636363</v>
      </c>
      <c r="F10" s="66">
        <f t="shared" si="0"/>
        <v>43071288.272727273</v>
      </c>
      <c r="G10" s="66">
        <f t="shared" si="1"/>
        <v>14357096.090909092</v>
      </c>
      <c r="H10" s="66">
        <f>G10*200%</f>
        <v>28714192.181818184</v>
      </c>
      <c r="I10" s="66">
        <f t="shared" si="3"/>
        <v>86142576.545454547</v>
      </c>
      <c r="J10" s="67">
        <f t="shared" si="2"/>
        <v>1</v>
      </c>
      <c r="K10" s="68">
        <f t="shared" si="4"/>
        <v>25868641.605241604</v>
      </c>
      <c r="L10" s="68">
        <f t="shared" si="4"/>
        <v>77605924.815724805</v>
      </c>
      <c r="M10" s="69">
        <v>25306541.181818191</v>
      </c>
      <c r="N10" s="69">
        <v>4441622.7272727266</v>
      </c>
      <c r="O10" s="69">
        <v>12135124.363636363</v>
      </c>
      <c r="P10" s="70">
        <f t="shared" si="5"/>
        <v>13961096.090909094</v>
      </c>
      <c r="Q10" s="71">
        <v>1</v>
      </c>
      <c r="R10" s="69">
        <v>30000000</v>
      </c>
      <c r="S10" s="69">
        <f t="shared" si="7"/>
        <v>90000000</v>
      </c>
      <c r="T10" s="69">
        <f t="shared" si="8"/>
        <v>27027027.027027026</v>
      </c>
      <c r="U10" s="69">
        <f t="shared" si="9"/>
        <v>81081081.081081077</v>
      </c>
      <c r="V10" t="s">
        <v>199</v>
      </c>
    </row>
    <row r="11" spans="1:22" x14ac:dyDescent="0.3">
      <c r="A11" s="2" t="s">
        <v>177</v>
      </c>
      <c r="B11" s="2" t="s">
        <v>178</v>
      </c>
      <c r="C11" s="14"/>
      <c r="D11" s="14"/>
      <c r="E11" s="14">
        <v>46256570.181818195</v>
      </c>
      <c r="F11" s="32">
        <f t="shared" si="0"/>
        <v>46256570.181818195</v>
      </c>
      <c r="G11" s="32">
        <f t="shared" si="1"/>
        <v>46256570.181818195</v>
      </c>
      <c r="H11" s="32">
        <f t="shared" ref="H11:H13" si="10">G11*110%</f>
        <v>50882227.200000018</v>
      </c>
      <c r="I11" s="32">
        <f t="shared" si="3"/>
        <v>152646681.60000005</v>
      </c>
      <c r="J11" s="15">
        <f t="shared" si="2"/>
        <v>0.10000000000000009</v>
      </c>
      <c r="K11" s="3">
        <f t="shared" si="4"/>
        <v>45839844.32432434</v>
      </c>
      <c r="L11" s="3">
        <f t="shared" si="4"/>
        <v>137519532.97297302</v>
      </c>
      <c r="M11" s="33">
        <v>0</v>
      </c>
      <c r="N11" s="33">
        <v>0</v>
      </c>
      <c r="O11" s="33">
        <v>46256570.181818195</v>
      </c>
      <c r="P11" s="34">
        <f t="shared" si="5"/>
        <v>15418856.727272732</v>
      </c>
      <c r="Q11" s="35">
        <f>R11/P11-1</f>
        <v>2.3000000000000003</v>
      </c>
      <c r="R11" s="33">
        <v>50882227.200000018</v>
      </c>
      <c r="S11" s="33">
        <f t="shared" si="7"/>
        <v>152646681.60000005</v>
      </c>
      <c r="T11" s="33">
        <f t="shared" si="8"/>
        <v>45839844.32432434</v>
      </c>
      <c r="U11" s="33">
        <f t="shared" si="9"/>
        <v>137519532.97297302</v>
      </c>
      <c r="V11" t="s">
        <v>197</v>
      </c>
    </row>
    <row r="12" spans="1:22" x14ac:dyDescent="0.3">
      <c r="A12" s="2" t="s">
        <v>179</v>
      </c>
      <c r="B12" s="2" t="s">
        <v>180</v>
      </c>
      <c r="C12" s="13"/>
      <c r="D12" s="13"/>
      <c r="E12" s="13"/>
      <c r="F12" s="7">
        <f t="shared" si="0"/>
        <v>0</v>
      </c>
      <c r="G12" s="8">
        <v>0</v>
      </c>
      <c r="H12" s="9">
        <v>50000000</v>
      </c>
      <c r="I12" s="9">
        <f t="shared" si="3"/>
        <v>150000000</v>
      </c>
      <c r="J12" s="11">
        <v>0</v>
      </c>
      <c r="K12" s="3">
        <f t="shared" si="4"/>
        <v>45045045.045045041</v>
      </c>
      <c r="L12" s="3">
        <f t="shared" si="4"/>
        <v>135135135.13513511</v>
      </c>
      <c r="M12" s="19">
        <v>0</v>
      </c>
      <c r="N12" s="19">
        <v>0</v>
      </c>
      <c r="O12" s="19">
        <v>0</v>
      </c>
      <c r="P12" s="22">
        <f t="shared" si="5"/>
        <v>0</v>
      </c>
      <c r="Q12" s="20">
        <v>0</v>
      </c>
      <c r="R12" s="19">
        <v>50000000</v>
      </c>
      <c r="S12" s="19">
        <v>150000000</v>
      </c>
      <c r="T12" s="19">
        <f t="shared" si="8"/>
        <v>45045045.045045041</v>
      </c>
      <c r="U12" s="19">
        <f t="shared" si="9"/>
        <v>135135135.13513511</v>
      </c>
      <c r="V12" t="s">
        <v>197</v>
      </c>
    </row>
    <row r="13" spans="1:22" x14ac:dyDescent="0.3">
      <c r="A13" s="2" t="s">
        <v>181</v>
      </c>
      <c r="B13" s="2" t="s">
        <v>182</v>
      </c>
      <c r="C13" s="13">
        <v>12712472.727272727</v>
      </c>
      <c r="D13" s="13">
        <v>63369900</v>
      </c>
      <c r="E13" s="13">
        <v>13929000</v>
      </c>
      <c r="F13" s="7">
        <f t="shared" si="0"/>
        <v>90011372.727272719</v>
      </c>
      <c r="G13" s="8">
        <f t="shared" si="1"/>
        <v>30003790.909090906</v>
      </c>
      <c r="H13" s="9">
        <f t="shared" si="10"/>
        <v>33004170</v>
      </c>
      <c r="I13" s="9">
        <f t="shared" si="3"/>
        <v>99012510</v>
      </c>
      <c r="J13" s="11">
        <f t="shared" si="2"/>
        <v>0.10000000000000009</v>
      </c>
      <c r="K13" s="3">
        <f t="shared" si="4"/>
        <v>29733486.486486483</v>
      </c>
      <c r="L13" s="3">
        <f t="shared" si="4"/>
        <v>89200459.459459454</v>
      </c>
      <c r="M13" s="19">
        <v>12712472.727272727</v>
      </c>
      <c r="N13" s="19">
        <v>63369900</v>
      </c>
      <c r="O13" s="19">
        <v>13929000</v>
      </c>
      <c r="P13" s="22">
        <f t="shared" si="5"/>
        <v>30003790.909090906</v>
      </c>
      <c r="Q13" s="20">
        <v>0.10000000000000009</v>
      </c>
      <c r="R13" s="19">
        <f t="shared" si="6"/>
        <v>33004170</v>
      </c>
      <c r="S13" s="19">
        <f t="shared" si="7"/>
        <v>99012510</v>
      </c>
      <c r="T13" s="19">
        <f t="shared" si="8"/>
        <v>29733486.486486483</v>
      </c>
      <c r="U13" s="19">
        <f t="shared" si="9"/>
        <v>89200459.459459454</v>
      </c>
    </row>
    <row r="14" spans="1:22" x14ac:dyDescent="0.3">
      <c r="A14" s="2" t="s">
        <v>183</v>
      </c>
      <c r="B14" s="2" t="s">
        <v>184</v>
      </c>
      <c r="C14" s="14"/>
      <c r="D14" s="14"/>
      <c r="E14" s="14">
        <v>18819728.181818184</v>
      </c>
      <c r="F14" s="32">
        <f t="shared" si="0"/>
        <v>18819728.181818184</v>
      </c>
      <c r="G14" s="32">
        <f t="shared" si="1"/>
        <v>18819728.181818184</v>
      </c>
      <c r="H14" s="32">
        <f>G14*120%</f>
        <v>22583673.81818182</v>
      </c>
      <c r="I14" s="32">
        <f t="shared" ref="I14" si="11">H14*3</f>
        <v>67751021.454545468</v>
      </c>
      <c r="J14" s="15">
        <f t="shared" ref="J14" si="12">H14/G14-1</f>
        <v>0.19999999999999996</v>
      </c>
      <c r="K14" s="3">
        <f t="shared" ref="K14" si="13">H14/1.11</f>
        <v>20345652.08845209</v>
      </c>
      <c r="L14" s="3">
        <f t="shared" ref="L14" si="14">I14/1.11</f>
        <v>61036956.265356272</v>
      </c>
      <c r="M14" s="33">
        <v>0</v>
      </c>
      <c r="N14" s="33">
        <v>0</v>
      </c>
      <c r="O14" s="33">
        <v>18819728.181818184</v>
      </c>
      <c r="P14" s="34">
        <f t="shared" si="5"/>
        <v>6273242.7272727275</v>
      </c>
      <c r="Q14" s="35">
        <f t="shared" ref="Q14:Q15" si="15">R14/P14-1</f>
        <v>3.7822157222732562</v>
      </c>
      <c r="R14" s="33">
        <v>30000000</v>
      </c>
      <c r="S14" s="33">
        <f t="shared" si="7"/>
        <v>90000000</v>
      </c>
      <c r="T14" s="33">
        <f t="shared" si="8"/>
        <v>27027027.027027026</v>
      </c>
      <c r="U14" s="33">
        <f t="shared" si="9"/>
        <v>81081081.081081077</v>
      </c>
      <c r="V14" t="s">
        <v>197</v>
      </c>
    </row>
    <row r="15" spans="1:22" x14ac:dyDescent="0.3">
      <c r="A15" s="2" t="s">
        <v>185</v>
      </c>
      <c r="B15" s="2" t="s">
        <v>186</v>
      </c>
      <c r="C15" s="14"/>
      <c r="D15" s="14"/>
      <c r="E15" s="14">
        <v>23724249.863636367</v>
      </c>
      <c r="F15" s="32">
        <f t="shared" si="0"/>
        <v>23724249.863636367</v>
      </c>
      <c r="G15" s="32">
        <f t="shared" si="1"/>
        <v>23724249.863636367</v>
      </c>
      <c r="H15" s="32">
        <f t="shared" ref="H15" si="16">G15*120%</f>
        <v>28469099.83636364</v>
      </c>
      <c r="I15" s="32">
        <f t="shared" ref="I15:I16" si="17">H15*3</f>
        <v>85407299.509090915</v>
      </c>
      <c r="J15" s="15">
        <f t="shared" ref="J15:J16" si="18">H15/G15-1</f>
        <v>0.19999999999999996</v>
      </c>
      <c r="K15" s="3">
        <f t="shared" ref="K15:K16" si="19">H15/1.11</f>
        <v>25647837.690417692</v>
      </c>
      <c r="L15" s="3">
        <f t="shared" ref="L15:L16" si="20">I15/1.11</f>
        <v>76943513.071253076</v>
      </c>
      <c r="M15" s="33">
        <v>0</v>
      </c>
      <c r="N15" s="33">
        <v>0</v>
      </c>
      <c r="O15" s="33">
        <v>23724249.863636367</v>
      </c>
      <c r="P15" s="34">
        <f t="shared" si="5"/>
        <v>7908083.287878789</v>
      </c>
      <c r="Q15" s="35">
        <f t="shared" si="15"/>
        <v>2.7935867526816347</v>
      </c>
      <c r="R15" s="33">
        <v>30000000</v>
      </c>
      <c r="S15" s="33">
        <f t="shared" si="7"/>
        <v>90000000</v>
      </c>
      <c r="T15" s="33">
        <f t="shared" si="8"/>
        <v>27027027.027027026</v>
      </c>
      <c r="U15" s="33">
        <f t="shared" si="9"/>
        <v>81081081.081081077</v>
      </c>
      <c r="V15" t="s">
        <v>197</v>
      </c>
    </row>
    <row r="16" spans="1:22" s="31" customFormat="1" x14ac:dyDescent="0.3">
      <c r="A16" s="23" t="s">
        <v>187</v>
      </c>
      <c r="B16" s="23" t="s">
        <v>188</v>
      </c>
      <c r="C16" s="24">
        <v>4452616.3636363642</v>
      </c>
      <c r="D16" s="24">
        <v>8409960</v>
      </c>
      <c r="E16" s="24">
        <v>12961089.090909097</v>
      </c>
      <c r="F16" s="25">
        <f t="shared" si="0"/>
        <v>25823665.454545461</v>
      </c>
      <c r="G16" s="25">
        <f t="shared" si="1"/>
        <v>8607888.4848484863</v>
      </c>
      <c r="H16" s="25">
        <f>G16*130%</f>
        <v>11190255.030303033</v>
      </c>
      <c r="I16" s="25">
        <f t="shared" si="17"/>
        <v>33570765.090909101</v>
      </c>
      <c r="J16" s="26">
        <f t="shared" si="18"/>
        <v>0.30000000000000004</v>
      </c>
      <c r="K16" s="27">
        <f t="shared" si="19"/>
        <v>10081310.83811084</v>
      </c>
      <c r="L16" s="27">
        <f t="shared" si="20"/>
        <v>30243932.514332522</v>
      </c>
      <c r="M16" s="28">
        <v>0</v>
      </c>
      <c r="N16" s="28">
        <v>0</v>
      </c>
      <c r="O16" s="28">
        <f>VLOOKUP(A16,[1]PIVOT!$A:$C,3,0)</f>
        <v>12961089.090909097</v>
      </c>
      <c r="P16" s="29">
        <f t="shared" si="5"/>
        <v>4320363.0303030321</v>
      </c>
      <c r="Q16" s="30">
        <v>0.30000000000000004</v>
      </c>
      <c r="R16" s="28">
        <f t="shared" si="6"/>
        <v>5616471.9393939422</v>
      </c>
      <c r="S16" s="28">
        <f t="shared" si="7"/>
        <v>16849415.818181828</v>
      </c>
      <c r="T16" s="28">
        <f t="shared" si="8"/>
        <v>5059884.630084632</v>
      </c>
      <c r="U16" s="28">
        <f t="shared" si="9"/>
        <v>15179653.890253898</v>
      </c>
      <c r="V16" s="31" t="s">
        <v>198</v>
      </c>
    </row>
    <row r="17" spans="1:22" x14ac:dyDescent="0.3">
      <c r="A17" s="5" t="s">
        <v>5</v>
      </c>
      <c r="B17" s="5"/>
      <c r="C17" s="4">
        <f>SUM(C6:C14)</f>
        <v>702250306.63636339</v>
      </c>
      <c r="D17" s="4">
        <f t="shared" ref="D17:L17" si="21">SUM(D6:D14)</f>
        <v>362407966.49999952</v>
      </c>
      <c r="E17" s="4">
        <f t="shared" si="21"/>
        <v>304190211.72727269</v>
      </c>
      <c r="F17" s="4">
        <f t="shared" si="21"/>
        <v>1368848484.8636358</v>
      </c>
      <c r="G17" s="4">
        <f t="shared" si="21"/>
        <v>499667027.19696945</v>
      </c>
      <c r="H17" s="4">
        <f t="shared" si="21"/>
        <v>650447646.13409066</v>
      </c>
      <c r="I17" s="4">
        <f t="shared" si="21"/>
        <v>1951342938.4022717</v>
      </c>
      <c r="J17" s="12">
        <f t="shared" si="2"/>
        <v>0.30176219508213276</v>
      </c>
      <c r="K17" s="4">
        <f t="shared" si="21"/>
        <v>585988870.39107251</v>
      </c>
      <c r="L17" s="4">
        <f t="shared" si="21"/>
        <v>1757966611.1732178</v>
      </c>
    </row>
    <row r="21" spans="1:22" ht="18" x14ac:dyDescent="0.35">
      <c r="A21" s="16" t="s">
        <v>78</v>
      </c>
      <c r="C21" s="49">
        <v>2024</v>
      </c>
      <c r="D21" s="49"/>
      <c r="E21" s="10">
        <v>2025</v>
      </c>
      <c r="M21" s="51" t="s">
        <v>189</v>
      </c>
      <c r="N21" s="51"/>
      <c r="O21" s="51"/>
      <c r="P21" s="51"/>
      <c r="Q21" s="51"/>
      <c r="R21" s="51"/>
      <c r="S21" s="51"/>
      <c r="T21" s="51"/>
      <c r="U21" s="51"/>
    </row>
    <row r="22" spans="1:22" x14ac:dyDescent="0.3">
      <c r="A22" s="1" t="s">
        <v>0</v>
      </c>
      <c r="B22" s="1" t="s">
        <v>1</v>
      </c>
      <c r="C22" s="6" t="s">
        <v>2</v>
      </c>
      <c r="D22" s="6" t="s">
        <v>3</v>
      </c>
      <c r="E22" s="6" t="s">
        <v>4</v>
      </c>
      <c r="F22" s="6" t="s">
        <v>7</v>
      </c>
      <c r="G22" s="6" t="s">
        <v>8</v>
      </c>
      <c r="H22" s="6" t="s">
        <v>9</v>
      </c>
      <c r="I22" s="6" t="s">
        <v>11</v>
      </c>
      <c r="J22" s="6" t="s">
        <v>10</v>
      </c>
      <c r="K22" s="6" t="s">
        <v>12</v>
      </c>
      <c r="L22" s="6" t="s">
        <v>13</v>
      </c>
      <c r="M22" s="17" t="s">
        <v>2</v>
      </c>
      <c r="N22" s="17" t="s">
        <v>190</v>
      </c>
      <c r="O22" s="17" t="s">
        <v>4</v>
      </c>
      <c r="P22" s="17" t="s">
        <v>191</v>
      </c>
      <c r="Q22" s="18" t="s">
        <v>192</v>
      </c>
      <c r="R22" s="17" t="s">
        <v>193</v>
      </c>
      <c r="S22" s="17" t="s">
        <v>194</v>
      </c>
      <c r="T22" s="17" t="s">
        <v>195</v>
      </c>
      <c r="U22" s="17" t="s">
        <v>196</v>
      </c>
    </row>
    <row r="23" spans="1:22" x14ac:dyDescent="0.3">
      <c r="A23" s="2" t="s">
        <v>95</v>
      </c>
      <c r="B23" s="2" t="s">
        <v>96</v>
      </c>
      <c r="C23" s="13">
        <v>41272705.045454554</v>
      </c>
      <c r="D23" s="13">
        <v>22799147.045454547</v>
      </c>
      <c r="E23" s="13">
        <v>42348225.68181818</v>
      </c>
      <c r="F23" s="7">
        <f t="shared" ref="F23:F25" si="22">SUM(C23:E23)</f>
        <v>106420077.77272728</v>
      </c>
      <c r="G23" s="8">
        <f t="shared" ref="G23:G25" si="23">AVERAGE(C23:E23)</f>
        <v>35473359.257575758</v>
      </c>
      <c r="H23" s="9">
        <f>G23*112%</f>
        <v>39730162.368484855</v>
      </c>
      <c r="I23" s="9">
        <f>H23*3</f>
        <v>119190487.10545456</v>
      </c>
      <c r="J23" s="11">
        <f t="shared" ref="J23:J26" si="24">H23/G23-1</f>
        <v>0.12000000000000011</v>
      </c>
      <c r="K23" s="3">
        <f>H23/1.11</f>
        <v>35792939.070707075</v>
      </c>
      <c r="L23" s="3">
        <f>I23/1.11</f>
        <v>107378817.21212122</v>
      </c>
      <c r="M23" s="19">
        <v>41272705.045454554</v>
      </c>
      <c r="N23" s="19">
        <v>22799147.045454547</v>
      </c>
      <c r="O23" s="19">
        <v>42348225.68181818</v>
      </c>
      <c r="P23" s="22">
        <f>AVERAGE(M23:O23)</f>
        <v>35473359.257575758</v>
      </c>
      <c r="Q23" s="11">
        <v>0.12000000000000011</v>
      </c>
      <c r="R23" s="19">
        <f>P23+(P23*Q23)</f>
        <v>39730162.368484855</v>
      </c>
      <c r="S23" s="19">
        <f>R23*3</f>
        <v>119190487.10545456</v>
      </c>
      <c r="T23" s="19">
        <f>R23/1.11</f>
        <v>35792939.070707075</v>
      </c>
      <c r="U23" s="19">
        <f>S23/1.11</f>
        <v>107378817.21212122</v>
      </c>
    </row>
    <row r="24" spans="1:22" x14ac:dyDescent="0.3">
      <c r="A24" s="2" t="s">
        <v>97</v>
      </c>
      <c r="B24" s="2" t="s">
        <v>98</v>
      </c>
      <c r="C24" s="13">
        <v>34474578.409090921</v>
      </c>
      <c r="D24" s="13">
        <v>13045854.545454543</v>
      </c>
      <c r="E24" s="13">
        <v>35481631.363636374</v>
      </c>
      <c r="F24" s="7">
        <f t="shared" si="22"/>
        <v>83002064.318181843</v>
      </c>
      <c r="G24" s="8">
        <f t="shared" si="23"/>
        <v>27667354.772727281</v>
      </c>
      <c r="H24" s="9">
        <f>G24*110%</f>
        <v>30434090.250000011</v>
      </c>
      <c r="I24" s="9">
        <f t="shared" ref="I24:I25" si="25">H24*3</f>
        <v>91302270.75000003</v>
      </c>
      <c r="J24" s="11">
        <f t="shared" si="24"/>
        <v>0.10000000000000009</v>
      </c>
      <c r="K24" s="3">
        <f t="shared" ref="K24:L25" si="26">H24/1.11</f>
        <v>27418099.324324332</v>
      </c>
      <c r="L24" s="3">
        <f t="shared" si="26"/>
        <v>82254297.972972989</v>
      </c>
      <c r="M24" s="19">
        <v>34474578.409090921</v>
      </c>
      <c r="N24" s="19">
        <v>13045854.545454543</v>
      </c>
      <c r="O24" s="19">
        <v>35481631.363636374</v>
      </c>
      <c r="P24" s="22">
        <f t="shared" ref="P24:P25" si="27">AVERAGE(M24:O24)</f>
        <v>27667354.772727281</v>
      </c>
      <c r="Q24" s="11">
        <v>0.10000000000000009</v>
      </c>
      <c r="R24" s="19">
        <f t="shared" ref="R24:R25" si="28">P24+(P24*Q24)</f>
        <v>30434090.250000011</v>
      </c>
      <c r="S24" s="19">
        <f t="shared" ref="S24:S25" si="29">R24*3</f>
        <v>91302270.75000003</v>
      </c>
      <c r="T24" s="19">
        <f t="shared" ref="T24:T25" si="30">R24/1.11</f>
        <v>27418099.324324332</v>
      </c>
      <c r="U24" s="19">
        <f t="shared" ref="U24:U25" si="31">S24/1.11</f>
        <v>82254297.972972989</v>
      </c>
    </row>
    <row r="25" spans="1:22" x14ac:dyDescent="0.3">
      <c r="A25" s="64" t="s">
        <v>99</v>
      </c>
      <c r="B25" s="64" t="s">
        <v>100</v>
      </c>
      <c r="C25" s="65">
        <v>14779410.818181824</v>
      </c>
      <c r="D25" s="65"/>
      <c r="E25" s="65">
        <v>10691875.636363639</v>
      </c>
      <c r="F25" s="66">
        <f t="shared" si="22"/>
        <v>25471286.454545461</v>
      </c>
      <c r="G25" s="66">
        <f t="shared" si="23"/>
        <v>12735643.22727273</v>
      </c>
      <c r="H25" s="66">
        <f>G25*110%</f>
        <v>14009207.550000004</v>
      </c>
      <c r="I25" s="66">
        <f t="shared" si="25"/>
        <v>42027622.650000013</v>
      </c>
      <c r="J25" s="67">
        <f t="shared" si="24"/>
        <v>0.10000000000000009</v>
      </c>
      <c r="K25" s="68">
        <f t="shared" si="26"/>
        <v>12620907.702702705</v>
      </c>
      <c r="L25" s="68">
        <f t="shared" si="26"/>
        <v>37862723.108108118</v>
      </c>
      <c r="M25" s="69">
        <v>14779410.818181824</v>
      </c>
      <c r="N25" s="69">
        <v>0</v>
      </c>
      <c r="O25" s="69">
        <v>10691875.636363639</v>
      </c>
      <c r="P25" s="70">
        <f t="shared" si="27"/>
        <v>8490428.8181818202</v>
      </c>
      <c r="Q25" s="67">
        <f>R25/P25-1</f>
        <v>0.76669521895976156</v>
      </c>
      <c r="R25" s="69">
        <v>15000000</v>
      </c>
      <c r="S25" s="69">
        <f t="shared" si="29"/>
        <v>45000000</v>
      </c>
      <c r="T25" s="69">
        <f t="shared" si="30"/>
        <v>13513513.513513513</v>
      </c>
      <c r="U25" s="69">
        <f t="shared" si="31"/>
        <v>40540540.540540539</v>
      </c>
      <c r="V25" t="s">
        <v>199</v>
      </c>
    </row>
    <row r="26" spans="1:22" x14ac:dyDescent="0.3">
      <c r="A26" s="5" t="s">
        <v>5</v>
      </c>
      <c r="B26" s="5"/>
      <c r="C26" s="4">
        <f t="shared" ref="C26:I26" si="32">SUM(C23:C25)</f>
        <v>90526694.272727296</v>
      </c>
      <c r="D26" s="4">
        <f t="shared" si="32"/>
        <v>35845001.590909094</v>
      </c>
      <c r="E26" s="4">
        <f t="shared" si="32"/>
        <v>88521732.681818202</v>
      </c>
      <c r="F26" s="4">
        <f t="shared" si="32"/>
        <v>214893428.54545459</v>
      </c>
      <c r="G26" s="4">
        <f t="shared" si="32"/>
        <v>75876357.257575765</v>
      </c>
      <c r="H26" s="4">
        <f t="shared" si="32"/>
        <v>84173460.168484867</v>
      </c>
      <c r="I26" s="4">
        <f t="shared" si="32"/>
        <v>252520380.5054546</v>
      </c>
      <c r="J26" s="12">
        <f t="shared" si="24"/>
        <v>0.10935030635093757</v>
      </c>
      <c r="K26" s="4">
        <f>SUM(K23:K25)</f>
        <v>75831946.097734109</v>
      </c>
      <c r="L26" s="4">
        <f>SUM(L23:L25)</f>
        <v>227495838.29320234</v>
      </c>
    </row>
  </sheetData>
  <mergeCells count="5">
    <mergeCell ref="A1:L2"/>
    <mergeCell ref="C4:D4"/>
    <mergeCell ref="C21:D21"/>
    <mergeCell ref="M4:U4"/>
    <mergeCell ref="M21:U21"/>
  </mergeCells>
  <pageMargins left="0.25" right="0.25" top="0.75" bottom="0.75" header="0.3" footer="0.3"/>
  <pageSetup paperSize="9" scale="7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B3B2-DB4A-4CBD-91C5-471193120349}">
  <sheetPr>
    <pageSetUpPr fitToPage="1"/>
  </sheetPr>
  <dimension ref="A1:V13"/>
  <sheetViews>
    <sheetView workbookViewId="0">
      <selection activeCell="V12" sqref="A1:V12"/>
    </sheetView>
  </sheetViews>
  <sheetFormatPr defaultRowHeight="14.4" x14ac:dyDescent="0.3"/>
  <cols>
    <col min="1" max="1" width="11.6640625" bestFit="1" customWidth="1"/>
    <col min="2" max="2" width="35.33203125" bestFit="1" customWidth="1"/>
    <col min="3" max="3" width="14.77734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4" width="11" bestFit="1" customWidth="1"/>
    <col min="15" max="16" width="12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2" ht="14.55" customHeight="1" x14ac:dyDescent="0.3">
      <c r="A1" s="50" t="s">
        <v>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2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2" ht="18" x14ac:dyDescent="0.35">
      <c r="A4" s="16" t="s">
        <v>77</v>
      </c>
      <c r="C4" s="49">
        <v>2024</v>
      </c>
      <c r="D4" s="49"/>
      <c r="E4" s="10">
        <v>2025</v>
      </c>
      <c r="M4" s="51" t="s">
        <v>189</v>
      </c>
      <c r="N4" s="51"/>
      <c r="O4" s="51"/>
      <c r="P4" s="51"/>
      <c r="Q4" s="51"/>
      <c r="R4" s="51"/>
      <c r="S4" s="51"/>
      <c r="T4" s="51"/>
      <c r="U4" s="51"/>
    </row>
    <row r="5" spans="1:22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2" x14ac:dyDescent="0.3">
      <c r="A6" s="2" t="s">
        <v>163</v>
      </c>
      <c r="B6" s="2" t="s">
        <v>164</v>
      </c>
      <c r="C6" s="13">
        <v>92026670.181818172</v>
      </c>
      <c r="D6" s="13">
        <v>82348430.454545468</v>
      </c>
      <c r="E6" s="13">
        <v>133426706.18181822</v>
      </c>
      <c r="F6" s="7">
        <f t="shared" ref="F6:F12" si="0">SUM(C6:E6)</f>
        <v>307801806.81818187</v>
      </c>
      <c r="G6" s="8">
        <f t="shared" ref="G6:G12" si="1">AVERAGE(C6:E6)</f>
        <v>102600602.2727273</v>
      </c>
      <c r="H6" s="9">
        <f>G6*120%</f>
        <v>123120722.72727275</v>
      </c>
      <c r="I6" s="9">
        <f>H6*3</f>
        <v>369362168.18181825</v>
      </c>
      <c r="J6" s="11">
        <f t="shared" ref="J6:J13" si="2">H6/G6-1</f>
        <v>0.19999999999999996</v>
      </c>
      <c r="K6" s="3">
        <f>H6/1.11</f>
        <v>110919570.02457003</v>
      </c>
      <c r="L6" s="3">
        <f>I6/1.11</f>
        <v>332758710.07371008</v>
      </c>
      <c r="M6" s="19">
        <v>92026670.181818172</v>
      </c>
      <c r="N6" s="19">
        <v>78784430.454545468</v>
      </c>
      <c r="O6" s="19">
        <v>133426706.18181822</v>
      </c>
      <c r="P6" s="22">
        <f>AVERAGE(M6:O6)</f>
        <v>101412602.2727273</v>
      </c>
      <c r="Q6" s="20">
        <v>0.19999999999999996</v>
      </c>
      <c r="R6" s="19">
        <f>P6+(P6*Q6)</f>
        <v>121695122.72727275</v>
      </c>
      <c r="S6" s="19">
        <f>R6*3</f>
        <v>365085368.18181825</v>
      </c>
      <c r="T6" s="19">
        <f>R6/1.11</f>
        <v>109635245.70024571</v>
      </c>
      <c r="U6" s="19">
        <f>S6/1.11</f>
        <v>328905737.10073715</v>
      </c>
    </row>
    <row r="7" spans="1:22" x14ac:dyDescent="0.3">
      <c r="A7" s="2" t="s">
        <v>165</v>
      </c>
      <c r="B7" s="2" t="s">
        <v>166</v>
      </c>
      <c r="C7" s="13">
        <v>82481225.454545438</v>
      </c>
      <c r="D7" s="13">
        <v>57106194.545454562</v>
      </c>
      <c r="E7" s="13">
        <v>64833087.272727259</v>
      </c>
      <c r="F7" s="7">
        <f t="shared" si="0"/>
        <v>204420507.27272725</v>
      </c>
      <c r="G7" s="8">
        <f t="shared" si="1"/>
        <v>68140169.090909079</v>
      </c>
      <c r="H7" s="9">
        <f>G7*130%</f>
        <v>88582219.818181813</v>
      </c>
      <c r="I7" s="9">
        <f t="shared" ref="I7:I12" si="3">H7*3</f>
        <v>265746659.45454544</v>
      </c>
      <c r="J7" s="11">
        <f t="shared" si="2"/>
        <v>0.30000000000000004</v>
      </c>
      <c r="K7" s="3">
        <f t="shared" ref="K7:L12" si="4">H7/1.11</f>
        <v>79803801.638001621</v>
      </c>
      <c r="L7" s="3">
        <f t="shared" si="4"/>
        <v>239411404.91400489</v>
      </c>
      <c r="M7" s="19">
        <v>82481225.454545438</v>
      </c>
      <c r="N7" s="19">
        <v>57106194.545454562</v>
      </c>
      <c r="O7" s="19">
        <v>64833087.272727259</v>
      </c>
      <c r="P7" s="22">
        <f t="shared" ref="P7:P12" si="5">AVERAGE(M7:O7)</f>
        <v>68140169.090909079</v>
      </c>
      <c r="Q7" s="20">
        <v>0.30000000000000004</v>
      </c>
      <c r="R7" s="19">
        <f t="shared" ref="R7:R12" si="6">P7+(P7*Q7)</f>
        <v>88582219.818181813</v>
      </c>
      <c r="S7" s="19">
        <f t="shared" ref="S7:S12" si="7">R7*3</f>
        <v>265746659.45454544</v>
      </c>
      <c r="T7" s="19">
        <f t="shared" ref="T7:T12" si="8">R7/1.11</f>
        <v>79803801.638001621</v>
      </c>
      <c r="U7" s="19">
        <f t="shared" ref="U7:U12" si="9">S7/1.11</f>
        <v>239411404.91400489</v>
      </c>
    </row>
    <row r="8" spans="1:22" x14ac:dyDescent="0.3">
      <c r="A8" s="2" t="s">
        <v>167</v>
      </c>
      <c r="B8" s="2" t="s">
        <v>168</v>
      </c>
      <c r="C8" s="13">
        <v>96794745.681818187</v>
      </c>
      <c r="D8" s="13">
        <v>77464360.909090906</v>
      </c>
      <c r="E8" s="13">
        <v>77708172.13636364</v>
      </c>
      <c r="F8" s="7">
        <f t="shared" si="0"/>
        <v>251967278.72727275</v>
      </c>
      <c r="G8" s="8">
        <f t="shared" si="1"/>
        <v>83989092.909090921</v>
      </c>
      <c r="H8" s="9">
        <f t="shared" ref="H8:H12" si="10">G8*120%</f>
        <v>100786911.4909091</v>
      </c>
      <c r="I8" s="9">
        <f t="shared" si="3"/>
        <v>302360734.4727273</v>
      </c>
      <c r="J8" s="11">
        <f t="shared" si="2"/>
        <v>0.19999999999999996</v>
      </c>
      <c r="K8" s="3">
        <f t="shared" si="4"/>
        <v>90799019.361179367</v>
      </c>
      <c r="L8" s="3">
        <f t="shared" si="4"/>
        <v>272397058.08353806</v>
      </c>
      <c r="M8" s="19">
        <v>96794745.681818187</v>
      </c>
      <c r="N8" s="19">
        <v>77464360.909090906</v>
      </c>
      <c r="O8" s="19">
        <v>77708172.13636364</v>
      </c>
      <c r="P8" s="22">
        <f t="shared" si="5"/>
        <v>83989092.909090921</v>
      </c>
      <c r="Q8" s="20">
        <v>0.19999999999999996</v>
      </c>
      <c r="R8" s="19">
        <f t="shared" si="6"/>
        <v>100786911.4909091</v>
      </c>
      <c r="S8" s="19">
        <f t="shared" si="7"/>
        <v>302360734.4727273</v>
      </c>
      <c r="T8" s="19">
        <f t="shared" si="8"/>
        <v>90799019.361179367</v>
      </c>
      <c r="U8" s="19">
        <f t="shared" si="9"/>
        <v>272397058.08353806</v>
      </c>
    </row>
    <row r="9" spans="1:22" x14ac:dyDescent="0.3">
      <c r="A9" s="2" t="s">
        <v>169</v>
      </c>
      <c r="B9" s="2" t="s">
        <v>170</v>
      </c>
      <c r="C9" s="13">
        <v>86343860.272727266</v>
      </c>
      <c r="D9" s="13">
        <v>57318410.454545453</v>
      </c>
      <c r="E9" s="13">
        <v>85339588.090909079</v>
      </c>
      <c r="F9" s="7">
        <f t="shared" si="0"/>
        <v>229001858.81818181</v>
      </c>
      <c r="G9" s="8">
        <f t="shared" si="1"/>
        <v>76333952.939393938</v>
      </c>
      <c r="H9" s="9">
        <f>G9*115%</f>
        <v>87784045.880303025</v>
      </c>
      <c r="I9" s="9">
        <f t="shared" si="3"/>
        <v>263352137.64090908</v>
      </c>
      <c r="J9" s="11">
        <f t="shared" si="2"/>
        <v>0.14999999999999991</v>
      </c>
      <c r="K9" s="3">
        <f t="shared" si="4"/>
        <v>79084726.018291011</v>
      </c>
      <c r="L9" s="3">
        <f t="shared" si="4"/>
        <v>237254178.05487302</v>
      </c>
      <c r="M9" s="19">
        <v>86343860.272727266</v>
      </c>
      <c r="N9" s="19">
        <v>57318410.454545453</v>
      </c>
      <c r="O9" s="19">
        <v>85339588.090909079</v>
      </c>
      <c r="P9" s="22">
        <f t="shared" si="5"/>
        <v>76333952.939393938</v>
      </c>
      <c r="Q9" s="20">
        <v>0.14999999999999991</v>
      </c>
      <c r="R9" s="19">
        <f t="shared" si="6"/>
        <v>87784045.880303025</v>
      </c>
      <c r="S9" s="19">
        <f t="shared" si="7"/>
        <v>263352137.64090908</v>
      </c>
      <c r="T9" s="19">
        <f t="shared" si="8"/>
        <v>79084726.018291011</v>
      </c>
      <c r="U9" s="19">
        <f t="shared" si="9"/>
        <v>237254178.05487302</v>
      </c>
    </row>
    <row r="10" spans="1:22" x14ac:dyDescent="0.3">
      <c r="A10" s="2" t="s">
        <v>171</v>
      </c>
      <c r="B10" s="2" t="s">
        <v>172</v>
      </c>
      <c r="C10" s="13">
        <v>98189685.909090847</v>
      </c>
      <c r="D10" s="13">
        <v>88784988.409090862</v>
      </c>
      <c r="E10" s="13">
        <v>67000078.363636352</v>
      </c>
      <c r="F10" s="7">
        <f t="shared" si="0"/>
        <v>253974752.68181804</v>
      </c>
      <c r="G10" s="8">
        <f t="shared" si="1"/>
        <v>84658250.893939346</v>
      </c>
      <c r="H10" s="9">
        <f t="shared" si="10"/>
        <v>101589901.07272722</v>
      </c>
      <c r="I10" s="9">
        <f t="shared" si="3"/>
        <v>304769703.21818167</v>
      </c>
      <c r="J10" s="11">
        <f t="shared" si="2"/>
        <v>0.19999999999999996</v>
      </c>
      <c r="K10" s="3">
        <f t="shared" si="4"/>
        <v>91522433.398853347</v>
      </c>
      <c r="L10" s="3">
        <f t="shared" si="4"/>
        <v>274567300.19656003</v>
      </c>
      <c r="M10" s="19">
        <v>98189685.909090847</v>
      </c>
      <c r="N10" s="19">
        <v>88784988.409090862</v>
      </c>
      <c r="O10" s="19">
        <v>67000078.363636352</v>
      </c>
      <c r="P10" s="22">
        <f t="shared" si="5"/>
        <v>84658250.893939346</v>
      </c>
      <c r="Q10" s="20">
        <v>0.19999999999999996</v>
      </c>
      <c r="R10" s="19">
        <f t="shared" si="6"/>
        <v>101589901.0727272</v>
      </c>
      <c r="S10" s="19">
        <f t="shared" si="7"/>
        <v>304769703.21818161</v>
      </c>
      <c r="T10" s="19">
        <f t="shared" si="8"/>
        <v>91522433.398853332</v>
      </c>
      <c r="U10" s="19">
        <f t="shared" si="9"/>
        <v>274567300.19655997</v>
      </c>
    </row>
    <row r="11" spans="1:22" x14ac:dyDescent="0.3">
      <c r="A11" s="2" t="s">
        <v>175</v>
      </c>
      <c r="B11" s="2" t="s">
        <v>176</v>
      </c>
      <c r="C11" s="13">
        <v>22886181.818181809</v>
      </c>
      <c r="D11" s="13">
        <v>42266209.909090944</v>
      </c>
      <c r="E11" s="13"/>
      <c r="F11" s="7">
        <f t="shared" si="0"/>
        <v>65152391.727272749</v>
      </c>
      <c r="G11" s="8">
        <f t="shared" si="1"/>
        <v>32576195.863636374</v>
      </c>
      <c r="H11" s="9">
        <f t="shared" si="10"/>
        <v>39091435.036363646</v>
      </c>
      <c r="I11" s="9">
        <f t="shared" si="3"/>
        <v>117274305.10909094</v>
      </c>
      <c r="J11" s="11">
        <f t="shared" si="2"/>
        <v>0.19999999999999996</v>
      </c>
      <c r="K11" s="3">
        <f t="shared" si="4"/>
        <v>35217509.04176905</v>
      </c>
      <c r="L11" s="3">
        <f t="shared" si="4"/>
        <v>105652527.12530714</v>
      </c>
      <c r="M11" s="19">
        <v>22886181.818181809</v>
      </c>
      <c r="N11" s="19">
        <v>42266209.909090944</v>
      </c>
      <c r="O11" s="19">
        <v>0</v>
      </c>
      <c r="P11" s="22">
        <f t="shared" si="5"/>
        <v>21717463.909090918</v>
      </c>
      <c r="Q11" s="20">
        <v>0.19999999999999996</v>
      </c>
      <c r="R11" s="19">
        <f t="shared" si="6"/>
        <v>26060956.690909099</v>
      </c>
      <c r="S11" s="19">
        <f t="shared" si="7"/>
        <v>78182870.072727293</v>
      </c>
      <c r="T11" s="19">
        <f t="shared" si="8"/>
        <v>23478339.361179367</v>
      </c>
      <c r="U11" s="19">
        <f t="shared" si="9"/>
        <v>70435018.0835381</v>
      </c>
    </row>
    <row r="12" spans="1:22" s="63" customFormat="1" x14ac:dyDescent="0.3">
      <c r="A12" s="55" t="s">
        <v>173</v>
      </c>
      <c r="B12" s="55" t="s">
        <v>174</v>
      </c>
      <c r="C12" s="56">
        <v>17568489.545454547</v>
      </c>
      <c r="D12" s="56">
        <v>16342813.636363637</v>
      </c>
      <c r="E12" s="56">
        <v>17000068.63636364</v>
      </c>
      <c r="F12" s="57">
        <f t="shared" si="0"/>
        <v>50911371.818181828</v>
      </c>
      <c r="G12" s="57">
        <f t="shared" si="1"/>
        <v>16970457.272727277</v>
      </c>
      <c r="H12" s="57">
        <f t="shared" si="10"/>
        <v>20364548.72727273</v>
      </c>
      <c r="I12" s="57">
        <f t="shared" si="3"/>
        <v>61093646.181818187</v>
      </c>
      <c r="J12" s="58">
        <f t="shared" si="2"/>
        <v>0.19999999999999996</v>
      </c>
      <c r="K12" s="59">
        <f t="shared" si="4"/>
        <v>18346440.294840295</v>
      </c>
      <c r="L12" s="59">
        <f t="shared" si="4"/>
        <v>55039320.884520881</v>
      </c>
      <c r="M12" s="60">
        <v>16974489.545454543</v>
      </c>
      <c r="N12" s="60">
        <v>16342813.636363637</v>
      </c>
      <c r="O12" s="60">
        <v>17000068.63636364</v>
      </c>
      <c r="P12" s="61">
        <f t="shared" si="5"/>
        <v>16772457.272727273</v>
      </c>
      <c r="Q12" s="62">
        <v>0.19999999999999996</v>
      </c>
      <c r="R12" s="60">
        <f t="shared" si="6"/>
        <v>20126948.727272727</v>
      </c>
      <c r="S12" s="60">
        <f t="shared" si="7"/>
        <v>60380846.18181818</v>
      </c>
      <c r="T12" s="60">
        <f t="shared" si="8"/>
        <v>18132386.24078624</v>
      </c>
      <c r="U12" s="60">
        <f t="shared" si="9"/>
        <v>54397158.722358719</v>
      </c>
      <c r="V12" s="63" t="s">
        <v>198</v>
      </c>
    </row>
    <row r="13" spans="1:22" x14ac:dyDescent="0.3">
      <c r="A13" s="5" t="s">
        <v>5</v>
      </c>
      <c r="B13" s="5"/>
      <c r="C13" s="4">
        <f>SUM(C6:C12)</f>
        <v>496290858.86363626</v>
      </c>
      <c r="D13" s="4">
        <f t="shared" ref="D13:L13" si="11">SUM(D6:D12)</f>
        <v>421631408.31818181</v>
      </c>
      <c r="E13" s="4">
        <f t="shared" si="11"/>
        <v>445307700.68181819</v>
      </c>
      <c r="F13" s="4">
        <f t="shared" si="11"/>
        <v>1363229967.8636363</v>
      </c>
      <c r="G13" s="4">
        <f t="shared" si="11"/>
        <v>465268721.24242425</v>
      </c>
      <c r="H13" s="4">
        <f t="shared" si="11"/>
        <v>561319784.7530303</v>
      </c>
      <c r="I13" s="4">
        <f t="shared" si="11"/>
        <v>1683959354.2590909</v>
      </c>
      <c r="J13" s="12">
        <f t="shared" si="2"/>
        <v>0.20644212500276682</v>
      </c>
      <c r="K13" s="4">
        <f t="shared" si="11"/>
        <v>505693499.77750468</v>
      </c>
      <c r="L13" s="4">
        <f t="shared" si="11"/>
        <v>1517080499.332514</v>
      </c>
    </row>
  </sheetData>
  <mergeCells count="3">
    <mergeCell ref="A1:L2"/>
    <mergeCell ref="C4:D4"/>
    <mergeCell ref="M4:U4"/>
  </mergeCells>
  <pageMargins left="0.25" right="0.25" top="0.75" bottom="0.75" header="0.3" footer="0.3"/>
  <pageSetup paperSize="9" scale="76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071F-5B6D-4FEF-88B2-516863A63492}">
  <sheetPr>
    <pageSetUpPr fitToPage="1"/>
  </sheetPr>
  <dimension ref="A1:V26"/>
  <sheetViews>
    <sheetView workbookViewId="0">
      <selection sqref="A1:V25"/>
    </sheetView>
  </sheetViews>
  <sheetFormatPr defaultRowHeight="14.4" x14ac:dyDescent="0.3"/>
  <cols>
    <col min="1" max="1" width="11.6640625" bestFit="1" customWidth="1"/>
    <col min="2" max="2" width="35.33203125" bestFit="1" customWidth="1"/>
    <col min="3" max="3" width="14.77734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6" width="12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6640625" bestFit="1" customWidth="1"/>
  </cols>
  <sheetData>
    <row r="1" spans="1:22" ht="14.55" customHeight="1" x14ac:dyDescent="0.3">
      <c r="A1" s="50" t="s">
        <v>110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2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2" ht="18" x14ac:dyDescent="0.35">
      <c r="A4" s="16" t="s">
        <v>77</v>
      </c>
      <c r="C4" s="49">
        <v>2024</v>
      </c>
      <c r="D4" s="49"/>
      <c r="E4" s="10">
        <v>2025</v>
      </c>
      <c r="M4" s="52" t="s">
        <v>189</v>
      </c>
      <c r="N4" s="53"/>
      <c r="O4" s="53"/>
      <c r="P4" s="53"/>
      <c r="Q4" s="53"/>
      <c r="R4" s="53"/>
      <c r="S4" s="53"/>
      <c r="T4" s="53"/>
      <c r="U4" s="54"/>
    </row>
    <row r="5" spans="1:22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2" x14ac:dyDescent="0.3">
      <c r="A6" s="2" t="s">
        <v>111</v>
      </c>
      <c r="B6" s="2" t="s">
        <v>112</v>
      </c>
      <c r="C6" s="13">
        <v>369993272.72727257</v>
      </c>
      <c r="D6" s="13">
        <v>202560000.00000003</v>
      </c>
      <c r="E6" s="13"/>
      <c r="F6" s="7">
        <f t="shared" ref="F6:F15" si="0">SUM(C6:E6)</f>
        <v>572553272.72727263</v>
      </c>
      <c r="G6" s="8">
        <f t="shared" ref="G6:G15" si="1">AVERAGE(C6:E6)</f>
        <v>286276636.36363631</v>
      </c>
      <c r="H6" s="9">
        <f>G6*120%</f>
        <v>343531963.63636357</v>
      </c>
      <c r="I6" s="9">
        <f>H6*3</f>
        <v>1030595890.9090908</v>
      </c>
      <c r="J6" s="11">
        <f t="shared" ref="J6:J16" si="2">H6/G6-1</f>
        <v>0.19999999999999996</v>
      </c>
      <c r="K6" s="3">
        <f>H6/1.11</f>
        <v>309488255.52825546</v>
      </c>
      <c r="L6" s="3">
        <f>I6/1.11</f>
        <v>928464766.58476639</v>
      </c>
      <c r="M6" s="19">
        <v>369993272.72727257</v>
      </c>
      <c r="N6" s="19">
        <v>202560000.00000003</v>
      </c>
      <c r="O6" s="19">
        <v>0</v>
      </c>
      <c r="P6" s="22">
        <f>AVERAGE(M6:O6)</f>
        <v>190851090.90909088</v>
      </c>
      <c r="Q6" s="20">
        <v>0.19999999999999996</v>
      </c>
      <c r="R6" s="19">
        <f>P6+(P6*Q6)</f>
        <v>229021309.09090903</v>
      </c>
      <c r="S6" s="19">
        <f>R6*3</f>
        <v>687063927.27272713</v>
      </c>
      <c r="T6" s="19">
        <f>R6/1.11</f>
        <v>206325503.6855036</v>
      </c>
      <c r="U6" s="19">
        <f>S6/1.11</f>
        <v>618976511.05651093</v>
      </c>
    </row>
    <row r="7" spans="1:22" x14ac:dyDescent="0.3">
      <c r="A7" s="2" t="s">
        <v>113</v>
      </c>
      <c r="B7" s="2" t="s">
        <v>114</v>
      </c>
      <c r="C7" s="13">
        <v>72692746.920000002</v>
      </c>
      <c r="D7" s="13">
        <v>158870264.31818143</v>
      </c>
      <c r="E7" s="13">
        <v>13699355.454545453</v>
      </c>
      <c r="F7" s="7">
        <f t="shared" si="0"/>
        <v>245262366.69272685</v>
      </c>
      <c r="G7" s="8">
        <f t="shared" si="1"/>
        <v>81754122.230908945</v>
      </c>
      <c r="H7" s="9">
        <f>G7*115%</f>
        <v>94017240.565545276</v>
      </c>
      <c r="I7" s="9">
        <f t="shared" ref="I7:I15" si="3">H7*3</f>
        <v>282051721.69663584</v>
      </c>
      <c r="J7" s="11">
        <f t="shared" si="2"/>
        <v>0.14999999999999991</v>
      </c>
      <c r="K7" s="3">
        <f t="shared" ref="K7:K15" si="4">H7/1.11</f>
        <v>84700216.725716457</v>
      </c>
      <c r="L7" s="3">
        <f t="shared" ref="L7:L15" si="5">I7/1.11</f>
        <v>254100650.17714939</v>
      </c>
      <c r="M7" s="19">
        <v>72098746.920000002</v>
      </c>
      <c r="N7" s="19">
        <v>155999264.3181814</v>
      </c>
      <c r="O7" s="19">
        <v>13699355.454545453</v>
      </c>
      <c r="P7" s="22">
        <f>AVERAGE(M7:O7)</f>
        <v>80599122.230908945</v>
      </c>
      <c r="Q7" s="20">
        <v>0.14999999999999991</v>
      </c>
      <c r="R7" s="19">
        <f>P7+(P7*Q7)</f>
        <v>92688990.565545276</v>
      </c>
      <c r="S7" s="19">
        <f>R7*3</f>
        <v>278066971.69663584</v>
      </c>
      <c r="T7" s="19">
        <f>R7/1.11</f>
        <v>83503595.104094833</v>
      </c>
      <c r="U7" s="19">
        <f>S7/1.11</f>
        <v>250510785.31228453</v>
      </c>
    </row>
    <row r="8" spans="1:22" x14ac:dyDescent="0.3">
      <c r="A8" s="2" t="s">
        <v>115</v>
      </c>
      <c r="B8" s="2" t="s">
        <v>116</v>
      </c>
      <c r="C8" s="13">
        <v>114659474.68909086</v>
      </c>
      <c r="D8" s="13">
        <v>60310007.378181837</v>
      </c>
      <c r="E8" s="13">
        <v>6791400</v>
      </c>
      <c r="F8" s="7">
        <f t="shared" si="0"/>
        <v>181760882.06727269</v>
      </c>
      <c r="G8" s="8">
        <f t="shared" si="1"/>
        <v>60586960.6890909</v>
      </c>
      <c r="H8" s="9">
        <f>G8*120%</f>
        <v>72704352.82690908</v>
      </c>
      <c r="I8" s="9">
        <f t="shared" si="3"/>
        <v>218113058.48072726</v>
      </c>
      <c r="J8" s="11">
        <f t="shared" si="2"/>
        <v>0.19999999999999996</v>
      </c>
      <c r="K8" s="3">
        <f t="shared" si="4"/>
        <v>65499416.961179346</v>
      </c>
      <c r="L8" s="3">
        <f t="shared" si="5"/>
        <v>196498250.88353804</v>
      </c>
      <c r="M8" s="19">
        <v>113966474.68909086</v>
      </c>
      <c r="N8" s="19">
        <v>55558007.378181837</v>
      </c>
      <c r="O8" s="19">
        <v>6791400</v>
      </c>
      <c r="P8" s="22">
        <f t="shared" ref="P8:P15" si="6">AVERAGE(M8:O8)</f>
        <v>58771960.6890909</v>
      </c>
      <c r="Q8" s="20">
        <v>0.19999999999999996</v>
      </c>
      <c r="R8" s="19">
        <f t="shared" ref="R8:R15" si="7">P8+(P8*Q8)</f>
        <v>70526352.82690908</v>
      </c>
      <c r="S8" s="19">
        <f t="shared" ref="S8:S15" si="8">R8*3</f>
        <v>211579058.48072726</v>
      </c>
      <c r="T8" s="19">
        <f t="shared" ref="T8:T15" si="9">R8/1.11</f>
        <v>63537254.799017183</v>
      </c>
      <c r="U8" s="19">
        <f t="shared" ref="U8:U15" si="10">S8/1.11</f>
        <v>190611764.39705157</v>
      </c>
    </row>
    <row r="9" spans="1:22" x14ac:dyDescent="0.3">
      <c r="A9" s="2" t="s">
        <v>117</v>
      </c>
      <c r="B9" s="2" t="s">
        <v>118</v>
      </c>
      <c r="C9" s="13">
        <v>60763916.420000002</v>
      </c>
      <c r="D9" s="13">
        <v>102000000</v>
      </c>
      <c r="E9" s="13"/>
      <c r="F9" s="7">
        <f t="shared" si="0"/>
        <v>162763916.42000002</v>
      </c>
      <c r="G9" s="8">
        <f t="shared" si="1"/>
        <v>81381958.210000008</v>
      </c>
      <c r="H9" s="9">
        <f>G9*125%</f>
        <v>101727447.76250002</v>
      </c>
      <c r="I9" s="9">
        <f t="shared" si="3"/>
        <v>305182343.28750002</v>
      </c>
      <c r="J9" s="11">
        <f t="shared" si="2"/>
        <v>0.25</v>
      </c>
      <c r="K9" s="3">
        <f t="shared" si="4"/>
        <v>91646349.335585594</v>
      </c>
      <c r="L9" s="3">
        <f t="shared" si="5"/>
        <v>274939048.00675678</v>
      </c>
      <c r="M9" s="19">
        <v>60763916.420000002</v>
      </c>
      <c r="N9" s="19">
        <v>102000000</v>
      </c>
      <c r="O9" s="19">
        <v>0</v>
      </c>
      <c r="P9" s="22">
        <f t="shared" si="6"/>
        <v>54254638.806666672</v>
      </c>
      <c r="Q9" s="20">
        <v>0.25</v>
      </c>
      <c r="R9" s="19">
        <f t="shared" si="7"/>
        <v>67818298.50833334</v>
      </c>
      <c r="S9" s="19">
        <f t="shared" si="8"/>
        <v>203454895.52500004</v>
      </c>
      <c r="T9" s="19">
        <f t="shared" si="9"/>
        <v>61097566.223723724</v>
      </c>
      <c r="U9" s="19">
        <f t="shared" si="10"/>
        <v>183292698.67117119</v>
      </c>
    </row>
    <row r="10" spans="1:22" x14ac:dyDescent="0.3">
      <c r="A10" s="2" t="s">
        <v>121</v>
      </c>
      <c r="B10" s="2" t="s">
        <v>122</v>
      </c>
      <c r="C10" s="13">
        <v>51123272.636363663</v>
      </c>
      <c r="D10" s="13">
        <v>11119050</v>
      </c>
      <c r="E10" s="13">
        <v>17260205.59090909</v>
      </c>
      <c r="F10" s="7">
        <f t="shared" si="0"/>
        <v>79502528.227272749</v>
      </c>
      <c r="G10" s="8">
        <f t="shared" si="1"/>
        <v>26500842.74242425</v>
      </c>
      <c r="H10" s="9">
        <f>G10*120%</f>
        <v>31801011.290909097</v>
      </c>
      <c r="I10" s="9">
        <f t="shared" si="3"/>
        <v>95403033.87272729</v>
      </c>
      <c r="J10" s="11">
        <f t="shared" si="2"/>
        <v>0.19999999999999996</v>
      </c>
      <c r="K10" s="3">
        <f t="shared" si="4"/>
        <v>28649559.721539725</v>
      </c>
      <c r="L10" s="3">
        <f t="shared" si="5"/>
        <v>85948679.164619178</v>
      </c>
      <c r="M10" s="19">
        <v>50529272.636363663</v>
      </c>
      <c r="N10" s="19">
        <v>9931050</v>
      </c>
      <c r="O10" s="19">
        <v>17260205.59090909</v>
      </c>
      <c r="P10" s="22">
        <f t="shared" si="6"/>
        <v>25906842.74242425</v>
      </c>
      <c r="Q10" s="20">
        <v>0.19999999999999996</v>
      </c>
      <c r="R10" s="19">
        <f t="shared" si="7"/>
        <v>31088211.290909097</v>
      </c>
      <c r="S10" s="19">
        <f t="shared" si="8"/>
        <v>93264633.87272729</v>
      </c>
      <c r="T10" s="19">
        <f t="shared" si="9"/>
        <v>28007397.559377562</v>
      </c>
      <c r="U10" s="19">
        <f t="shared" si="10"/>
        <v>84022192.678132683</v>
      </c>
    </row>
    <row r="11" spans="1:22" x14ac:dyDescent="0.3">
      <c r="A11" s="2" t="s">
        <v>123</v>
      </c>
      <c r="B11" s="2" t="s">
        <v>124</v>
      </c>
      <c r="C11" s="13">
        <v>5946666.8181818174</v>
      </c>
      <c r="D11" s="13">
        <v>48061220.454545453</v>
      </c>
      <c r="E11" s="13">
        <v>22288527.136363637</v>
      </c>
      <c r="F11" s="7">
        <f t="shared" si="0"/>
        <v>76296414.409090906</v>
      </c>
      <c r="G11" s="8">
        <f t="shared" si="1"/>
        <v>25432138.136363637</v>
      </c>
      <c r="H11" s="9">
        <f>G11*110%</f>
        <v>27975351.950000003</v>
      </c>
      <c r="I11" s="9">
        <f t="shared" si="3"/>
        <v>83926055.850000009</v>
      </c>
      <c r="J11" s="11">
        <f t="shared" si="2"/>
        <v>0.10000000000000009</v>
      </c>
      <c r="K11" s="3">
        <f t="shared" si="4"/>
        <v>25203019.774774775</v>
      </c>
      <c r="L11" s="3">
        <f t="shared" si="5"/>
        <v>75609059.324324325</v>
      </c>
      <c r="M11" s="19">
        <v>5946666.8181818174</v>
      </c>
      <c r="N11" s="19">
        <v>48061220.454545453</v>
      </c>
      <c r="O11" s="19">
        <v>22288527.136363637</v>
      </c>
      <c r="P11" s="22">
        <f t="shared" si="6"/>
        <v>25432138.136363637</v>
      </c>
      <c r="Q11" s="20">
        <v>0.10000000000000009</v>
      </c>
      <c r="R11" s="19">
        <f t="shared" si="7"/>
        <v>27975351.950000003</v>
      </c>
      <c r="S11" s="19">
        <f t="shared" si="8"/>
        <v>83926055.850000009</v>
      </c>
      <c r="T11" s="19">
        <f t="shared" si="9"/>
        <v>25203019.774774775</v>
      </c>
      <c r="U11" s="19">
        <f t="shared" si="10"/>
        <v>75609059.324324325</v>
      </c>
    </row>
    <row r="12" spans="1:22" x14ac:dyDescent="0.3">
      <c r="A12" s="2" t="s">
        <v>125</v>
      </c>
      <c r="B12" s="2" t="s">
        <v>126</v>
      </c>
      <c r="C12" s="13">
        <v>25045029.681818184</v>
      </c>
      <c r="D12" s="13">
        <v>28434947.727272734</v>
      </c>
      <c r="E12" s="13">
        <v>22788924.636363637</v>
      </c>
      <c r="F12" s="7">
        <f t="shared" si="0"/>
        <v>76268902.045454562</v>
      </c>
      <c r="G12" s="8">
        <f t="shared" si="1"/>
        <v>25422967.348484855</v>
      </c>
      <c r="H12" s="9">
        <f t="shared" ref="H12:H13" si="11">G12*120%</f>
        <v>30507560.818181824</v>
      </c>
      <c r="I12" s="9">
        <f t="shared" si="3"/>
        <v>91522682.454545468</v>
      </c>
      <c r="J12" s="11">
        <f t="shared" si="2"/>
        <v>0.19999999999999996</v>
      </c>
      <c r="K12" s="3">
        <f t="shared" si="4"/>
        <v>27484289.025389027</v>
      </c>
      <c r="L12" s="3">
        <f t="shared" si="5"/>
        <v>82452867.076167077</v>
      </c>
      <c r="M12" s="19">
        <v>25045029.681818184</v>
      </c>
      <c r="N12" s="19">
        <v>27840947.727272734</v>
      </c>
      <c r="O12" s="19">
        <v>22788924.636363637</v>
      </c>
      <c r="P12" s="22">
        <f t="shared" si="6"/>
        <v>25224967.348484855</v>
      </c>
      <c r="Q12" s="20">
        <v>0.19999999999999996</v>
      </c>
      <c r="R12" s="19">
        <f t="shared" si="7"/>
        <v>30269960.818181824</v>
      </c>
      <c r="S12" s="19">
        <f t="shared" si="8"/>
        <v>90809882.454545468</v>
      </c>
      <c r="T12" s="19">
        <f t="shared" si="9"/>
        <v>27270234.971334975</v>
      </c>
      <c r="U12" s="19">
        <f t="shared" si="10"/>
        <v>81810704.914004922</v>
      </c>
    </row>
    <row r="13" spans="1:22" x14ac:dyDescent="0.3">
      <c r="A13" s="2" t="s">
        <v>119</v>
      </c>
      <c r="B13" s="2" t="s">
        <v>120</v>
      </c>
      <c r="C13" s="13">
        <v>82239380.590909064</v>
      </c>
      <c r="D13" s="13">
        <v>40705961.045454532</v>
      </c>
      <c r="E13" s="13">
        <v>13745869.090909092</v>
      </c>
      <c r="F13" s="7">
        <f t="shared" si="0"/>
        <v>136691210.72727269</v>
      </c>
      <c r="G13" s="8">
        <f t="shared" si="1"/>
        <v>45563736.909090899</v>
      </c>
      <c r="H13" s="9">
        <f t="shared" si="11"/>
        <v>54676484.290909074</v>
      </c>
      <c r="I13" s="9">
        <f t="shared" si="3"/>
        <v>164029452.87272722</v>
      </c>
      <c r="J13" s="11">
        <f t="shared" si="2"/>
        <v>0.19999999999999996</v>
      </c>
      <c r="K13" s="3">
        <f t="shared" si="4"/>
        <v>49258093.955773935</v>
      </c>
      <c r="L13" s="3">
        <f t="shared" si="5"/>
        <v>147774281.86732179</v>
      </c>
      <c r="M13" s="19">
        <v>81051380.590909064</v>
      </c>
      <c r="N13" s="19">
        <v>39517961.045454532</v>
      </c>
      <c r="O13" s="19">
        <v>13745869.090909092</v>
      </c>
      <c r="P13" s="22">
        <f t="shared" si="6"/>
        <v>44771736.909090899</v>
      </c>
      <c r="Q13" s="20">
        <v>0.19999999999999996</v>
      </c>
      <c r="R13" s="19">
        <f t="shared" si="7"/>
        <v>53726084.290909074</v>
      </c>
      <c r="S13" s="19">
        <f t="shared" si="8"/>
        <v>161178252.87272722</v>
      </c>
      <c r="T13" s="19">
        <f t="shared" si="9"/>
        <v>48401877.739557721</v>
      </c>
      <c r="U13" s="19">
        <f t="shared" si="10"/>
        <v>145205633.21867314</v>
      </c>
    </row>
    <row r="14" spans="1:22" x14ac:dyDescent="0.3">
      <c r="A14" s="64" t="s">
        <v>127</v>
      </c>
      <c r="B14" s="64" t="s">
        <v>128</v>
      </c>
      <c r="C14" s="65">
        <v>8818183.6363636367</v>
      </c>
      <c r="D14" s="65">
        <v>8778954.5454545468</v>
      </c>
      <c r="E14" s="65">
        <v>23370609.09090909</v>
      </c>
      <c r="F14" s="66">
        <f t="shared" si="0"/>
        <v>40967747.272727273</v>
      </c>
      <c r="G14" s="66">
        <f t="shared" si="1"/>
        <v>13655915.757575758</v>
      </c>
      <c r="H14" s="66">
        <f>G14*110%</f>
        <v>15021507.333333334</v>
      </c>
      <c r="I14" s="66">
        <f t="shared" si="3"/>
        <v>45064522</v>
      </c>
      <c r="J14" s="67">
        <f t="shared" si="2"/>
        <v>0.10000000000000009</v>
      </c>
      <c r="K14" s="68">
        <f t="shared" si="4"/>
        <v>13532889.489489488</v>
      </c>
      <c r="L14" s="68">
        <f t="shared" si="5"/>
        <v>40598668.468468465</v>
      </c>
      <c r="M14" s="69">
        <v>8818183.6363636367</v>
      </c>
      <c r="N14" s="69">
        <v>8778954.5454545468</v>
      </c>
      <c r="O14" s="69">
        <v>23370609.09090909</v>
      </c>
      <c r="P14" s="70">
        <f t="shared" si="6"/>
        <v>13655915.757575758</v>
      </c>
      <c r="Q14" s="71">
        <v>0.10000000000000009</v>
      </c>
      <c r="R14" s="69">
        <v>30000000</v>
      </c>
      <c r="S14" s="69">
        <f t="shared" si="8"/>
        <v>90000000</v>
      </c>
      <c r="T14" s="69">
        <f t="shared" si="9"/>
        <v>27027027.027027026</v>
      </c>
      <c r="U14" s="69">
        <f t="shared" si="10"/>
        <v>81081081.081081077</v>
      </c>
      <c r="V14" t="s">
        <v>201</v>
      </c>
    </row>
    <row r="15" spans="1:22" x14ac:dyDescent="0.3">
      <c r="A15" s="2" t="s">
        <v>154</v>
      </c>
      <c r="B15" s="2" t="s">
        <v>155</v>
      </c>
      <c r="C15" s="13">
        <v>104699587</v>
      </c>
      <c r="D15" s="13">
        <v>75068236</v>
      </c>
      <c r="E15" s="13">
        <v>133222952</v>
      </c>
      <c r="F15" s="7">
        <f t="shared" si="0"/>
        <v>312990775</v>
      </c>
      <c r="G15" s="8">
        <f t="shared" si="1"/>
        <v>104330258.33333333</v>
      </c>
      <c r="H15" s="9">
        <f>G15*115%</f>
        <v>119979797.08333331</v>
      </c>
      <c r="I15" s="9">
        <f t="shared" si="3"/>
        <v>359939391.24999994</v>
      </c>
      <c r="J15" s="11">
        <f t="shared" si="2"/>
        <v>0.14999999999999991</v>
      </c>
      <c r="K15" s="3">
        <f t="shared" si="4"/>
        <v>108089907.28228225</v>
      </c>
      <c r="L15" s="3">
        <f t="shared" si="5"/>
        <v>324269721.84684676</v>
      </c>
      <c r="M15" s="19">
        <v>104699587</v>
      </c>
      <c r="N15" s="19">
        <v>75068236</v>
      </c>
      <c r="O15" s="19">
        <v>133222952</v>
      </c>
      <c r="P15" s="22">
        <f t="shared" si="6"/>
        <v>104330258.33333333</v>
      </c>
      <c r="Q15" s="20">
        <v>0.14999999999999991</v>
      </c>
      <c r="R15" s="19">
        <f t="shared" si="7"/>
        <v>119979797.08333331</v>
      </c>
      <c r="S15" s="19">
        <f t="shared" si="8"/>
        <v>359939391.24999994</v>
      </c>
      <c r="T15" s="19">
        <f t="shared" si="9"/>
        <v>108089907.28228225</v>
      </c>
      <c r="U15" s="19">
        <f t="shared" si="10"/>
        <v>324269721.84684676</v>
      </c>
    </row>
    <row r="16" spans="1:22" x14ac:dyDescent="0.3">
      <c r="A16" s="5" t="s">
        <v>5</v>
      </c>
      <c r="B16" s="5"/>
      <c r="C16" s="4">
        <f>SUM(C6:C15)</f>
        <v>895981531.11999977</v>
      </c>
      <c r="D16" s="4">
        <f>SUM(D6:D15)</f>
        <v>735908641.46909046</v>
      </c>
      <c r="E16" s="4">
        <f>SUM(E6:E15)</f>
        <v>253167843</v>
      </c>
      <c r="F16" s="4">
        <f t="shared" ref="F16:I16" si="12">SUM(F6:F14)</f>
        <v>1572067240.5890903</v>
      </c>
      <c r="G16" s="4">
        <f t="shared" si="12"/>
        <v>646575278.38757551</v>
      </c>
      <c r="H16" s="4">
        <f t="shared" si="12"/>
        <v>771962920.47465134</v>
      </c>
      <c r="I16" s="4">
        <f t="shared" si="12"/>
        <v>2315888761.423954</v>
      </c>
      <c r="J16" s="12">
        <f t="shared" si="2"/>
        <v>0.19392582159925231</v>
      </c>
      <c r="K16" s="4">
        <f>SUM(K6:K14)</f>
        <v>695462090.51770389</v>
      </c>
      <c r="L16" s="4">
        <f>SUM(L6:L14)</f>
        <v>2086386271.5531113</v>
      </c>
    </row>
    <row r="20" spans="1:22" ht="18" x14ac:dyDescent="0.35">
      <c r="A20" s="16" t="s">
        <v>78</v>
      </c>
      <c r="C20" s="49">
        <v>2024</v>
      </c>
      <c r="D20" s="49"/>
      <c r="E20" s="10">
        <v>2025</v>
      </c>
      <c r="M20" s="52" t="s">
        <v>189</v>
      </c>
      <c r="N20" s="53"/>
      <c r="O20" s="53"/>
      <c r="P20" s="53"/>
      <c r="Q20" s="53"/>
      <c r="R20" s="53"/>
      <c r="S20" s="53"/>
      <c r="T20" s="53"/>
      <c r="U20" s="54"/>
    </row>
    <row r="21" spans="1:22" x14ac:dyDescent="0.3">
      <c r="A21" s="1" t="s">
        <v>0</v>
      </c>
      <c r="B21" s="1" t="s">
        <v>1</v>
      </c>
      <c r="C21" s="6" t="s">
        <v>2</v>
      </c>
      <c r="D21" s="6" t="s">
        <v>3</v>
      </c>
      <c r="E21" s="6" t="s">
        <v>4</v>
      </c>
      <c r="F21" s="6" t="s">
        <v>7</v>
      </c>
      <c r="G21" s="6" t="s">
        <v>8</v>
      </c>
      <c r="H21" s="6" t="s">
        <v>9</v>
      </c>
      <c r="I21" s="6" t="s">
        <v>11</v>
      </c>
      <c r="J21" s="6" t="s">
        <v>10</v>
      </c>
      <c r="K21" s="6" t="s">
        <v>12</v>
      </c>
      <c r="L21" s="6" t="s">
        <v>13</v>
      </c>
      <c r="M21" s="17" t="s">
        <v>2</v>
      </c>
      <c r="N21" s="17" t="s">
        <v>190</v>
      </c>
      <c r="O21" s="17" t="s">
        <v>4</v>
      </c>
      <c r="P21" s="17" t="s">
        <v>191</v>
      </c>
      <c r="Q21" s="18" t="s">
        <v>192</v>
      </c>
      <c r="R21" s="17" t="s">
        <v>193</v>
      </c>
      <c r="S21" s="17" t="s">
        <v>194</v>
      </c>
      <c r="T21" s="17" t="s">
        <v>195</v>
      </c>
      <c r="U21" s="17" t="s">
        <v>196</v>
      </c>
    </row>
    <row r="22" spans="1:22" x14ac:dyDescent="0.3">
      <c r="A22" s="2" t="s">
        <v>129</v>
      </c>
      <c r="B22" s="2" t="s">
        <v>130</v>
      </c>
      <c r="C22" s="13">
        <v>37290393.276363641</v>
      </c>
      <c r="D22" s="13">
        <v>66460703.454545453</v>
      </c>
      <c r="E22" s="13">
        <v>49324233.272727273</v>
      </c>
      <c r="F22" s="7">
        <f t="shared" ref="F22:F25" si="13">SUM(C22:E22)</f>
        <v>153075330.00363636</v>
      </c>
      <c r="G22" s="8">
        <f t="shared" ref="G22:G25" si="14">AVERAGE(C22:E22)</f>
        <v>51025110.00121212</v>
      </c>
      <c r="H22" s="9">
        <f>G22*120%</f>
        <v>61230132.00145454</v>
      </c>
      <c r="I22" s="9">
        <f>H22*3</f>
        <v>183690396.00436363</v>
      </c>
      <c r="J22" s="11">
        <f t="shared" ref="J22:J26" si="15">H22/G22-1</f>
        <v>0.19999999999999996</v>
      </c>
      <c r="K22" s="3">
        <f>H22/1.11</f>
        <v>55162281.082391471</v>
      </c>
      <c r="L22" s="3">
        <f>I22/1.11</f>
        <v>165486843.24717441</v>
      </c>
      <c r="M22" s="19">
        <v>36696393.276363641</v>
      </c>
      <c r="N22" s="19">
        <v>66460703.454545453</v>
      </c>
      <c r="O22" s="19">
        <v>49324233.272727273</v>
      </c>
      <c r="P22" s="22">
        <f>AVERAGE(M22:O22)</f>
        <v>50827110.00121212</v>
      </c>
      <c r="Q22" s="20">
        <v>0.19999999999999996</v>
      </c>
      <c r="R22" s="19">
        <f>P22+(P22*Q22)</f>
        <v>60992532.00145454</v>
      </c>
      <c r="S22" s="19">
        <f>R22*3</f>
        <v>182977596.00436363</v>
      </c>
      <c r="T22" s="19">
        <f>R22/1.11</f>
        <v>54948227.028337419</v>
      </c>
      <c r="U22" s="19">
        <f>S22/1.11</f>
        <v>164844681.08501226</v>
      </c>
    </row>
    <row r="23" spans="1:22" x14ac:dyDescent="0.3">
      <c r="A23" s="2" t="s">
        <v>131</v>
      </c>
      <c r="B23" s="2" t="s">
        <v>132</v>
      </c>
      <c r="C23" s="13">
        <v>40902695.909090921</v>
      </c>
      <c r="D23" s="13">
        <v>45788343.409090914</v>
      </c>
      <c r="E23" s="13">
        <v>21207499.318181816</v>
      </c>
      <c r="F23" s="7">
        <f t="shared" si="13"/>
        <v>107898538.63636366</v>
      </c>
      <c r="G23" s="8">
        <f t="shared" si="14"/>
        <v>35966179.545454554</v>
      </c>
      <c r="H23" s="9">
        <f t="shared" ref="H23:H25" si="16">G23*110%</f>
        <v>39562797.500000015</v>
      </c>
      <c r="I23" s="9">
        <f t="shared" ref="I23:I25" si="17">H23*3</f>
        <v>118688392.50000004</v>
      </c>
      <c r="J23" s="11">
        <f t="shared" si="15"/>
        <v>0.10000000000000009</v>
      </c>
      <c r="K23" s="3">
        <f t="shared" ref="K23:K25" si="18">H23/1.11</f>
        <v>35642159.909909919</v>
      </c>
      <c r="L23" s="3">
        <f t="shared" ref="L23:L25" si="19">I23/1.11</f>
        <v>106926479.72972976</v>
      </c>
      <c r="M23" s="19">
        <v>40902695.909090921</v>
      </c>
      <c r="N23" s="19">
        <v>45788343.409090914</v>
      </c>
      <c r="O23" s="19">
        <v>21207499.318181816</v>
      </c>
      <c r="P23" s="22">
        <f t="shared" ref="P23:P25" si="20">AVERAGE(M23:O23)</f>
        <v>35966179.545454554</v>
      </c>
      <c r="Q23" s="20">
        <v>0.10000000000000009</v>
      </c>
      <c r="R23" s="19">
        <f t="shared" ref="R23:R25" si="21">P23+(P23*Q23)</f>
        <v>39562797.500000015</v>
      </c>
      <c r="S23" s="19">
        <f t="shared" ref="S23:S25" si="22">R23*3</f>
        <v>118688392.50000004</v>
      </c>
      <c r="T23" s="19">
        <f t="shared" ref="T23:T25" si="23">R23/1.11</f>
        <v>35642159.909909919</v>
      </c>
      <c r="U23" s="19">
        <f t="shared" ref="U23:U25" si="24">S23/1.11</f>
        <v>106926479.72972976</v>
      </c>
    </row>
    <row r="24" spans="1:22" x14ac:dyDescent="0.3">
      <c r="A24" s="2" t="s">
        <v>133</v>
      </c>
      <c r="B24" s="2" t="s">
        <v>134</v>
      </c>
      <c r="C24" s="13">
        <v>24221750.454545457</v>
      </c>
      <c r="D24" s="13">
        <v>19263096.818181824</v>
      </c>
      <c r="E24" s="13">
        <v>17302960.500000004</v>
      </c>
      <c r="F24" s="7">
        <f t="shared" si="13"/>
        <v>60787807.772727281</v>
      </c>
      <c r="G24" s="8">
        <f t="shared" si="14"/>
        <v>20262602.590909094</v>
      </c>
      <c r="H24" s="9">
        <f t="shared" si="16"/>
        <v>22288862.850000005</v>
      </c>
      <c r="I24" s="9">
        <f t="shared" si="17"/>
        <v>66866588.550000012</v>
      </c>
      <c r="J24" s="11">
        <f t="shared" si="15"/>
        <v>0.10000000000000009</v>
      </c>
      <c r="K24" s="3">
        <f t="shared" si="18"/>
        <v>20080056.621621624</v>
      </c>
      <c r="L24" s="3">
        <f t="shared" si="19"/>
        <v>60240169.864864871</v>
      </c>
      <c r="M24" s="19">
        <v>24221750.454545457</v>
      </c>
      <c r="N24" s="19">
        <v>19263096.818181824</v>
      </c>
      <c r="O24" s="19">
        <v>17302960.500000004</v>
      </c>
      <c r="P24" s="22">
        <f t="shared" si="20"/>
        <v>20262602.590909094</v>
      </c>
      <c r="Q24" s="20">
        <v>0.10000000000000009</v>
      </c>
      <c r="R24" s="19">
        <f t="shared" si="21"/>
        <v>22288862.850000005</v>
      </c>
      <c r="S24" s="19">
        <f t="shared" si="22"/>
        <v>66866588.550000012</v>
      </c>
      <c r="T24" s="19">
        <f t="shared" si="23"/>
        <v>20080056.621621624</v>
      </c>
      <c r="U24" s="19">
        <f t="shared" si="24"/>
        <v>60240169.864864871</v>
      </c>
    </row>
    <row r="25" spans="1:22" s="44" customFormat="1" x14ac:dyDescent="0.3">
      <c r="A25" s="36" t="s">
        <v>135</v>
      </c>
      <c r="B25" s="36" t="s">
        <v>136</v>
      </c>
      <c r="C25" s="37"/>
      <c r="D25" s="37">
        <v>41793592.363636374</v>
      </c>
      <c r="E25" s="37"/>
      <c r="F25" s="38">
        <f t="shared" si="13"/>
        <v>41793592.363636374</v>
      </c>
      <c r="G25" s="38">
        <f t="shared" si="14"/>
        <v>41793592.363636374</v>
      </c>
      <c r="H25" s="38">
        <f t="shared" si="16"/>
        <v>45972951.600000016</v>
      </c>
      <c r="I25" s="38">
        <f t="shared" si="17"/>
        <v>137918854.80000004</v>
      </c>
      <c r="J25" s="39">
        <f t="shared" si="15"/>
        <v>0.10000000000000009</v>
      </c>
      <c r="K25" s="40">
        <f t="shared" si="18"/>
        <v>41417073.513513528</v>
      </c>
      <c r="L25" s="40">
        <f t="shared" si="19"/>
        <v>124251220.54054056</v>
      </c>
      <c r="M25" s="41">
        <v>0</v>
      </c>
      <c r="N25" s="41">
        <v>41793592.363636374</v>
      </c>
      <c r="O25" s="41">
        <v>0</v>
      </c>
      <c r="P25" s="42">
        <f t="shared" si="20"/>
        <v>13931197.454545459</v>
      </c>
      <c r="Q25" s="43">
        <v>0.19999999999999996</v>
      </c>
      <c r="R25" s="41">
        <f t="shared" si="21"/>
        <v>16717436.945454549</v>
      </c>
      <c r="S25" s="41">
        <f t="shared" si="22"/>
        <v>50152310.836363643</v>
      </c>
      <c r="T25" s="41">
        <f t="shared" si="23"/>
        <v>15060754.004914006</v>
      </c>
      <c r="U25" s="41">
        <f t="shared" si="24"/>
        <v>45182262.014742017</v>
      </c>
      <c r="V25" s="44" t="s">
        <v>200</v>
      </c>
    </row>
    <row r="26" spans="1:22" x14ac:dyDescent="0.3">
      <c r="A26" s="5" t="s">
        <v>5</v>
      </c>
      <c r="B26" s="5"/>
      <c r="C26" s="4">
        <f t="shared" ref="C26:I26" si="25">SUM(C22:C24)</f>
        <v>102414839.64000002</v>
      </c>
      <c r="D26" s="4">
        <f t="shared" si="25"/>
        <v>131512143.6818182</v>
      </c>
      <c r="E26" s="4">
        <f t="shared" si="25"/>
        <v>87834693.090909094</v>
      </c>
      <c r="F26" s="4">
        <f t="shared" si="25"/>
        <v>321761676.4127273</v>
      </c>
      <c r="G26" s="4">
        <f t="shared" si="25"/>
        <v>107253892.13757578</v>
      </c>
      <c r="H26" s="4">
        <f t="shared" si="25"/>
        <v>123081792.35145457</v>
      </c>
      <c r="I26" s="4">
        <f t="shared" si="25"/>
        <v>369245377.05436367</v>
      </c>
      <c r="J26" s="12">
        <f t="shared" si="15"/>
        <v>0.14757413366012084</v>
      </c>
      <c r="K26" s="4">
        <f>SUM(K22:K24)</f>
        <v>110884497.61392301</v>
      </c>
      <c r="L26" s="4">
        <f>SUM(L22:L24)</f>
        <v>332653492.84176904</v>
      </c>
    </row>
  </sheetData>
  <mergeCells count="5">
    <mergeCell ref="A1:L2"/>
    <mergeCell ref="C4:D4"/>
    <mergeCell ref="C20:D20"/>
    <mergeCell ref="M4:U4"/>
    <mergeCell ref="M20:U20"/>
  </mergeCells>
  <pageMargins left="0.25" right="0.25" top="0.75" bottom="0.75" header="0.3" footer="0.3"/>
  <pageSetup paperSize="9" scale="7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274A-14F5-49F1-87AB-52705D8E5252}">
  <sheetPr>
    <pageSetUpPr fitToPage="1"/>
  </sheetPr>
  <dimension ref="A1:V20"/>
  <sheetViews>
    <sheetView tabSelected="1" topLeftCell="O1" workbookViewId="0">
      <selection activeCell="M17" sqref="M17:U17"/>
    </sheetView>
  </sheetViews>
  <sheetFormatPr defaultRowHeight="14.4" x14ac:dyDescent="0.3"/>
  <cols>
    <col min="1" max="1" width="22.77734375" bestFit="1" customWidth="1"/>
    <col min="2" max="2" width="35.33203125" bestFit="1" customWidth="1"/>
    <col min="3" max="3" width="14.77734375" hidden="1" customWidth="1"/>
    <col min="4" max="5" width="13.77734375" hidden="1" customWidth="1"/>
    <col min="6" max="8" width="14.77734375" hidden="1" customWidth="1"/>
    <col min="9" max="9" width="19.109375" hidden="1" customWidth="1"/>
    <col min="10" max="10" width="10.6640625" hidden="1" customWidth="1"/>
    <col min="11" max="11" width="14.77734375" hidden="1" customWidth="1"/>
    <col min="12" max="12" width="19.33203125" hidden="1" customWidth="1"/>
    <col min="13" max="14" width="14.5546875" bestFit="1" customWidth="1"/>
    <col min="15" max="15" width="11" bestFit="1" customWidth="1"/>
    <col min="16" max="16" width="14.5546875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2" ht="14.55" customHeight="1" x14ac:dyDescent="0.3">
      <c r="A1" s="50" t="s">
        <v>137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22" ht="14.5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22" ht="18" x14ac:dyDescent="0.35">
      <c r="A4" s="16" t="s">
        <v>77</v>
      </c>
      <c r="C4" s="49">
        <v>2024</v>
      </c>
      <c r="D4" s="49"/>
      <c r="E4" s="10">
        <v>2025</v>
      </c>
      <c r="M4" s="52" t="s">
        <v>189</v>
      </c>
      <c r="N4" s="53"/>
      <c r="O4" s="53"/>
      <c r="P4" s="53"/>
      <c r="Q4" s="53"/>
      <c r="R4" s="53"/>
      <c r="S4" s="53"/>
      <c r="T4" s="53"/>
      <c r="U4" s="54"/>
    </row>
    <row r="5" spans="1:22" x14ac:dyDescent="0.3">
      <c r="A5" s="1" t="s">
        <v>0</v>
      </c>
      <c r="B5" s="1" t="s">
        <v>1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11</v>
      </c>
      <c r="J5" s="6" t="s">
        <v>10</v>
      </c>
      <c r="K5" s="6" t="s">
        <v>12</v>
      </c>
      <c r="L5" s="6" t="s">
        <v>13</v>
      </c>
      <c r="M5" s="17" t="s">
        <v>2</v>
      </c>
      <c r="N5" s="17" t="s">
        <v>190</v>
      </c>
      <c r="O5" s="17" t="s">
        <v>4</v>
      </c>
      <c r="P5" s="17" t="s">
        <v>191</v>
      </c>
      <c r="Q5" s="18" t="s">
        <v>192</v>
      </c>
      <c r="R5" s="17" t="s">
        <v>193</v>
      </c>
      <c r="S5" s="17" t="s">
        <v>194</v>
      </c>
      <c r="T5" s="17" t="s">
        <v>195</v>
      </c>
      <c r="U5" s="17" t="s">
        <v>196</v>
      </c>
    </row>
    <row r="6" spans="1:22" x14ac:dyDescent="0.3">
      <c r="A6" s="2" t="s">
        <v>140</v>
      </c>
      <c r="B6" s="2" t="s">
        <v>141</v>
      </c>
      <c r="C6" s="13">
        <v>24200713.636363637</v>
      </c>
      <c r="D6" s="13">
        <v>144386297.72727281</v>
      </c>
      <c r="E6" s="13">
        <v>169320580</v>
      </c>
      <c r="F6" s="7">
        <f t="shared" ref="F6:F12" si="0">SUM(C6:E6)</f>
        <v>337907591.36363643</v>
      </c>
      <c r="G6" s="8">
        <f t="shared" ref="G6:G12" si="1">AVERAGE(C6:E6)</f>
        <v>112635863.78787881</v>
      </c>
      <c r="H6" s="9">
        <f>G6*115%</f>
        <v>129531243.35606062</v>
      </c>
      <c r="I6" s="9">
        <f>H6*3</f>
        <v>388593730.06818187</v>
      </c>
      <c r="J6" s="11">
        <f t="shared" ref="J6:J13" si="2">H6/G6-1</f>
        <v>0.14999999999999991</v>
      </c>
      <c r="K6" s="3">
        <f>H6/1.11</f>
        <v>116694813.83428884</v>
      </c>
      <c r="L6" s="3">
        <f>I6/1.11</f>
        <v>350084441.50286651</v>
      </c>
      <c r="M6" s="19">
        <v>24200713.636363637</v>
      </c>
      <c r="N6" s="19">
        <v>144386297.72727281</v>
      </c>
      <c r="O6" s="19">
        <v>0</v>
      </c>
      <c r="P6" s="22">
        <f>AVERAGE(M6:O6)</f>
        <v>56195670.454545476</v>
      </c>
      <c r="Q6" s="20">
        <v>0.14999999999999991</v>
      </c>
      <c r="R6" s="19">
        <f>P6+(P6*Q6)</f>
        <v>64625021.022727296</v>
      </c>
      <c r="S6" s="19">
        <f>R6*3</f>
        <v>193875063.06818187</v>
      </c>
      <c r="T6" s="19">
        <f>R6/1.11</f>
        <v>58220739.660114676</v>
      </c>
      <c r="U6" s="19">
        <f>S6/1.11</f>
        <v>174662218.98034403</v>
      </c>
    </row>
    <row r="7" spans="1:22" x14ac:dyDescent="0.3">
      <c r="A7" s="2" t="s">
        <v>142</v>
      </c>
      <c r="B7" s="2" t="s">
        <v>143</v>
      </c>
      <c r="C7" s="13">
        <v>124033880.45454538</v>
      </c>
      <c r="D7" s="13">
        <v>104429312.72727269</v>
      </c>
      <c r="E7" s="13">
        <v>25190301.363636363</v>
      </c>
      <c r="F7" s="7">
        <f t="shared" si="0"/>
        <v>253653494.54545444</v>
      </c>
      <c r="G7" s="8">
        <f t="shared" si="1"/>
        <v>84551164.848484814</v>
      </c>
      <c r="H7" s="9">
        <f>G7*120%</f>
        <v>101461397.81818177</v>
      </c>
      <c r="I7" s="9">
        <f t="shared" ref="I7:I12" si="3">H7*3</f>
        <v>304384193.45454532</v>
      </c>
      <c r="J7" s="11">
        <f t="shared" si="2"/>
        <v>0.19999999999999996</v>
      </c>
      <c r="K7" s="3">
        <f t="shared" ref="K7:L12" si="4">H7/1.11</f>
        <v>91406664.701064646</v>
      </c>
      <c r="L7" s="3">
        <f t="shared" si="4"/>
        <v>274219994.10319394</v>
      </c>
      <c r="M7" s="19">
        <v>124033880.45454541</v>
      </c>
      <c r="N7" s="19">
        <v>104429312.72727269</v>
      </c>
      <c r="O7" s="19">
        <v>25190301.363636363</v>
      </c>
      <c r="P7" s="22">
        <f>AVERAGE(M7:O7)</f>
        <v>84551164.848484829</v>
      </c>
      <c r="Q7" s="20">
        <v>0.19999999999999996</v>
      </c>
      <c r="R7" s="19">
        <f>P7+(P7*Q7)</f>
        <v>101461397.81818178</v>
      </c>
      <c r="S7" s="19">
        <f>R7*3</f>
        <v>304384193.45454538</v>
      </c>
      <c r="T7" s="19">
        <f>R7/1.11</f>
        <v>91406664.701064661</v>
      </c>
      <c r="U7" s="19">
        <f>S7/1.11</f>
        <v>274219994.103194</v>
      </c>
    </row>
    <row r="8" spans="1:22" x14ac:dyDescent="0.3">
      <c r="A8" s="2" t="s">
        <v>144</v>
      </c>
      <c r="B8" s="2" t="s">
        <v>145</v>
      </c>
      <c r="C8" s="13">
        <v>45079925.909090921</v>
      </c>
      <c r="D8" s="13"/>
      <c r="E8" s="13">
        <v>96831105.545454532</v>
      </c>
      <c r="F8" s="7">
        <f t="shared" si="0"/>
        <v>141911031.45454544</v>
      </c>
      <c r="G8" s="8">
        <f t="shared" si="1"/>
        <v>70955515.727272719</v>
      </c>
      <c r="H8" s="9">
        <f t="shared" ref="H8:H12" si="5">G8*110%</f>
        <v>78051067.299999997</v>
      </c>
      <c r="I8" s="9">
        <f t="shared" si="3"/>
        <v>234153201.89999998</v>
      </c>
      <c r="J8" s="11">
        <f t="shared" si="2"/>
        <v>0.10000000000000009</v>
      </c>
      <c r="K8" s="3">
        <f t="shared" si="4"/>
        <v>70316276.846846834</v>
      </c>
      <c r="L8" s="3">
        <f t="shared" si="4"/>
        <v>210948830.54054049</v>
      </c>
      <c r="M8" s="19">
        <v>45079925.909090906</v>
      </c>
      <c r="N8" s="19">
        <v>0</v>
      </c>
      <c r="O8" s="19">
        <v>96831105.545454532</v>
      </c>
      <c r="P8" s="22">
        <f t="shared" ref="P8:P12" si="6">AVERAGE(M8:O8)</f>
        <v>47303677.151515149</v>
      </c>
      <c r="Q8" s="20">
        <v>0.10000000000000009</v>
      </c>
      <c r="R8" s="19">
        <f t="shared" ref="R8:R12" si="7">P8+(P8*Q8)</f>
        <v>52034044.866666667</v>
      </c>
      <c r="S8" s="19">
        <f t="shared" ref="S8:S12" si="8">R8*3</f>
        <v>156102134.59999999</v>
      </c>
      <c r="T8" s="19">
        <f t="shared" ref="T8:T12" si="9">R8/1.11</f>
        <v>46877517.897897892</v>
      </c>
      <c r="U8" s="19">
        <f t="shared" ref="U8:U12" si="10">S8/1.11</f>
        <v>140632553.69369367</v>
      </c>
    </row>
    <row r="9" spans="1:22" x14ac:dyDescent="0.3">
      <c r="A9" s="2" t="s">
        <v>146</v>
      </c>
      <c r="B9" s="2" t="s">
        <v>147</v>
      </c>
      <c r="C9" s="13">
        <v>33301217.168181825</v>
      </c>
      <c r="D9" s="13">
        <v>72518275.227272719</v>
      </c>
      <c r="E9" s="13">
        <v>33813857.454545461</v>
      </c>
      <c r="F9" s="7">
        <f t="shared" si="0"/>
        <v>139633349.84999999</v>
      </c>
      <c r="G9" s="8">
        <f t="shared" si="1"/>
        <v>46544449.949999996</v>
      </c>
      <c r="H9" s="9">
        <f>G9*120%</f>
        <v>55853339.93999999</v>
      </c>
      <c r="I9" s="9">
        <f t="shared" si="3"/>
        <v>167560019.81999996</v>
      </c>
      <c r="J9" s="11">
        <f t="shared" si="2"/>
        <v>0.19999999999999996</v>
      </c>
      <c r="K9" s="3">
        <f t="shared" si="4"/>
        <v>50318324.270270258</v>
      </c>
      <c r="L9" s="3">
        <f t="shared" si="4"/>
        <v>150954972.81081077</v>
      </c>
      <c r="M9" s="19">
        <v>33301217.168181822</v>
      </c>
      <c r="N9" s="19">
        <v>72518275.227272719</v>
      </c>
      <c r="O9" s="19">
        <v>33813857.454545461</v>
      </c>
      <c r="P9" s="22">
        <f t="shared" si="6"/>
        <v>46544449.949999996</v>
      </c>
      <c r="Q9" s="20">
        <v>0.19999999999999996</v>
      </c>
      <c r="R9" s="19">
        <f t="shared" si="7"/>
        <v>55853339.93999999</v>
      </c>
      <c r="S9" s="19">
        <f t="shared" si="8"/>
        <v>167560019.81999996</v>
      </c>
      <c r="T9" s="19">
        <f t="shared" si="9"/>
        <v>50318324.270270258</v>
      </c>
      <c r="U9" s="19">
        <f t="shared" si="10"/>
        <v>150954972.81081077</v>
      </c>
    </row>
    <row r="10" spans="1:22" x14ac:dyDescent="0.3">
      <c r="A10" s="2" t="s">
        <v>148</v>
      </c>
      <c r="B10" s="2" t="s">
        <v>149</v>
      </c>
      <c r="C10" s="13">
        <v>98151242.329090923</v>
      </c>
      <c r="D10" s="13">
        <v>-86882.727272727265</v>
      </c>
      <c r="E10" s="13">
        <v>33605321.63636364</v>
      </c>
      <c r="F10" s="7">
        <f t="shared" si="0"/>
        <v>131669681.23818183</v>
      </c>
      <c r="G10" s="8">
        <f t="shared" si="1"/>
        <v>43889893.74606061</v>
      </c>
      <c r="H10" s="9">
        <f t="shared" si="5"/>
        <v>48278883.120666675</v>
      </c>
      <c r="I10" s="9">
        <f t="shared" si="3"/>
        <v>144836649.36200002</v>
      </c>
      <c r="J10" s="11">
        <f t="shared" si="2"/>
        <v>0.10000000000000009</v>
      </c>
      <c r="K10" s="3">
        <f t="shared" si="4"/>
        <v>43494489.297897905</v>
      </c>
      <c r="L10" s="3">
        <f t="shared" si="4"/>
        <v>130483467.8936937</v>
      </c>
      <c r="M10" s="19">
        <v>98151242.329090923</v>
      </c>
      <c r="N10" s="19">
        <v>-86882.727272727265</v>
      </c>
      <c r="O10" s="19">
        <v>33605321.63636364</v>
      </c>
      <c r="P10" s="22">
        <f t="shared" si="6"/>
        <v>43889893.74606061</v>
      </c>
      <c r="Q10" s="20">
        <v>0.10000000000000009</v>
      </c>
      <c r="R10" s="19">
        <f t="shared" si="7"/>
        <v>48278883.120666675</v>
      </c>
      <c r="S10" s="19">
        <f t="shared" si="8"/>
        <v>144836649.36200002</v>
      </c>
      <c r="T10" s="19">
        <f t="shared" si="9"/>
        <v>43494489.297897905</v>
      </c>
      <c r="U10" s="19">
        <f t="shared" si="10"/>
        <v>130483467.8936937</v>
      </c>
    </row>
    <row r="11" spans="1:22" s="44" customFormat="1" x14ac:dyDescent="0.3">
      <c r="A11" s="36" t="s">
        <v>150</v>
      </c>
      <c r="B11" s="36" t="s">
        <v>151</v>
      </c>
      <c r="C11" s="37">
        <v>10484238.48954545</v>
      </c>
      <c r="D11" s="37">
        <v>18265290.000000004</v>
      </c>
      <c r="E11" s="37">
        <v>21779126.000000004</v>
      </c>
      <c r="F11" s="38">
        <f t="shared" si="0"/>
        <v>50528654.489545457</v>
      </c>
      <c r="G11" s="38">
        <f t="shared" si="1"/>
        <v>16842884.829848487</v>
      </c>
      <c r="H11" s="38">
        <f>G11*115%</f>
        <v>19369317.554325759</v>
      </c>
      <c r="I11" s="38">
        <f t="shared" si="3"/>
        <v>58107952.662977278</v>
      </c>
      <c r="J11" s="39">
        <f t="shared" si="2"/>
        <v>0.14999999999999991</v>
      </c>
      <c r="K11" s="40">
        <f t="shared" si="4"/>
        <v>17449835.634527709</v>
      </c>
      <c r="L11" s="40">
        <f t="shared" si="4"/>
        <v>52349506.903583132</v>
      </c>
      <c r="M11" s="41">
        <v>10484238.489545455</v>
      </c>
      <c r="N11" s="41">
        <v>18265290.000000004</v>
      </c>
      <c r="O11" s="41">
        <v>21779126.000000004</v>
      </c>
      <c r="P11" s="42">
        <f t="shared" si="6"/>
        <v>16842884.829848487</v>
      </c>
      <c r="Q11" s="43">
        <v>0.14999999999999991</v>
      </c>
      <c r="R11" s="41">
        <f t="shared" si="7"/>
        <v>19369317.554325759</v>
      </c>
      <c r="S11" s="41">
        <f t="shared" si="8"/>
        <v>58107952.662977278</v>
      </c>
      <c r="T11" s="41">
        <f t="shared" si="9"/>
        <v>17449835.634527709</v>
      </c>
      <c r="U11" s="41">
        <f t="shared" si="10"/>
        <v>52349506.903583132</v>
      </c>
      <c r="V11" s="44" t="s">
        <v>198</v>
      </c>
    </row>
    <row r="12" spans="1:22" s="44" customFormat="1" x14ac:dyDescent="0.3">
      <c r="A12" s="36" t="s">
        <v>152</v>
      </c>
      <c r="B12" s="36" t="s">
        <v>153</v>
      </c>
      <c r="C12" s="37">
        <v>25209893.181818184</v>
      </c>
      <c r="D12" s="37">
        <v>2225045.4545454546</v>
      </c>
      <c r="E12" s="37">
        <v>18788094.272727273</v>
      </c>
      <c r="F12" s="38">
        <f t="shared" si="0"/>
        <v>46223032.909090906</v>
      </c>
      <c r="G12" s="38">
        <f t="shared" si="1"/>
        <v>15407677.636363635</v>
      </c>
      <c r="H12" s="38">
        <f t="shared" si="5"/>
        <v>16948445.399999999</v>
      </c>
      <c r="I12" s="38">
        <f t="shared" si="3"/>
        <v>50845336.199999996</v>
      </c>
      <c r="J12" s="39">
        <f t="shared" si="2"/>
        <v>0.10000000000000009</v>
      </c>
      <c r="K12" s="40">
        <f t="shared" si="4"/>
        <v>15268869.729729727</v>
      </c>
      <c r="L12" s="40">
        <f t="shared" si="4"/>
        <v>45806609.189189181</v>
      </c>
      <c r="M12" s="41">
        <v>25209893.181818195</v>
      </c>
      <c r="N12" s="41">
        <v>2225045.4545454546</v>
      </c>
      <c r="O12" s="41">
        <v>18788094.272727273</v>
      </c>
      <c r="P12" s="42">
        <f t="shared" si="6"/>
        <v>15407677.63636364</v>
      </c>
      <c r="Q12" s="43">
        <v>0.10000000000000009</v>
      </c>
      <c r="R12" s="41">
        <f t="shared" si="7"/>
        <v>16948445.400000006</v>
      </c>
      <c r="S12" s="41">
        <f t="shared" si="8"/>
        <v>50845336.200000018</v>
      </c>
      <c r="T12" s="41">
        <f t="shared" si="9"/>
        <v>15268869.729729734</v>
      </c>
      <c r="U12" s="41">
        <f t="shared" si="10"/>
        <v>45806609.189189203</v>
      </c>
      <c r="V12" s="44" t="s">
        <v>198</v>
      </c>
    </row>
    <row r="13" spans="1:22" x14ac:dyDescent="0.3">
      <c r="A13" s="5" t="s">
        <v>5</v>
      </c>
      <c r="B13" s="5"/>
      <c r="C13" s="4">
        <f t="shared" ref="C13:I13" si="11">SUM(C6:C12)</f>
        <v>360461111.16863638</v>
      </c>
      <c r="D13" s="4">
        <f t="shared" si="11"/>
        <v>341737338.40909094</v>
      </c>
      <c r="E13" s="4">
        <f t="shared" si="11"/>
        <v>399328386.27272719</v>
      </c>
      <c r="F13" s="4">
        <f t="shared" si="11"/>
        <v>1101526835.8504546</v>
      </c>
      <c r="G13" s="4">
        <f t="shared" si="11"/>
        <v>390827450.52590907</v>
      </c>
      <c r="H13" s="4">
        <f t="shared" si="11"/>
        <v>449493694.48923481</v>
      </c>
      <c r="I13" s="4">
        <f t="shared" si="11"/>
        <v>1348481083.4677045</v>
      </c>
      <c r="J13" s="12">
        <f t="shared" si="2"/>
        <v>0.15010778768068289</v>
      </c>
      <c r="K13" s="4">
        <f>SUM(K6:K12)</f>
        <v>404949274.31462592</v>
      </c>
      <c r="L13" s="4">
        <f>SUM(L6:L12)</f>
        <v>1214847822.9438777</v>
      </c>
    </row>
    <row r="17" spans="1:22" ht="18" x14ac:dyDescent="0.35">
      <c r="A17" s="16" t="s">
        <v>78</v>
      </c>
      <c r="C17" s="49">
        <v>2024</v>
      </c>
      <c r="D17" s="49"/>
      <c r="E17" s="10">
        <v>2025</v>
      </c>
      <c r="M17" s="52" t="s">
        <v>189</v>
      </c>
      <c r="N17" s="53"/>
      <c r="O17" s="53"/>
      <c r="P17" s="53"/>
      <c r="Q17" s="53"/>
      <c r="R17" s="53"/>
      <c r="S17" s="53"/>
      <c r="T17" s="53"/>
      <c r="U17" s="54"/>
    </row>
    <row r="18" spans="1:22" ht="13.8" customHeight="1" x14ac:dyDescent="0.3">
      <c r="A18" s="1" t="s">
        <v>0</v>
      </c>
      <c r="B18" s="1" t="s">
        <v>1</v>
      </c>
      <c r="C18" s="6" t="s">
        <v>2</v>
      </c>
      <c r="D18" s="6" t="s">
        <v>3</v>
      </c>
      <c r="E18" s="6" t="s">
        <v>4</v>
      </c>
      <c r="F18" s="6" t="s">
        <v>7</v>
      </c>
      <c r="G18" s="6" t="s">
        <v>8</v>
      </c>
      <c r="H18" s="6" t="s">
        <v>9</v>
      </c>
      <c r="I18" s="6" t="s">
        <v>11</v>
      </c>
      <c r="J18" s="6" t="s">
        <v>10</v>
      </c>
      <c r="K18" s="6" t="s">
        <v>12</v>
      </c>
      <c r="L18" s="6" t="s">
        <v>13</v>
      </c>
      <c r="M18" s="17" t="s">
        <v>2</v>
      </c>
      <c r="N18" s="17" t="s">
        <v>190</v>
      </c>
      <c r="O18" s="17" t="s">
        <v>4</v>
      </c>
      <c r="P18" s="17" t="s">
        <v>191</v>
      </c>
      <c r="Q18" s="18" t="s">
        <v>192</v>
      </c>
      <c r="R18" s="17" t="s">
        <v>193</v>
      </c>
      <c r="S18" s="17" t="s">
        <v>194</v>
      </c>
      <c r="T18" s="17" t="s">
        <v>195</v>
      </c>
      <c r="U18" s="17" t="s">
        <v>196</v>
      </c>
    </row>
    <row r="19" spans="1:22" x14ac:dyDescent="0.3">
      <c r="A19" s="64" t="s">
        <v>138</v>
      </c>
      <c r="B19" s="64" t="s">
        <v>139</v>
      </c>
      <c r="C19" s="65">
        <v>19231556.590909097</v>
      </c>
      <c r="D19" s="65">
        <v>19058214.545454551</v>
      </c>
      <c r="E19" s="65">
        <v>17079720.954545457</v>
      </c>
      <c r="F19" s="66">
        <f t="shared" ref="F19" si="12">SUM(C19:E19)</f>
        <v>55369492.090909109</v>
      </c>
      <c r="G19" s="66">
        <f t="shared" ref="G19" si="13">AVERAGE(C19:E19)</f>
        <v>18456497.363636371</v>
      </c>
      <c r="H19" s="66">
        <f>G19*120%</f>
        <v>22147796.836363643</v>
      </c>
      <c r="I19" s="66">
        <f>H19*3</f>
        <v>66443390.50909093</v>
      </c>
      <c r="J19" s="67">
        <f t="shared" ref="J19:J20" si="14">H19/G19-1</f>
        <v>0.19999999999999996</v>
      </c>
      <c r="K19" s="68">
        <f>H19/1.11</f>
        <v>19952970.122850128</v>
      </c>
      <c r="L19" s="68">
        <f>I19/1.11</f>
        <v>59858910.368550383</v>
      </c>
      <c r="M19" s="69">
        <v>19231556.590909094</v>
      </c>
      <c r="N19" s="69">
        <v>19058214.545454551</v>
      </c>
      <c r="O19" s="69">
        <v>0</v>
      </c>
      <c r="P19" s="70">
        <f>AVERAGE(M19:O19)</f>
        <v>12763257.045454547</v>
      </c>
      <c r="Q19" s="67">
        <f>R19/P19-1</f>
        <v>0.17524860202843273</v>
      </c>
      <c r="R19" s="69">
        <v>15000000</v>
      </c>
      <c r="S19" s="69">
        <f>R19*3</f>
        <v>45000000</v>
      </c>
      <c r="T19" s="69">
        <f>R19/1.11</f>
        <v>13513513.513513513</v>
      </c>
      <c r="U19" s="69">
        <f>S19/1.11</f>
        <v>40540540.540540539</v>
      </c>
      <c r="V19" s="72" t="s">
        <v>199</v>
      </c>
    </row>
    <row r="20" spans="1:22" x14ac:dyDescent="0.3">
      <c r="A20" s="5" t="s">
        <v>5</v>
      </c>
      <c r="B20" s="5"/>
      <c r="C20" s="4">
        <f t="shared" ref="C20:I20" si="15">SUM(C19:C19)</f>
        <v>19231556.590909097</v>
      </c>
      <c r="D20" s="4">
        <f t="shared" si="15"/>
        <v>19058214.545454551</v>
      </c>
      <c r="E20" s="4">
        <f t="shared" si="15"/>
        <v>17079720.954545457</v>
      </c>
      <c r="F20" s="4">
        <f t="shared" si="15"/>
        <v>55369492.090909109</v>
      </c>
      <c r="G20" s="4">
        <f t="shared" si="15"/>
        <v>18456497.363636371</v>
      </c>
      <c r="H20" s="4">
        <f t="shared" si="15"/>
        <v>22147796.836363643</v>
      </c>
      <c r="I20" s="4">
        <f t="shared" si="15"/>
        <v>66443390.50909093</v>
      </c>
      <c r="J20" s="12">
        <f t="shared" si="14"/>
        <v>0.19999999999999996</v>
      </c>
      <c r="K20" s="4">
        <f>SUM(K19:K19)</f>
        <v>19952970.122850128</v>
      </c>
      <c r="L20" s="45">
        <f>SUM(L19:L19)</f>
        <v>59858910.368550383</v>
      </c>
      <c r="M20" s="46"/>
      <c r="N20" s="46"/>
      <c r="O20" s="46"/>
      <c r="P20" s="47"/>
      <c r="Q20" s="48"/>
      <c r="R20" s="46"/>
      <c r="S20" s="46"/>
      <c r="T20" s="46"/>
      <c r="U20" s="46"/>
    </row>
  </sheetData>
  <mergeCells count="5">
    <mergeCell ref="A1:L2"/>
    <mergeCell ref="C4:D4"/>
    <mergeCell ref="C17:D17"/>
    <mergeCell ref="M4:U4"/>
    <mergeCell ref="M17:U17"/>
  </mergeCells>
  <pageMargins left="0.25" right="0.25" top="0.75" bottom="0.75" header="0.3" footer="0.3"/>
  <pageSetup paperSize="9" scale="6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SURABAYA</vt:lpstr>
      <vt:lpstr>GRESIK</vt:lpstr>
      <vt:lpstr>SIDOARJO</vt:lpstr>
      <vt:lpstr>JOMBANG</vt:lpstr>
      <vt:lpstr>LAMONGAN</vt:lpstr>
      <vt:lpstr>MADURA</vt:lpstr>
      <vt:lpstr>GRESIK!Print_Area</vt:lpstr>
      <vt:lpstr>JOMBANG!Print_Area</vt:lpstr>
      <vt:lpstr>LAMONGAN!Print_Area</vt:lpstr>
      <vt:lpstr>MADURA!Print_Area</vt:lpstr>
      <vt:lpstr>SIDOARJO!Print_Area</vt:lpstr>
      <vt:lpstr>SURABAYA!Print_Area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2025-03-12T10:03:56Z</cp:lastPrinted>
  <dcterms:created xsi:type="dcterms:W3CDTF">2025-03-04T07:01:09Z</dcterms:created>
  <dcterms:modified xsi:type="dcterms:W3CDTF">2025-03-12T10:04:14Z</dcterms:modified>
</cp:coreProperties>
</file>