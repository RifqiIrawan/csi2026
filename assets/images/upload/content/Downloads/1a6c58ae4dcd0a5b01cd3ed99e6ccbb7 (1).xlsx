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FIN&amp;ACC\RETUR\CEK RETUR (ANDRE)\September (Cek draft NR)\"/>
    </mc:Choice>
  </mc:AlternateContent>
  <xr:revisionPtr revIDLastSave="0" documentId="13_ncr:9_{BB355BCC-814D-4DFA-AF80-C2AAD5A17F75}" xr6:coauthVersionLast="47" xr6:coauthVersionMax="47" xr10:uidLastSave="{00000000-0000-0000-0000-000000000000}"/>
  <bookViews>
    <workbookView xWindow="-110" yWindow="-110" windowWidth="19420" windowHeight="10300" xr2:uid="{1416868B-9C3F-4A6E-AA9C-DB7CCC91549E}"/>
  </bookViews>
  <sheets>
    <sheet name="DRAFT NOTA RETUR - 2025-09-22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2" i="2" l="1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143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</calcChain>
</file>

<file path=xl/sharedStrings.xml><?xml version="1.0" encoding="utf-8"?>
<sst xmlns="http://schemas.openxmlformats.org/spreadsheetml/2006/main" count="302" uniqueCount="158">
  <si>
    <t>REFERENSI</t>
  </si>
  <si>
    <t>NO</t>
  </si>
  <si>
    <t>Kode Barang</t>
  </si>
  <si>
    <t>Item Barang</t>
  </si>
  <si>
    <t>Qty</t>
  </si>
  <si>
    <t>Harga/Pcs</t>
  </si>
  <si>
    <t>Tgl Ref FP</t>
  </si>
  <si>
    <t>No Ref FP</t>
  </si>
  <si>
    <t>DPP</t>
  </si>
  <si>
    <t>PPN</t>
  </si>
  <si>
    <t>Total</t>
  </si>
  <si>
    <t>HANASUI WHITENING GOLD SERUM RENEW 20ML X 100</t>
  </si>
  <si>
    <t>010.006-24.45134126</t>
  </si>
  <si>
    <t>HANASUI VITAMIN C+COLLAGEN SERUM RENEW 20ML X 100</t>
  </si>
  <si>
    <t>SWANA BODY LOTION PEACH 100ML X 30</t>
  </si>
  <si>
    <t>010.006-24.45134018</t>
  </si>
  <si>
    <t>HANASUI ANTI ACNE SERUM RENEW 20ML X 100</t>
  </si>
  <si>
    <t>010.008-24.29736235</t>
  </si>
  <si>
    <t>HANASUI ADVANCE RETINOL SERUM 20ML X 100</t>
  </si>
  <si>
    <t>010.009-24.29411740</t>
  </si>
  <si>
    <t>HANASUI CERAMIDE PROBIOTICS MOISTURIZER GEL 30GR X 48</t>
  </si>
  <si>
    <t>HANASUI CERAMIDE PROBIOTICS PEELING GEL 100ML X 48</t>
  </si>
  <si>
    <t>HANASUI CERAMIDE PROBIOTICS CLEAR PAD 30PAD 80GR X 48</t>
  </si>
  <si>
    <t>010.009-24.29411883</t>
  </si>
  <si>
    <t>HANASUI POWER BARRIER SERUM 20ML X 48</t>
  </si>
  <si>
    <t>010.004-24.63749470</t>
  </si>
  <si>
    <t>HANASUI POWER PEELING SERUM 20ML X 48</t>
  </si>
  <si>
    <t>HANASUI POWER BRIGHT SERUM 20ML X 48</t>
  </si>
  <si>
    <t>HANASUI POWER BRIGHT EXPERT SERUM 20ML X 48</t>
  </si>
  <si>
    <t>010.008-24.29736141</t>
  </si>
  <si>
    <t>HANASUI POWER ACNE SERUM 20ML X 48</t>
  </si>
  <si>
    <t>010.008-24.29735623</t>
  </si>
  <si>
    <t>HANASUI POWER MINI PORE SERUM 20ML X 48</t>
  </si>
  <si>
    <t>010.009-24.29412193</t>
  </si>
  <si>
    <t>HANASUI POWER BAKUCHIOL SERUM 20ML X 48</t>
  </si>
  <si>
    <t>010.009-24.29411803</t>
  </si>
  <si>
    <t>HANASUI POWER POST ACNE SERUM 20ML X 48</t>
  </si>
  <si>
    <t>HANASUI MEN BRIGHT ACTIVE SERUM 20ML X 100</t>
  </si>
  <si>
    <t>HANASUI LIP SLEEPING SERUM STRW &amp; HONEY 12GR X 72</t>
  </si>
  <si>
    <t>HANASUI PROPOLIS SERUM 25ML X 24</t>
  </si>
  <si>
    <t>010.006-24.45134020</t>
  </si>
  <si>
    <t>HANASUI RICH NUTRITION SERUM 25ML X 24</t>
  </si>
  <si>
    <t>010.011-23.72029339</t>
  </si>
  <si>
    <t>HANASUI ACNE TREATMENT ESSENCE 100ML X 48</t>
  </si>
  <si>
    <t>010.004-24.63749740</t>
  </si>
  <si>
    <t>HANASUI FLAWLESS 10 NIGHT CREAM 15GR X 48</t>
  </si>
  <si>
    <t>HANASUI FLAWLESS 10 POWER ESSENCE 100ML X 48</t>
  </si>
  <si>
    <t>HANASUI ACNE TREATMENT DAY CREAM 15GR X 48</t>
  </si>
  <si>
    <t>010.006-24.45134207</t>
  </si>
  <si>
    <t>HANASUI ACNE TREATMENT NIGHT CREAM 15GR X 48</t>
  </si>
  <si>
    <t>010.004-24.63749674</t>
  </si>
  <si>
    <t>HANASUI BODY CARE PACKAGE 3PACK X 48</t>
  </si>
  <si>
    <t>HANASUI ACNE TREATMENT SPOT GEL 15ML X 48</t>
  </si>
  <si>
    <t>HANASUI COLLAGEN WATER SUNSCREEN SPF30 WITH HANGTAG 30GR X 48</t>
  </si>
  <si>
    <t>HANASUI COLLAGEN WATER SUNSCREEN SPF50 NEW HANGTAG 30GR X 48</t>
  </si>
  <si>
    <t>HANASUI NATURGO PEEL OFF MASK 10GR X 1000</t>
  </si>
  <si>
    <t>HANASUI ANTI AGING PEEL OFF MASK 10GR X 1000</t>
  </si>
  <si>
    <t>HANASUI EGG WHITE PEEL OFF MASK TUBE 80GR X 100</t>
  </si>
  <si>
    <t>HANASUI NATURGO PEEL OFF MASK TUBE 60GR X 48</t>
  </si>
  <si>
    <t>HANASUI MUD MASK JAPANESE FLOWER 7GR X 480</t>
  </si>
  <si>
    <t>010.008-24.29735825</t>
  </si>
  <si>
    <t>HANASUI MUD MASK KOREAN HERBAL 7GR X 480</t>
  </si>
  <si>
    <t>HANASUI MUD MASK ASIAN HERITAGE 7GR X 480</t>
  </si>
  <si>
    <t>010.006-24.45134019</t>
  </si>
  <si>
    <t>VICELL SKIN SOLUTION CREAM 60GR X 120</t>
  </si>
  <si>
    <t>HANASUI WHITE RICE SOAP 60GR X 240</t>
  </si>
  <si>
    <t>HANASUI BAMBOO CHARCOAL SOAP 60GR X 240</t>
  </si>
  <si>
    <t>HANASUI ALOE VERA SOAP 60GR X 240</t>
  </si>
  <si>
    <t>HANASUI COFFEE SOAP 60GR X 240</t>
  </si>
  <si>
    <t>HANASUI BODY SERUM GEL ALOE VERA 200ML X 24</t>
  </si>
  <si>
    <t>HANASUI BODY SERUM GEL VITAMIN C 200ML X 24</t>
  </si>
  <si>
    <t>HANASUI BODY SERUM GEL SAKURA 200ML X 24</t>
  </si>
  <si>
    <t>HANASUI LOTION MILKY 240ML X 48</t>
  </si>
  <si>
    <t>HANASUI PERFUME BODY LOTION PARIS 180ML X 24</t>
  </si>
  <si>
    <t>HANASUI PERFUME BODY LOTION SYDNEY 180ML X 24</t>
  </si>
  <si>
    <t>HANASUI PERFUME BODY LOTION TOKYO 180ML X 24</t>
  </si>
  <si>
    <t>BSH SLIMMING GEL 80GR X 100</t>
  </si>
  <si>
    <t>HANASUI LIP CREAM KISS 1 4GR X 72</t>
  </si>
  <si>
    <t>HANASUI LIP CREAM POSH 2 4GR X 72</t>
  </si>
  <si>
    <t>HANASUI LIP CREAM STAR 3 4GR X 72</t>
  </si>
  <si>
    <t>HANASUI LIP CREAM CHIC 4 4GR X 72</t>
  </si>
  <si>
    <t>HANASUI LIP CREAM CLASSY 5 4GR X 72</t>
  </si>
  <si>
    <t>HANASUI LIP CREAM RITZ 6 4GR X 72</t>
  </si>
  <si>
    <t>HANASUI LIP CREAM SPARK 7 4GR X 72</t>
  </si>
  <si>
    <t>HANASUI LIP CREAM FANCY 8 4GR X 72</t>
  </si>
  <si>
    <t>HANASUI LIP CREAM FAME 9 4GR X 72</t>
  </si>
  <si>
    <t>HANASUI LIP CREAM ALLURE 10 4GR X 72</t>
  </si>
  <si>
    <t>HANASUI LIP CREAM BRICK 11 4GR X 72</t>
  </si>
  <si>
    <t>HANASUI LIP CREAM AMAZE 12 4GR X 72</t>
  </si>
  <si>
    <t>HANASUI LIP CREAM ADORE 13 4GR X 72</t>
  </si>
  <si>
    <t>010.008-24.29736518</t>
  </si>
  <si>
    <t>HANASUI LIP CREAM DUSTY 14 4GR X 72</t>
  </si>
  <si>
    <t>HANASUI LIP CREAM GLAM 16 4GR X 72</t>
  </si>
  <si>
    <t>010.008-24.29736197</t>
  </si>
  <si>
    <t>HANASUI LIP CREAM FOREST BERRY 1 4GR X 72</t>
  </si>
  <si>
    <t>HANASUI LIP CREAM BROWN SUGAR 2 4GR X 72</t>
  </si>
  <si>
    <t>HANASUI LIP CREAM SALTED CARAMEL 3 4GR X 72</t>
  </si>
  <si>
    <t>HANASUI LIP CREAM PINK LAVA 04 4GR X 72</t>
  </si>
  <si>
    <t>HANASUI LIP CREAM CREAMY PEACH 05 4GR X 72</t>
  </si>
  <si>
    <t>HANASUI LIP CREAM HAZELNUT LATTE 06 4GR X 72</t>
  </si>
  <si>
    <t>HANASUI LIP CREAM MATCHALICIOUS 01 4GR X 72</t>
  </si>
  <si>
    <t>HANASUI LIP CREAM MATCHAMALLOW 02 4GR X 72</t>
  </si>
  <si>
    <t>HANASUI LIP CREAM MATCHACIANO 03 4GR X 72</t>
  </si>
  <si>
    <t>HANASUI LIP CREAM MATCHALOVER 04 4GR X 72</t>
  </si>
  <si>
    <t>HANASUI LIP CREAM MATCHABLEND 05 4GR X 72</t>
  </si>
  <si>
    <t>HANASUI LIP CREAM MATCHACHOCO 06 4GR X 72</t>
  </si>
  <si>
    <t>010.008-24.29736380</t>
  </si>
  <si>
    <t>HANASUI TINTDORABLE LIP STAIN RUBY 3 3.5GR X 72</t>
  </si>
  <si>
    <t>HANASUI TINTDORABLE LIP STAIN CHERRY 1 3.5GR X 72</t>
  </si>
  <si>
    <t>HANASUI TINTDORABLE LIP STAIN PEACHY 2 3.5GR X 72</t>
  </si>
  <si>
    <t>HANASUI TINTDORABLE LIP STAIN SWEET 4 3.5GR X 72</t>
  </si>
  <si>
    <t>HANASUI TINTDORABLE LIP STAIN CORAL 5 3.5GR X 72</t>
  </si>
  <si>
    <t>HANASUI TINTDORABLE LIP STAIN ROSY 8 3.5GR X 72</t>
  </si>
  <si>
    <t>HANASUI TINTDORABLE LIP STAIN DREAMY 9 3.5GR X 72</t>
  </si>
  <si>
    <t>HANASUI PERFECT CHEEK BLUSH &amp; GO PINK 2.5GR X 48</t>
  </si>
  <si>
    <t>HANASUI PERFECT CHEEK BLUSH &amp; GO PEACH 2.5GR X 48</t>
  </si>
  <si>
    <t>HANASUI PERFECT FIT SETTING POWDER LIGHT 1 12GR X 48</t>
  </si>
  <si>
    <t>HANASUI PERFECT FIT SETTING POWDER MEDIUM 2 12GR X 48</t>
  </si>
  <si>
    <t>HANASUI PERFECT FIT SETTING POWDER NATURAL 3 12GR X 48</t>
  </si>
  <si>
    <t>HANASUI PERFECT FIT SETTING POWDER TRANSLUCENT 4 12GR X 48</t>
  </si>
  <si>
    <t>HANASUI PERFECT FIT POWDER FOUNDATION NATURAL 2 12.5GR X 48</t>
  </si>
  <si>
    <t>HANASUI PERFECT FIT POWDER FOUNDATION MEDIUM 3 12.5GR X 48</t>
  </si>
  <si>
    <t>HANASUI PERFECT FIT POWDER FOUNDATION LIGHT 1 12.5GR X 48</t>
  </si>
  <si>
    <t>HANASUI PERFECT FIT POWDER FOUNDATION PORCELAIN 4 12.5GR X 48</t>
  </si>
  <si>
    <t>HANASUI PERFECT FIT POWDER FOUNDATION CLASSY IVORY 5 12.5GR X 48</t>
  </si>
  <si>
    <t>HANASUI PORELESS MATTIFYING PRIMER 20GR X 48</t>
  </si>
  <si>
    <t>HANASUI PERFECT COVER CONCEALER FAIR 01 4.5GR X 72</t>
  </si>
  <si>
    <t>HANASUI PERFECT COVER CONCEALER CARAMEL 03 4.5GR X 72</t>
  </si>
  <si>
    <t>HANASUI FIX &amp; GLOW SETTING SPRAY 60ML X 48</t>
  </si>
  <si>
    <t>HANASUI WATERPROOF MAKE UP REMOVER + COLLAGEN WATER 100 X 48</t>
  </si>
  <si>
    <t>HANASUI COLLAGEN MICELLAR CLEANSING WATER 100ML X 48</t>
  </si>
  <si>
    <t>HANASUI EYEBROWTIFUL PENCIL BLACK 1.6GR X 144</t>
  </si>
  <si>
    <t>HANASUI EYEMAZING EYESHADOW PALETTE PINK ANGEL 7.2GR X 48</t>
  </si>
  <si>
    <t>HANASUI EYEMAZING EYESHADOW PALETTE SUNSET DATE 7.2GR X 48</t>
  </si>
  <si>
    <t>HANASUI EYEMAZING EYESHADOW PALETTE MIDNIGHT QUEEN 7.2GR X 48</t>
  </si>
  <si>
    <t>HANASUI EYETRACTIVE LINER PEN 0.8ML X 144</t>
  </si>
  <si>
    <t>HANASUI EYEDORABLE MASCARA 8ML X 72</t>
  </si>
  <si>
    <t>SWANA MOONLIGHT EAU DE PARFUM 100ML X 48</t>
  </si>
  <si>
    <t>SWANA SKYDREAM EAU DE PARFUM 100ML X 48</t>
  </si>
  <si>
    <t>SWANA STARDUST EAU DE PARFUM 100ML X 48</t>
  </si>
  <si>
    <t>SWANA SUNSHINE EAU DE PARFUM 100ML X 48</t>
  </si>
  <si>
    <t>SWANA BODY LOTION POMEGRANATE 100ML X 30</t>
  </si>
  <si>
    <t>SWANA WHITENING &amp; SPOTLESS SERUM 20ML X 48</t>
  </si>
  <si>
    <t>SWANA ACNE FIGHTER SERUM 20ML X 48</t>
  </si>
  <si>
    <t>SWANA PORE MINIMIZER SERUM 20ML X 48</t>
  </si>
  <si>
    <t>HANASUI GLAZEDORABLE VINYL STAIN NOT TODAY 01 4GR X 72</t>
  </si>
  <si>
    <t>HANASUI GLAZEDORABLE VINYL STAIN THANK YOU 03 4GR X 72</t>
  </si>
  <si>
    <t>HANASUI GLAZEDORABLE VINYL STAIN BLESS ME 04 4GR X 72</t>
  </si>
  <si>
    <t>HANASUI GLAZEDORABLE VINYL STAIN SPEECHLESS 05 4GR X 72</t>
  </si>
  <si>
    <t>HANASUI MATTEDORABLE LIPSTICK NOONA 105 2GR X 72</t>
  </si>
  <si>
    <t>HANASUI MATTEDORABLE LIPSTICK PEONY 111 2GR X 72</t>
  </si>
  <si>
    <t>HANASUI MATTEDORABLE LIPSTICK TROPICAL 113 2GR X 72</t>
  </si>
  <si>
    <t>HANASUI MATTEDORABLE LIPSTICK RETRO 118 2GR X 72</t>
  </si>
  <si>
    <t>TOTAL</t>
  </si>
  <si>
    <t>04002500079800657</t>
  </si>
  <si>
    <t>Revisi harga (Ada diskon 6,5%)</t>
  </si>
  <si>
    <t>Harga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</si>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</sst>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6"/>
      <color theme="1"/>
      <name val="Aptos Narrow"/>
      <family val="2"/>
      <scheme val="minor"/>
    </font>
    <font>
      <sz val="6"/>
      <color rgb="FFFF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9D8F5"/>
        <bgColor indexed="64"/>
      </patternFill>
    </fill>
    <fill>
      <patternFill patternType="solid">
        <fgColor theme="9" tint="0.7999816888943144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3C3C3C"/>
      </left>
      <right style="medium">
        <color rgb="FF3C3C3C"/>
      </right>
      <top style="medium">
        <color rgb="FF3C3C3C"/>
      </top>
      <bottom style="medium">
        <color rgb="FF3C3C3C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3C3C3C"/>
      </right>
      <top style="medium">
        <color rgb="FF3C3C3C"/>
      </top>
      <bottom style="medium">
        <color rgb="FF3C3C3C"/>
      </bottom>
      <diagonal/>
    </border>
    <border>
      <left style="medium">
        <color rgb="FF3C3C3C"/>
      </left>
      <right style="medium">
        <color rgb="FF000000"/>
      </right>
      <top style="medium">
        <color rgb="FF3C3C3C"/>
      </top>
      <bottom style="medium">
        <color rgb="FF3C3C3C"/>
      </bottom>
      <diagonal/>
    </border>
    <border>
      <left style="medium">
        <color rgb="FF000000"/>
      </left>
      <right/>
      <top style="medium">
        <color rgb="FF3C3C3C"/>
      </top>
      <bottom style="medium">
        <color rgb="FF000000"/>
      </bottom>
      <diagonal/>
    </border>
    <border>
      <left/>
      <right/>
      <top style="medium">
        <color rgb="FF3C3C3C"/>
      </top>
      <bottom style="medium">
        <color rgb="FF000000"/>
      </bottom>
      <diagonal/>
    </border>
    <border>
      <left/>
      <right style="medium">
        <color rgb="FF3C3C3C"/>
      </right>
      <top style="medium">
        <color rgb="FF3C3C3C"/>
      </top>
      <bottom style="medium">
        <color rgb="FF000000"/>
      </bottom>
      <diagonal/>
    </border>
    <border>
      <left style="medium">
        <color rgb="FF3C3C3C"/>
      </left>
      <right style="medium">
        <color rgb="FF3C3C3C"/>
      </right>
      <top style="medium">
        <color rgb="FF3C3C3C"/>
      </top>
      <bottom style="medium">
        <color rgb="FF000000"/>
      </bottom>
      <diagonal/>
    </border>
    <border>
      <left style="medium">
        <color rgb="FF3C3C3C"/>
      </left>
      <right style="medium">
        <color rgb="FF000000"/>
      </right>
      <top style="medium">
        <color rgb="FF3C3C3C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3C3C3C"/>
      </left>
      <right/>
      <top/>
      <bottom/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18" fillId="0" borderId="0" xfId="0" applyFont="1" applyAlignment="1">
      <alignment horizontal="center"/>
    </xf>
    <xf numFmtId="0" fontId="20" fillId="33" borderId="10" xfId="0" applyFont="1" applyFill="1" applyBorder="1" applyAlignment="1">
      <alignment horizontal="center" wrapText="1"/>
    </xf>
    <xf numFmtId="0" fontId="18" fillId="0" borderId="10" xfId="0" applyFont="1" applyBorder="1" applyAlignment="1">
      <alignment wrapText="1"/>
    </xf>
    <xf numFmtId="4" fontId="18" fillId="0" borderId="10" xfId="0" applyNumberFormat="1" applyFont="1" applyBorder="1" applyAlignment="1">
      <alignment wrapText="1"/>
    </xf>
    <xf numFmtId="14" fontId="18" fillId="0" borderId="10" xfId="0" applyNumberFormat="1" applyFont="1" applyBorder="1" applyAlignment="1">
      <alignment wrapText="1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20" fillId="33" borderId="14" xfId="0" applyFont="1" applyFill="1" applyBorder="1" applyAlignment="1">
      <alignment horizontal="center" wrapText="1"/>
    </xf>
    <xf numFmtId="0" fontId="20" fillId="33" borderId="15" xfId="0" applyFont="1" applyFill="1" applyBorder="1" applyAlignment="1">
      <alignment horizontal="center" wrapText="1"/>
    </xf>
    <xf numFmtId="0" fontId="18" fillId="0" borderId="14" xfId="0" applyFont="1" applyBorder="1" applyAlignment="1">
      <alignment wrapText="1"/>
    </xf>
    <xf numFmtId="4" fontId="18" fillId="0" borderId="15" xfId="0" applyNumberFormat="1" applyFont="1" applyBorder="1" applyAlignment="1">
      <alignment wrapText="1"/>
    </xf>
    <xf numFmtId="4" fontId="20" fillId="0" borderId="19" xfId="0" applyNumberFormat="1" applyFont="1" applyBorder="1" applyAlignment="1">
      <alignment wrapText="1"/>
    </xf>
    <xf numFmtId="4" fontId="20" fillId="0" borderId="20" xfId="0" applyNumberFormat="1" applyFont="1" applyBorder="1" applyAlignment="1">
      <alignment wrapText="1"/>
    </xf>
    <xf numFmtId="0" fontId="20" fillId="0" borderId="16" xfId="0" applyFont="1" applyBorder="1" applyAlignment="1">
      <alignment wrapText="1"/>
    </xf>
    <xf numFmtId="0" fontId="20" fillId="0" borderId="17" xfId="0" applyFont="1" applyBorder="1" applyAlignment="1">
      <alignment wrapText="1"/>
    </xf>
    <xf numFmtId="0" fontId="20" fillId="0" borderId="18" xfId="0" applyFont="1" applyBorder="1" applyAlignment="1">
      <alignment wrapText="1"/>
    </xf>
    <xf numFmtId="0" fontId="18" fillId="0" borderId="10" xfId="0" quotePrefix="1" applyFont="1" applyBorder="1" applyAlignment="1">
      <alignment wrapText="1"/>
    </xf>
    <xf numFmtId="0" fontId="19" fillId="0" borderId="21" xfId="0" applyFont="1" applyBorder="1" applyAlignment="1">
      <alignment horizontal="center"/>
    </xf>
    <xf numFmtId="0" fontId="18" fillId="0" borderId="0" xfId="0" applyFont="1"/>
    <xf numFmtId="43" fontId="18" fillId="0" borderId="0" xfId="1" applyFont="1"/>
    <xf numFmtId="0" fontId="18" fillId="34" borderId="14" xfId="0" applyFont="1" applyFill="1" applyBorder="1" applyAlignment="1">
      <alignment wrapText="1"/>
    </xf>
    <xf numFmtId="0" fontId="18" fillId="34" borderId="10" xfId="0" applyFont="1" applyFill="1" applyBorder="1" applyAlignment="1">
      <alignment wrapText="1"/>
    </xf>
    <xf numFmtId="4" fontId="18" fillId="34" borderId="10" xfId="0" applyNumberFormat="1" applyFont="1" applyFill="1" applyBorder="1" applyAlignment="1">
      <alignment wrapText="1"/>
    </xf>
    <xf numFmtId="14" fontId="18" fillId="34" borderId="10" xfId="0" applyNumberFormat="1" applyFont="1" applyFill="1" applyBorder="1" applyAlignment="1">
      <alignment wrapText="1"/>
    </xf>
    <xf numFmtId="4" fontId="18" fillId="34" borderId="15" xfId="0" applyNumberFormat="1" applyFont="1" applyFill="1" applyBorder="1" applyAlignment="1">
      <alignment wrapText="1"/>
    </xf>
    <xf numFmtId="0" fontId="18" fillId="34" borderId="0" xfId="0" applyFont="1" applyFill="1"/>
    <xf numFmtId="4" fontId="18" fillId="34" borderId="0" xfId="0" applyNumberFormat="1" applyFont="1" applyFill="1"/>
    <xf numFmtId="0" fontId="20" fillId="33" borderId="22" xfId="0" applyFont="1" applyFill="1" applyBorder="1" applyAlignment="1">
      <alignment horizontal="center" wrapText="1"/>
    </xf>
    <xf numFmtId="0" fontId="20" fillId="33" borderId="0" xfId="0" applyFont="1" applyFill="1" applyBorder="1" applyAlignment="1">
      <alignment horizontal="center" wrapText="1"/>
    </xf>
    <xf numFmtId="43" fontId="21" fillId="34" borderId="0" xfId="1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0E512-5561-4580-A775-518AE9A63F30}">
  <dimension ref="A1:O144"/>
  <sheetViews>
    <sheetView showGridLines="0" tabSelected="1" topLeftCell="A86" zoomScaleNormal="100" workbookViewId="0">
      <selection activeCell="K22" sqref="K22"/>
    </sheetView>
  </sheetViews>
  <sheetFormatPr defaultRowHeight="14.5" x14ac:dyDescent="0.35"/>
  <cols>
    <col min="1" max="1" width="2.26953125" bestFit="1" customWidth="1"/>
    <col min="2" max="2" width="6.26953125" bestFit="1" customWidth="1"/>
    <col min="3" max="3" width="34.08984375" bestFit="1" customWidth="1"/>
    <col min="4" max="4" width="2.81640625" bestFit="1" customWidth="1"/>
    <col min="5" max="5" width="5.453125" bestFit="1" customWidth="1"/>
    <col min="6" max="6" width="5.7265625" bestFit="1" customWidth="1"/>
    <col min="7" max="7" width="10.26953125" bestFit="1" customWidth="1"/>
    <col min="8" max="8" width="7.453125" bestFit="1" customWidth="1"/>
    <col min="9" max="9" width="6.90625" bestFit="1" customWidth="1"/>
    <col min="10" max="10" width="7.453125" bestFit="1" customWidth="1"/>
    <col min="11" max="16384" width="8.7265625" style="20"/>
  </cols>
  <sheetData>
    <row r="1" spans="1:14" customFormat="1" ht="16.5" thickBot="1" x14ac:dyDescent="0.4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14" s="1" customFormat="1" ht="8.5" thickBot="1" x14ac:dyDescent="0.25">
      <c r="A2" s="6"/>
      <c r="B2" s="7"/>
      <c r="C2" s="7"/>
      <c r="D2" s="7"/>
      <c r="E2" s="7"/>
      <c r="F2" s="7"/>
      <c r="G2" s="7"/>
      <c r="H2" s="7"/>
      <c r="I2" s="7"/>
      <c r="J2" s="8"/>
    </row>
    <row r="3" spans="1:14" customFormat="1" ht="15" thickBot="1" x14ac:dyDescent="0.4">
      <c r="A3" s="9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10" t="s">
        <v>10</v>
      </c>
      <c r="K3" s="29" t="s">
        <v>156</v>
      </c>
      <c r="L3" s="30" t="s">
        <v>157</v>
      </c>
      <c r="M3" s="30" t="s">
        <v>4</v>
      </c>
      <c r="N3" s="30" t="s">
        <v>157</v>
      </c>
    </row>
    <row r="4" spans="1:14" ht="8.5" thickBot="1" x14ac:dyDescent="0.25">
      <c r="A4" s="11">
        <v>1</v>
      </c>
      <c r="B4" s="3">
        <v>1201010110</v>
      </c>
      <c r="C4" s="3" t="s">
        <v>11</v>
      </c>
      <c r="D4" s="3">
        <v>34</v>
      </c>
      <c r="E4" s="4">
        <v>14000</v>
      </c>
      <c r="F4" s="5">
        <v>45434</v>
      </c>
      <c r="G4" s="3" t="s">
        <v>12</v>
      </c>
      <c r="H4" s="4">
        <v>476000</v>
      </c>
      <c r="I4" s="4">
        <v>52360</v>
      </c>
      <c r="J4" s="12">
        <v>528360</v>
      </c>
      <c r="K4" s="21">
        <v>14000</v>
      </c>
      <c r="L4" s="20" t="b">
        <f>K4=E4</f>
        <v>1</v>
      </c>
      <c r="M4" s="20">
        <v>2100</v>
      </c>
      <c r="N4" s="20">
        <f t="shared" ref="N4:N67" si="0">M4-D4</f>
        <v>2066</v>
      </c>
    </row>
    <row r="5" spans="1:14" ht="8.5" thickBot="1" x14ac:dyDescent="0.25">
      <c r="A5" s="11">
        <v>2</v>
      </c>
      <c r="B5" s="3">
        <v>1201010111</v>
      </c>
      <c r="C5" s="3" t="s">
        <v>13</v>
      </c>
      <c r="D5" s="3">
        <v>10</v>
      </c>
      <c r="E5" s="4">
        <v>14000</v>
      </c>
      <c r="F5" s="5">
        <v>45434</v>
      </c>
      <c r="G5" s="3" t="s">
        <v>12</v>
      </c>
      <c r="H5" s="4">
        <v>140000</v>
      </c>
      <c r="I5" s="4">
        <v>15400</v>
      </c>
      <c r="J5" s="12">
        <v>155400</v>
      </c>
      <c r="K5" s="21">
        <v>14000</v>
      </c>
      <c r="L5" s="20" t="b">
        <f t="shared" ref="L5:L68" si="1">K5=E5</f>
        <v>1</v>
      </c>
      <c r="M5" s="20">
        <v>400</v>
      </c>
      <c r="N5" s="20">
        <f t="shared" si="0"/>
        <v>390</v>
      </c>
    </row>
    <row r="6" spans="1:14" ht="8.5" thickBot="1" x14ac:dyDescent="0.25">
      <c r="A6" s="11">
        <v>3</v>
      </c>
      <c r="B6" s="3">
        <v>1205020601</v>
      </c>
      <c r="C6" s="3" t="s">
        <v>14</v>
      </c>
      <c r="D6" s="3">
        <v>13</v>
      </c>
      <c r="E6" s="4">
        <v>8272.73</v>
      </c>
      <c r="F6" s="5">
        <v>45405</v>
      </c>
      <c r="G6" s="3" t="s">
        <v>15</v>
      </c>
      <c r="H6" s="4">
        <v>107545.49</v>
      </c>
      <c r="I6" s="4">
        <v>11830</v>
      </c>
      <c r="J6" s="12">
        <v>119375.49</v>
      </c>
      <c r="K6" s="21">
        <v>8272.73</v>
      </c>
      <c r="L6" s="20" t="b">
        <f t="shared" si="1"/>
        <v>1</v>
      </c>
      <c r="M6" s="20">
        <v>30</v>
      </c>
      <c r="N6" s="20">
        <f t="shared" si="0"/>
        <v>17</v>
      </c>
    </row>
    <row r="7" spans="1:14" ht="8.5" thickBot="1" x14ac:dyDescent="0.25">
      <c r="A7" s="11">
        <v>4</v>
      </c>
      <c r="B7" s="3">
        <v>1201010113</v>
      </c>
      <c r="C7" s="3" t="s">
        <v>16</v>
      </c>
      <c r="D7" s="3">
        <v>22</v>
      </c>
      <c r="E7" s="4">
        <v>12880</v>
      </c>
      <c r="F7" s="5">
        <v>45530</v>
      </c>
      <c r="G7" s="3" t="s">
        <v>17</v>
      </c>
      <c r="H7" s="4">
        <v>283360</v>
      </c>
      <c r="I7" s="4">
        <v>31169.599999999999</v>
      </c>
      <c r="J7" s="12">
        <v>314529.59999999998</v>
      </c>
      <c r="K7" s="21">
        <v>12880</v>
      </c>
      <c r="L7" s="20" t="b">
        <f t="shared" si="1"/>
        <v>1</v>
      </c>
      <c r="M7" s="20">
        <v>600</v>
      </c>
      <c r="N7" s="20">
        <f t="shared" si="0"/>
        <v>578</v>
      </c>
    </row>
    <row r="8" spans="1:14" ht="8.5" thickBot="1" x14ac:dyDescent="0.25">
      <c r="A8" s="11">
        <v>5</v>
      </c>
      <c r="B8" s="3">
        <v>1201010124</v>
      </c>
      <c r="C8" s="3" t="s">
        <v>18</v>
      </c>
      <c r="D8" s="3">
        <v>1</v>
      </c>
      <c r="E8" s="4">
        <v>12880</v>
      </c>
      <c r="F8" s="5">
        <v>45575</v>
      </c>
      <c r="G8" s="3" t="s">
        <v>19</v>
      </c>
      <c r="H8" s="4">
        <v>12880</v>
      </c>
      <c r="I8" s="4">
        <v>1416.8</v>
      </c>
      <c r="J8" s="12">
        <v>14296.8</v>
      </c>
      <c r="K8" s="21">
        <v>12880</v>
      </c>
      <c r="L8" s="20" t="b">
        <f t="shared" si="1"/>
        <v>1</v>
      </c>
      <c r="M8" s="20">
        <v>100</v>
      </c>
      <c r="N8" s="20">
        <f t="shared" si="0"/>
        <v>99</v>
      </c>
    </row>
    <row r="9" spans="1:14" ht="8.5" thickBot="1" x14ac:dyDescent="0.25">
      <c r="A9" s="11">
        <v>6</v>
      </c>
      <c r="B9" s="3">
        <v>1201010426</v>
      </c>
      <c r="C9" s="3" t="s">
        <v>20</v>
      </c>
      <c r="D9" s="3">
        <v>3</v>
      </c>
      <c r="E9" s="4">
        <v>23963.96</v>
      </c>
      <c r="F9" s="5">
        <v>45434</v>
      </c>
      <c r="G9" s="3" t="s">
        <v>12</v>
      </c>
      <c r="H9" s="4">
        <v>71891.88</v>
      </c>
      <c r="I9" s="4">
        <v>7908.11</v>
      </c>
      <c r="J9" s="12">
        <v>79799.990000000005</v>
      </c>
      <c r="K9" s="21">
        <v>23963.96</v>
      </c>
      <c r="L9" s="20" t="b">
        <f t="shared" si="1"/>
        <v>1</v>
      </c>
      <c r="M9" s="20">
        <v>768</v>
      </c>
      <c r="N9" s="20">
        <f t="shared" si="0"/>
        <v>765</v>
      </c>
    </row>
    <row r="10" spans="1:14" ht="8.5" thickBot="1" x14ac:dyDescent="0.25">
      <c r="A10" s="11">
        <v>7</v>
      </c>
      <c r="B10" s="3">
        <v>1201020122</v>
      </c>
      <c r="C10" s="3" t="s">
        <v>21</v>
      </c>
      <c r="D10" s="3">
        <v>1</v>
      </c>
      <c r="E10" s="4">
        <v>14504.51</v>
      </c>
      <c r="F10" s="5">
        <v>45530</v>
      </c>
      <c r="G10" s="3" t="s">
        <v>17</v>
      </c>
      <c r="H10" s="4">
        <v>14504.51</v>
      </c>
      <c r="I10" s="4">
        <v>1595.5</v>
      </c>
      <c r="J10" s="12">
        <v>16100.01</v>
      </c>
      <c r="K10" s="21">
        <v>14504.51</v>
      </c>
      <c r="L10" s="20" t="b">
        <f t="shared" si="1"/>
        <v>1</v>
      </c>
      <c r="M10" s="20">
        <v>144</v>
      </c>
      <c r="N10" s="20">
        <f t="shared" si="0"/>
        <v>143</v>
      </c>
    </row>
    <row r="11" spans="1:14" ht="8.5" thickBot="1" x14ac:dyDescent="0.25">
      <c r="A11" s="11">
        <v>8</v>
      </c>
      <c r="B11" s="3">
        <v>1201020802</v>
      </c>
      <c r="C11" s="3" t="s">
        <v>22</v>
      </c>
      <c r="D11" s="3">
        <v>145</v>
      </c>
      <c r="E11" s="4">
        <v>26108.11</v>
      </c>
      <c r="F11" s="5">
        <v>45589</v>
      </c>
      <c r="G11" s="3" t="s">
        <v>23</v>
      </c>
      <c r="H11" s="4">
        <v>3785675.95</v>
      </c>
      <c r="I11" s="4">
        <v>416424.35</v>
      </c>
      <c r="J11" s="12">
        <v>4202100.3</v>
      </c>
      <c r="K11" s="21">
        <v>26108.11</v>
      </c>
      <c r="L11" s="20" t="b">
        <f t="shared" si="1"/>
        <v>1</v>
      </c>
      <c r="M11" s="20">
        <v>960</v>
      </c>
      <c r="N11" s="20">
        <f t="shared" si="0"/>
        <v>815</v>
      </c>
    </row>
    <row r="12" spans="1:14" ht="8.5" thickBot="1" x14ac:dyDescent="0.25">
      <c r="A12" s="11">
        <v>9</v>
      </c>
      <c r="B12" s="3">
        <v>1201010115</v>
      </c>
      <c r="C12" s="3" t="s">
        <v>24</v>
      </c>
      <c r="D12" s="3">
        <v>12</v>
      </c>
      <c r="E12" s="4">
        <v>15765.77</v>
      </c>
      <c r="F12" s="5">
        <v>45310</v>
      </c>
      <c r="G12" s="3" t="s">
        <v>25</v>
      </c>
      <c r="H12" s="4">
        <v>189189.24</v>
      </c>
      <c r="I12" s="4">
        <v>20810.82</v>
      </c>
      <c r="J12" s="12">
        <v>210000.06</v>
      </c>
      <c r="K12" s="21">
        <v>15765.77</v>
      </c>
      <c r="L12" s="20" t="b">
        <f t="shared" si="1"/>
        <v>1</v>
      </c>
      <c r="M12" s="20">
        <v>480</v>
      </c>
      <c r="N12" s="20">
        <f t="shared" si="0"/>
        <v>468</v>
      </c>
    </row>
    <row r="13" spans="1:14" ht="8.5" thickBot="1" x14ac:dyDescent="0.25">
      <c r="A13" s="11">
        <v>10</v>
      </c>
      <c r="B13" s="3">
        <v>1201010116</v>
      </c>
      <c r="C13" s="3" t="s">
        <v>26</v>
      </c>
      <c r="D13" s="3">
        <v>8</v>
      </c>
      <c r="E13" s="4">
        <v>15765.77</v>
      </c>
      <c r="F13" s="5">
        <v>45310</v>
      </c>
      <c r="G13" s="3" t="s">
        <v>25</v>
      </c>
      <c r="H13" s="4">
        <v>126126.16</v>
      </c>
      <c r="I13" s="4">
        <v>13873.88</v>
      </c>
      <c r="J13" s="12">
        <v>140000.04</v>
      </c>
      <c r="K13" s="21">
        <v>15765.77</v>
      </c>
      <c r="L13" s="20" t="b">
        <f t="shared" si="1"/>
        <v>1</v>
      </c>
      <c r="M13" s="20">
        <v>480</v>
      </c>
      <c r="N13" s="20">
        <f t="shared" si="0"/>
        <v>472</v>
      </c>
    </row>
    <row r="14" spans="1:14" ht="8.5" thickBot="1" x14ac:dyDescent="0.25">
      <c r="A14" s="11">
        <v>11</v>
      </c>
      <c r="B14" s="3">
        <v>1201010117</v>
      </c>
      <c r="C14" s="3" t="s">
        <v>27</v>
      </c>
      <c r="D14" s="3">
        <v>83</v>
      </c>
      <c r="E14" s="4">
        <v>15765.77</v>
      </c>
      <c r="F14" s="5">
        <v>45310</v>
      </c>
      <c r="G14" s="3" t="s">
        <v>25</v>
      </c>
      <c r="H14" s="4">
        <v>1308558.9099999999</v>
      </c>
      <c r="I14" s="4">
        <v>143941.48000000001</v>
      </c>
      <c r="J14" s="12">
        <v>1452500.39</v>
      </c>
      <c r="K14" s="21">
        <v>15765.77</v>
      </c>
      <c r="L14" s="20" t="b">
        <f t="shared" si="1"/>
        <v>1</v>
      </c>
      <c r="M14" s="20">
        <v>240</v>
      </c>
      <c r="N14" s="20">
        <f t="shared" si="0"/>
        <v>157</v>
      </c>
    </row>
    <row r="15" spans="1:14" ht="8.5" thickBot="1" x14ac:dyDescent="0.25">
      <c r="A15" s="11">
        <v>12</v>
      </c>
      <c r="B15" s="3">
        <v>1201010118</v>
      </c>
      <c r="C15" s="3" t="s">
        <v>28</v>
      </c>
      <c r="D15" s="3">
        <v>8</v>
      </c>
      <c r="E15" s="4">
        <v>14504.51</v>
      </c>
      <c r="F15" s="5">
        <v>45517</v>
      </c>
      <c r="G15" s="3" t="s">
        <v>29</v>
      </c>
      <c r="H15" s="4">
        <v>116036.08</v>
      </c>
      <c r="I15" s="4">
        <v>12763.97</v>
      </c>
      <c r="J15" s="12">
        <v>128800.05</v>
      </c>
      <c r="K15" s="21">
        <v>14504.51</v>
      </c>
      <c r="L15" s="20" t="b">
        <f t="shared" si="1"/>
        <v>1</v>
      </c>
      <c r="M15" s="20">
        <v>720</v>
      </c>
      <c r="N15" s="20">
        <f t="shared" si="0"/>
        <v>712</v>
      </c>
    </row>
    <row r="16" spans="1:14" ht="8.5" thickBot="1" x14ac:dyDescent="0.25">
      <c r="A16" s="11">
        <v>13</v>
      </c>
      <c r="B16" s="3">
        <v>1201010119</v>
      </c>
      <c r="C16" s="3" t="s">
        <v>30</v>
      </c>
      <c r="D16" s="3">
        <v>13</v>
      </c>
      <c r="E16" s="4">
        <v>14504.51</v>
      </c>
      <c r="F16" s="5">
        <v>45469</v>
      </c>
      <c r="G16" s="3" t="s">
        <v>31</v>
      </c>
      <c r="H16" s="4">
        <v>188558.63</v>
      </c>
      <c r="I16" s="4">
        <v>20741.45</v>
      </c>
      <c r="J16" s="12">
        <v>209300.08</v>
      </c>
      <c r="K16" s="21">
        <v>14504.51</v>
      </c>
      <c r="L16" s="20" t="b">
        <f t="shared" si="1"/>
        <v>1</v>
      </c>
      <c r="M16" s="20">
        <v>96</v>
      </c>
      <c r="N16" s="20">
        <f t="shared" si="0"/>
        <v>83</v>
      </c>
    </row>
    <row r="17" spans="1:15" ht="8.5" thickBot="1" x14ac:dyDescent="0.25">
      <c r="A17" s="11">
        <v>14</v>
      </c>
      <c r="B17" s="3">
        <v>1201010120</v>
      </c>
      <c r="C17" s="3" t="s">
        <v>32</v>
      </c>
      <c r="D17" s="3">
        <v>7</v>
      </c>
      <c r="E17" s="4">
        <v>15765.77</v>
      </c>
      <c r="F17" s="5">
        <v>45614</v>
      </c>
      <c r="G17" s="3" t="s">
        <v>33</v>
      </c>
      <c r="H17" s="4">
        <v>110360.39</v>
      </c>
      <c r="I17" s="4">
        <v>12139.64</v>
      </c>
      <c r="J17" s="12">
        <v>122500.03</v>
      </c>
      <c r="K17" s="21">
        <v>15765.77</v>
      </c>
      <c r="L17" s="20" t="b">
        <f t="shared" si="1"/>
        <v>1</v>
      </c>
      <c r="M17" s="20">
        <v>144</v>
      </c>
      <c r="N17" s="20">
        <f t="shared" si="0"/>
        <v>137</v>
      </c>
    </row>
    <row r="18" spans="1:15" ht="8.5" thickBot="1" x14ac:dyDescent="0.25">
      <c r="A18" s="11">
        <v>15</v>
      </c>
      <c r="B18" s="3">
        <v>1201010121</v>
      </c>
      <c r="C18" s="3" t="s">
        <v>34</v>
      </c>
      <c r="D18" s="3">
        <v>12</v>
      </c>
      <c r="E18" s="4">
        <v>15608.11</v>
      </c>
      <c r="F18" s="5">
        <v>45581</v>
      </c>
      <c r="G18" s="3" t="s">
        <v>35</v>
      </c>
      <c r="H18" s="4">
        <v>187297.32</v>
      </c>
      <c r="I18" s="4">
        <v>20602.71</v>
      </c>
      <c r="J18" s="12">
        <v>207900.03</v>
      </c>
      <c r="K18" s="21">
        <v>15608.11</v>
      </c>
      <c r="L18" s="20" t="b">
        <f t="shared" si="1"/>
        <v>1</v>
      </c>
      <c r="M18" s="20">
        <v>240</v>
      </c>
      <c r="N18" s="20">
        <f t="shared" si="0"/>
        <v>228</v>
      </c>
    </row>
    <row r="19" spans="1:15" ht="8.5" thickBot="1" x14ac:dyDescent="0.25">
      <c r="A19" s="11">
        <v>16</v>
      </c>
      <c r="B19" s="3">
        <v>1201010122</v>
      </c>
      <c r="C19" s="3" t="s">
        <v>36</v>
      </c>
      <c r="D19" s="3">
        <v>10</v>
      </c>
      <c r="E19" s="4">
        <v>14504.51</v>
      </c>
      <c r="F19" s="5">
        <v>45589</v>
      </c>
      <c r="G19" s="3" t="s">
        <v>23</v>
      </c>
      <c r="H19" s="4">
        <v>145045.1</v>
      </c>
      <c r="I19" s="4">
        <v>15954.96</v>
      </c>
      <c r="J19" s="12">
        <v>161000.06</v>
      </c>
      <c r="K19" s="21">
        <v>14504.51</v>
      </c>
      <c r="L19" s="20" t="b">
        <f t="shared" si="1"/>
        <v>1</v>
      </c>
      <c r="M19" s="20">
        <v>96</v>
      </c>
      <c r="N19" s="20">
        <f t="shared" si="0"/>
        <v>86</v>
      </c>
    </row>
    <row r="20" spans="1:15" ht="8.5" thickBot="1" x14ac:dyDescent="0.25">
      <c r="A20" s="11">
        <v>17</v>
      </c>
      <c r="B20" s="3">
        <v>1201010109</v>
      </c>
      <c r="C20" s="3" t="s">
        <v>37</v>
      </c>
      <c r="D20" s="3">
        <v>71</v>
      </c>
      <c r="E20" s="4">
        <v>12880</v>
      </c>
      <c r="F20" s="5">
        <v>45517</v>
      </c>
      <c r="G20" s="3" t="s">
        <v>29</v>
      </c>
      <c r="H20" s="4">
        <v>914480</v>
      </c>
      <c r="I20" s="4">
        <v>100592.8</v>
      </c>
      <c r="J20" s="12">
        <v>1015072.8</v>
      </c>
      <c r="K20" s="21">
        <v>12880</v>
      </c>
      <c r="L20" s="20" t="b">
        <f t="shared" si="1"/>
        <v>1</v>
      </c>
      <c r="M20" s="20">
        <v>1000</v>
      </c>
      <c r="N20" s="20">
        <f t="shared" si="0"/>
        <v>929</v>
      </c>
    </row>
    <row r="21" spans="1:15" ht="8.5" thickBot="1" x14ac:dyDescent="0.25">
      <c r="A21" s="11">
        <v>18</v>
      </c>
      <c r="B21" s="3">
        <v>1201040301</v>
      </c>
      <c r="C21" s="3" t="s">
        <v>38</v>
      </c>
      <c r="D21" s="3">
        <v>28</v>
      </c>
      <c r="E21" s="4">
        <v>17010</v>
      </c>
      <c r="F21" s="5">
        <v>45581</v>
      </c>
      <c r="G21" s="3" t="s">
        <v>35</v>
      </c>
      <c r="H21" s="4">
        <v>476280</v>
      </c>
      <c r="I21" s="4">
        <v>52390.8</v>
      </c>
      <c r="J21" s="12">
        <v>528670.80000000005</v>
      </c>
      <c r="K21" s="21">
        <v>17010</v>
      </c>
      <c r="L21" s="20" t="b">
        <f t="shared" si="1"/>
        <v>1</v>
      </c>
      <c r="M21" s="20">
        <v>72</v>
      </c>
      <c r="N21" s="20">
        <f t="shared" si="0"/>
        <v>44</v>
      </c>
    </row>
    <row r="22" spans="1:15" s="27" customFormat="1" ht="8.5" thickBot="1" x14ac:dyDescent="0.25">
      <c r="A22" s="22">
        <v>19</v>
      </c>
      <c r="B22" s="23">
        <v>1201010106</v>
      </c>
      <c r="C22" s="23" t="s">
        <v>39</v>
      </c>
      <c r="D22" s="23">
        <v>245</v>
      </c>
      <c r="E22" s="24">
        <v>35000</v>
      </c>
      <c r="F22" s="25">
        <v>45406</v>
      </c>
      <c r="G22" s="23" t="s">
        <v>40</v>
      </c>
      <c r="H22" s="24">
        <v>8575000</v>
      </c>
      <c r="I22" s="24">
        <v>943250</v>
      </c>
      <c r="J22" s="26">
        <v>9518250</v>
      </c>
      <c r="K22" s="31">
        <v>32725</v>
      </c>
      <c r="L22" s="27" t="b">
        <f t="shared" si="1"/>
        <v>0</v>
      </c>
      <c r="M22" s="27">
        <v>249</v>
      </c>
      <c r="N22" s="27">
        <f t="shared" si="0"/>
        <v>4</v>
      </c>
      <c r="O22" s="27" t="s">
        <v>155</v>
      </c>
    </row>
    <row r="23" spans="1:15" ht="8.5" thickBot="1" x14ac:dyDescent="0.25">
      <c r="A23" s="11">
        <v>20</v>
      </c>
      <c r="B23" s="3">
        <v>1201010107</v>
      </c>
      <c r="C23" s="3" t="s">
        <v>41</v>
      </c>
      <c r="D23" s="3">
        <v>48</v>
      </c>
      <c r="E23" s="4">
        <v>35000</v>
      </c>
      <c r="F23" s="5">
        <v>45275</v>
      </c>
      <c r="G23" s="3" t="s">
        <v>42</v>
      </c>
      <c r="H23" s="4">
        <v>1680000</v>
      </c>
      <c r="I23" s="4">
        <v>184800</v>
      </c>
      <c r="J23" s="12">
        <v>1864800</v>
      </c>
      <c r="K23" s="21">
        <v>35000</v>
      </c>
      <c r="L23" s="20" t="b">
        <f t="shared" si="1"/>
        <v>1</v>
      </c>
      <c r="M23" s="20">
        <v>48</v>
      </c>
      <c r="N23" s="20">
        <f t="shared" si="0"/>
        <v>0</v>
      </c>
    </row>
    <row r="24" spans="1:15" ht="8.5" thickBot="1" x14ac:dyDescent="0.25">
      <c r="A24" s="11">
        <v>21</v>
      </c>
      <c r="B24" s="3">
        <v>1201010407</v>
      </c>
      <c r="C24" s="3" t="s">
        <v>43</v>
      </c>
      <c r="D24" s="3">
        <v>56</v>
      </c>
      <c r="E24" s="4">
        <v>15034.09</v>
      </c>
      <c r="F24" s="5">
        <v>45339</v>
      </c>
      <c r="G24" s="3" t="s">
        <v>44</v>
      </c>
      <c r="H24" s="4">
        <v>841909.04</v>
      </c>
      <c r="I24" s="4">
        <v>92609.99</v>
      </c>
      <c r="J24" s="12">
        <v>934519.03</v>
      </c>
      <c r="K24" s="21">
        <v>15034.09</v>
      </c>
      <c r="L24" s="20" t="b">
        <f t="shared" si="1"/>
        <v>1</v>
      </c>
      <c r="M24" s="20">
        <v>240</v>
      </c>
      <c r="N24" s="20">
        <f t="shared" si="0"/>
        <v>184</v>
      </c>
    </row>
    <row r="25" spans="1:15" ht="8.5" thickBot="1" x14ac:dyDescent="0.25">
      <c r="A25" s="11">
        <v>22</v>
      </c>
      <c r="B25" s="3">
        <v>1201010402</v>
      </c>
      <c r="C25" s="3" t="s">
        <v>45</v>
      </c>
      <c r="D25" s="3">
        <v>9</v>
      </c>
      <c r="E25" s="4">
        <v>18040.91</v>
      </c>
      <c r="F25" s="5">
        <v>45434</v>
      </c>
      <c r="G25" s="3" t="s">
        <v>12</v>
      </c>
      <c r="H25" s="4">
        <v>162368.19</v>
      </c>
      <c r="I25" s="4">
        <v>17860.5</v>
      </c>
      <c r="J25" s="12">
        <v>180228.69</v>
      </c>
      <c r="K25" s="21">
        <v>18040.91</v>
      </c>
      <c r="L25" s="20" t="b">
        <f t="shared" si="1"/>
        <v>1</v>
      </c>
      <c r="M25" s="20">
        <v>288</v>
      </c>
      <c r="N25" s="20">
        <f t="shared" si="0"/>
        <v>279</v>
      </c>
    </row>
    <row r="26" spans="1:15" ht="8.5" thickBot="1" x14ac:dyDescent="0.25">
      <c r="A26" s="11">
        <v>23</v>
      </c>
      <c r="B26" s="3">
        <v>1201010403</v>
      </c>
      <c r="C26" s="3" t="s">
        <v>46</v>
      </c>
      <c r="D26" s="3">
        <v>75</v>
      </c>
      <c r="E26" s="4">
        <v>15034.09</v>
      </c>
      <c r="F26" s="5">
        <v>45434</v>
      </c>
      <c r="G26" s="3" t="s">
        <v>12</v>
      </c>
      <c r="H26" s="4">
        <v>1127556.75</v>
      </c>
      <c r="I26" s="4">
        <v>124031.24</v>
      </c>
      <c r="J26" s="12">
        <v>1251587.99</v>
      </c>
      <c r="K26" s="21">
        <v>15034.09</v>
      </c>
      <c r="L26" s="20" t="b">
        <f t="shared" si="1"/>
        <v>1</v>
      </c>
      <c r="M26" s="20">
        <v>96</v>
      </c>
      <c r="N26" s="20">
        <f t="shared" si="0"/>
        <v>21</v>
      </c>
    </row>
    <row r="27" spans="1:15" ht="8.5" thickBot="1" x14ac:dyDescent="0.25">
      <c r="A27" s="11">
        <v>24</v>
      </c>
      <c r="B27" s="3">
        <v>1201010405</v>
      </c>
      <c r="C27" s="3" t="s">
        <v>47</v>
      </c>
      <c r="D27" s="3">
        <v>192</v>
      </c>
      <c r="E27" s="4">
        <v>18040.91</v>
      </c>
      <c r="F27" s="5">
        <v>45440</v>
      </c>
      <c r="G27" s="3" t="s">
        <v>48</v>
      </c>
      <c r="H27" s="4">
        <v>3463854.72</v>
      </c>
      <c r="I27" s="4">
        <v>381024.02</v>
      </c>
      <c r="J27" s="12">
        <v>3844878.74</v>
      </c>
      <c r="K27" s="21">
        <v>18040.91</v>
      </c>
      <c r="L27" s="20" t="b">
        <f t="shared" si="1"/>
        <v>1</v>
      </c>
      <c r="M27" s="20">
        <v>192</v>
      </c>
      <c r="N27" s="20">
        <f t="shared" si="0"/>
        <v>0</v>
      </c>
    </row>
    <row r="28" spans="1:15" ht="8.5" thickBot="1" x14ac:dyDescent="0.25">
      <c r="A28" s="11">
        <v>25</v>
      </c>
      <c r="B28" s="3">
        <v>1201010405</v>
      </c>
      <c r="C28" s="3" t="s">
        <v>47</v>
      </c>
      <c r="D28" s="3">
        <v>51</v>
      </c>
      <c r="E28" s="4">
        <v>18040.91</v>
      </c>
      <c r="F28" s="5">
        <v>45440</v>
      </c>
      <c r="G28" s="3" t="s">
        <v>48</v>
      </c>
      <c r="H28" s="4">
        <v>920086.41</v>
      </c>
      <c r="I28" s="4">
        <v>101209.51</v>
      </c>
      <c r="J28" s="12">
        <v>1021295.92</v>
      </c>
      <c r="K28" s="21">
        <v>18040.91</v>
      </c>
      <c r="L28" s="20" t="b">
        <f t="shared" si="1"/>
        <v>1</v>
      </c>
      <c r="M28" s="20">
        <v>192</v>
      </c>
      <c r="N28" s="20">
        <f t="shared" si="0"/>
        <v>141</v>
      </c>
    </row>
    <row r="29" spans="1:15" ht="8.5" thickBot="1" x14ac:dyDescent="0.25">
      <c r="A29" s="11">
        <v>26</v>
      </c>
      <c r="B29" s="3">
        <v>1201010406</v>
      </c>
      <c r="C29" s="3" t="s">
        <v>49</v>
      </c>
      <c r="D29" s="3">
        <v>347</v>
      </c>
      <c r="E29" s="4">
        <v>21381.82</v>
      </c>
      <c r="F29" s="5">
        <v>45334</v>
      </c>
      <c r="G29" s="3" t="s">
        <v>50</v>
      </c>
      <c r="H29" s="4">
        <v>7419491.54</v>
      </c>
      <c r="I29" s="4">
        <v>816144.07</v>
      </c>
      <c r="J29" s="12">
        <v>8235635.6100000003</v>
      </c>
      <c r="K29" s="21">
        <v>21381.82</v>
      </c>
      <c r="L29" s="20" t="b">
        <f t="shared" si="1"/>
        <v>1</v>
      </c>
      <c r="M29" s="20">
        <v>480</v>
      </c>
      <c r="N29" s="20">
        <f t="shared" si="0"/>
        <v>133</v>
      </c>
    </row>
    <row r="30" spans="1:15" ht="8.5" thickBot="1" x14ac:dyDescent="0.25">
      <c r="A30" s="11">
        <v>27</v>
      </c>
      <c r="B30" s="3">
        <v>1201010407</v>
      </c>
      <c r="C30" s="3" t="s">
        <v>43</v>
      </c>
      <c r="D30" s="3">
        <v>432</v>
      </c>
      <c r="E30" s="4">
        <v>15034.09</v>
      </c>
      <c r="F30" s="5">
        <v>45275</v>
      </c>
      <c r="G30" s="3" t="s">
        <v>42</v>
      </c>
      <c r="H30" s="4">
        <v>6494726.8799999999</v>
      </c>
      <c r="I30" s="4">
        <v>714419.96</v>
      </c>
      <c r="J30" s="12">
        <v>7209146.8399999999</v>
      </c>
      <c r="K30" s="21">
        <v>15034.09</v>
      </c>
      <c r="L30" s="20" t="b">
        <f t="shared" si="1"/>
        <v>1</v>
      </c>
      <c r="M30" s="20">
        <v>432</v>
      </c>
      <c r="N30" s="20">
        <f t="shared" si="0"/>
        <v>0</v>
      </c>
    </row>
    <row r="31" spans="1:15" ht="8.5" thickBot="1" x14ac:dyDescent="0.25">
      <c r="A31" s="11">
        <v>28</v>
      </c>
      <c r="B31" s="3">
        <v>1201020701</v>
      </c>
      <c r="C31" s="3" t="s">
        <v>51</v>
      </c>
      <c r="D31" s="3">
        <v>53</v>
      </c>
      <c r="E31" s="4">
        <v>20961.82</v>
      </c>
      <c r="F31" s="5">
        <v>45405</v>
      </c>
      <c r="G31" s="3" t="s">
        <v>15</v>
      </c>
      <c r="H31" s="4">
        <v>1110976.46</v>
      </c>
      <c r="I31" s="4">
        <v>122207.41</v>
      </c>
      <c r="J31" s="12">
        <v>1233183.8700000001</v>
      </c>
      <c r="K31" s="21">
        <v>20961.82</v>
      </c>
      <c r="L31" s="20" t="b">
        <f t="shared" si="1"/>
        <v>1</v>
      </c>
      <c r="M31" s="20">
        <v>96</v>
      </c>
      <c r="N31" s="20">
        <f t="shared" si="0"/>
        <v>43</v>
      </c>
    </row>
    <row r="32" spans="1:15" ht="8.5" thickBot="1" x14ac:dyDescent="0.25">
      <c r="A32" s="11">
        <v>29</v>
      </c>
      <c r="B32" s="3">
        <v>1201010409</v>
      </c>
      <c r="C32" s="3" t="s">
        <v>52</v>
      </c>
      <c r="D32" s="3">
        <v>144</v>
      </c>
      <c r="E32" s="4">
        <v>14700</v>
      </c>
      <c r="F32" s="5">
        <v>45275</v>
      </c>
      <c r="G32" s="3" t="s">
        <v>42</v>
      </c>
      <c r="H32" s="4">
        <v>2116800</v>
      </c>
      <c r="I32" s="4">
        <v>232848</v>
      </c>
      <c r="J32" s="12">
        <v>2349648</v>
      </c>
      <c r="K32" s="21">
        <v>14700</v>
      </c>
      <c r="L32" s="20" t="b">
        <f t="shared" si="1"/>
        <v>1</v>
      </c>
      <c r="M32" s="20">
        <v>144</v>
      </c>
      <c r="N32" s="20">
        <f t="shared" si="0"/>
        <v>0</v>
      </c>
    </row>
    <row r="33" spans="1:14" ht="8.5" thickBot="1" x14ac:dyDescent="0.25">
      <c r="A33" s="11">
        <v>30</v>
      </c>
      <c r="B33" s="3">
        <v>1201010604</v>
      </c>
      <c r="C33" s="3" t="s">
        <v>53</v>
      </c>
      <c r="D33" s="3">
        <v>13</v>
      </c>
      <c r="E33" s="4">
        <v>13243.24</v>
      </c>
      <c r="F33" s="5">
        <v>45434</v>
      </c>
      <c r="G33" s="3" t="s">
        <v>12</v>
      </c>
      <c r="H33" s="4">
        <v>172162.12</v>
      </c>
      <c r="I33" s="4">
        <v>18937.830000000002</v>
      </c>
      <c r="J33" s="12">
        <v>191099.95</v>
      </c>
      <c r="K33" s="21">
        <v>13243.24</v>
      </c>
      <c r="L33" s="20" t="b">
        <f t="shared" si="1"/>
        <v>1</v>
      </c>
      <c r="M33" s="20">
        <v>3216</v>
      </c>
      <c r="N33" s="20">
        <f t="shared" si="0"/>
        <v>3203</v>
      </c>
    </row>
    <row r="34" spans="1:14" ht="8.5" thickBot="1" x14ac:dyDescent="0.25">
      <c r="A34" s="11">
        <v>31</v>
      </c>
      <c r="B34" s="3">
        <v>1201010605</v>
      </c>
      <c r="C34" s="3" t="s">
        <v>54</v>
      </c>
      <c r="D34" s="3">
        <v>10</v>
      </c>
      <c r="E34" s="4">
        <v>20490.91</v>
      </c>
      <c r="F34" s="5">
        <v>45517</v>
      </c>
      <c r="G34" s="3" t="s">
        <v>29</v>
      </c>
      <c r="H34" s="4">
        <v>204909.1</v>
      </c>
      <c r="I34" s="4">
        <v>22540</v>
      </c>
      <c r="J34" s="12">
        <v>227449.1</v>
      </c>
      <c r="K34" s="21">
        <v>20490.91</v>
      </c>
      <c r="L34" s="20" t="b">
        <f t="shared" si="1"/>
        <v>1</v>
      </c>
      <c r="M34" s="20">
        <v>4224</v>
      </c>
      <c r="N34" s="20">
        <f t="shared" si="0"/>
        <v>4214</v>
      </c>
    </row>
    <row r="35" spans="1:14" ht="8.5" thickBot="1" x14ac:dyDescent="0.25">
      <c r="A35" s="11">
        <v>32</v>
      </c>
      <c r="B35" s="3">
        <v>1201010201</v>
      </c>
      <c r="C35" s="3" t="s">
        <v>55</v>
      </c>
      <c r="D35" s="3">
        <v>649</v>
      </c>
      <c r="E35" s="4">
        <v>1075.77</v>
      </c>
      <c r="F35" s="5">
        <v>45530</v>
      </c>
      <c r="G35" s="3" t="s">
        <v>17</v>
      </c>
      <c r="H35" s="4">
        <v>698174.73</v>
      </c>
      <c r="I35" s="4">
        <v>76799.22</v>
      </c>
      <c r="J35" s="12">
        <v>774973.95</v>
      </c>
      <c r="K35" s="21">
        <v>1075.77</v>
      </c>
      <c r="L35" s="20" t="b">
        <f t="shared" si="1"/>
        <v>1</v>
      </c>
      <c r="M35" s="20">
        <v>2000</v>
      </c>
      <c r="N35" s="20">
        <f t="shared" si="0"/>
        <v>1351</v>
      </c>
    </row>
    <row r="36" spans="1:14" ht="8.5" thickBot="1" x14ac:dyDescent="0.25">
      <c r="A36" s="11">
        <v>33</v>
      </c>
      <c r="B36" s="3">
        <v>1201010202</v>
      </c>
      <c r="C36" s="3" t="s">
        <v>56</v>
      </c>
      <c r="D36" s="3">
        <v>2123</v>
      </c>
      <c r="E36" s="4">
        <v>1169.32</v>
      </c>
      <c r="F36" s="5">
        <v>45334</v>
      </c>
      <c r="G36" s="3" t="s">
        <v>50</v>
      </c>
      <c r="H36" s="4">
        <v>2482466.36</v>
      </c>
      <c r="I36" s="4">
        <v>273071.3</v>
      </c>
      <c r="J36" s="12">
        <v>2755537.66</v>
      </c>
      <c r="K36" s="21">
        <v>1169.32</v>
      </c>
      <c r="L36" s="20" t="b">
        <f t="shared" si="1"/>
        <v>1</v>
      </c>
      <c r="M36" s="20">
        <v>10000</v>
      </c>
      <c r="N36" s="20">
        <f t="shared" si="0"/>
        <v>7877</v>
      </c>
    </row>
    <row r="37" spans="1:14" ht="8.5" thickBot="1" x14ac:dyDescent="0.25">
      <c r="A37" s="11">
        <v>34</v>
      </c>
      <c r="B37" s="3">
        <v>1201010206</v>
      </c>
      <c r="C37" s="3" t="s">
        <v>57</v>
      </c>
      <c r="D37" s="3">
        <v>16</v>
      </c>
      <c r="E37" s="4">
        <v>8790.6</v>
      </c>
      <c r="F37" s="5">
        <v>45575</v>
      </c>
      <c r="G37" s="3" t="s">
        <v>19</v>
      </c>
      <c r="H37" s="4">
        <v>140649.60000000001</v>
      </c>
      <c r="I37" s="4">
        <v>15471.46</v>
      </c>
      <c r="J37" s="12">
        <v>156121.06</v>
      </c>
      <c r="K37" s="21">
        <v>8790.6</v>
      </c>
      <c r="L37" s="20" t="b">
        <f t="shared" si="1"/>
        <v>1</v>
      </c>
      <c r="M37" s="20">
        <v>300</v>
      </c>
      <c r="N37" s="20">
        <f t="shared" si="0"/>
        <v>284</v>
      </c>
    </row>
    <row r="38" spans="1:14" ht="8.5" thickBot="1" x14ac:dyDescent="0.25">
      <c r="A38" s="11">
        <v>35</v>
      </c>
      <c r="B38" s="3">
        <v>1201010207</v>
      </c>
      <c r="C38" s="3" t="s">
        <v>58</v>
      </c>
      <c r="D38" s="3">
        <v>20</v>
      </c>
      <c r="E38" s="4">
        <v>11987.18</v>
      </c>
      <c r="F38" s="5">
        <v>45530</v>
      </c>
      <c r="G38" s="3" t="s">
        <v>17</v>
      </c>
      <c r="H38" s="4">
        <v>239743.6</v>
      </c>
      <c r="I38" s="4">
        <v>26371.8</v>
      </c>
      <c r="J38" s="12">
        <v>266115.40000000002</v>
      </c>
      <c r="K38" s="21">
        <v>11987.18</v>
      </c>
      <c r="L38" s="20" t="b">
        <f t="shared" si="1"/>
        <v>1</v>
      </c>
      <c r="M38" s="20">
        <v>816</v>
      </c>
      <c r="N38" s="20">
        <f t="shared" si="0"/>
        <v>796</v>
      </c>
    </row>
    <row r="39" spans="1:14" ht="8.5" thickBot="1" x14ac:dyDescent="0.25">
      <c r="A39" s="11">
        <v>36</v>
      </c>
      <c r="B39" s="3">
        <v>1201010411</v>
      </c>
      <c r="C39" s="3" t="s">
        <v>59</v>
      </c>
      <c r="D39" s="3">
        <v>326</v>
      </c>
      <c r="E39" s="4">
        <v>1645.4</v>
      </c>
      <c r="F39" s="5">
        <v>45488</v>
      </c>
      <c r="G39" s="3" t="s">
        <v>60</v>
      </c>
      <c r="H39" s="4">
        <v>536400.4</v>
      </c>
      <c r="I39" s="4">
        <v>59004.04</v>
      </c>
      <c r="J39" s="12">
        <v>595404.43999999994</v>
      </c>
      <c r="K39" s="21">
        <v>1645.4</v>
      </c>
      <c r="L39" s="20" t="b">
        <f t="shared" si="1"/>
        <v>1</v>
      </c>
      <c r="M39" s="20">
        <v>480</v>
      </c>
      <c r="N39" s="20">
        <f t="shared" si="0"/>
        <v>154</v>
      </c>
    </row>
    <row r="40" spans="1:14" ht="8.5" thickBot="1" x14ac:dyDescent="0.25">
      <c r="A40" s="11">
        <v>37</v>
      </c>
      <c r="B40" s="3">
        <v>1201010412</v>
      </c>
      <c r="C40" s="3" t="s">
        <v>61</v>
      </c>
      <c r="D40" s="3">
        <v>480</v>
      </c>
      <c r="E40" s="4">
        <v>1670.46</v>
      </c>
      <c r="F40" s="5">
        <v>45310</v>
      </c>
      <c r="G40" s="3" t="s">
        <v>25</v>
      </c>
      <c r="H40" s="4">
        <v>801820.8</v>
      </c>
      <c r="I40" s="4">
        <v>88200.29</v>
      </c>
      <c r="J40" s="12">
        <v>890021.09</v>
      </c>
      <c r="K40" s="21">
        <v>1670.46</v>
      </c>
      <c r="L40" s="20" t="b">
        <f t="shared" si="1"/>
        <v>1</v>
      </c>
      <c r="M40" s="20">
        <v>480</v>
      </c>
      <c r="N40" s="20">
        <f t="shared" si="0"/>
        <v>0</v>
      </c>
    </row>
    <row r="41" spans="1:14" ht="8.5" thickBot="1" x14ac:dyDescent="0.25">
      <c r="A41" s="11">
        <v>38</v>
      </c>
      <c r="B41" s="3">
        <v>1201010413</v>
      </c>
      <c r="C41" s="3" t="s">
        <v>62</v>
      </c>
      <c r="D41" s="3">
        <v>908</v>
      </c>
      <c r="E41" s="4">
        <v>1670.46</v>
      </c>
      <c r="F41" s="5">
        <v>45406</v>
      </c>
      <c r="G41" s="3" t="s">
        <v>63</v>
      </c>
      <c r="H41" s="4">
        <v>1516777.68</v>
      </c>
      <c r="I41" s="4">
        <v>166845.54</v>
      </c>
      <c r="J41" s="12">
        <v>1683623.22</v>
      </c>
      <c r="K41" s="21">
        <v>1670.46</v>
      </c>
      <c r="L41" s="20" t="b">
        <f t="shared" si="1"/>
        <v>1</v>
      </c>
      <c r="M41" s="20">
        <v>908</v>
      </c>
      <c r="N41" s="20">
        <f t="shared" si="0"/>
        <v>0</v>
      </c>
    </row>
    <row r="42" spans="1:14" ht="8.5" thickBot="1" x14ac:dyDescent="0.25">
      <c r="A42" s="11">
        <v>39</v>
      </c>
      <c r="B42" s="3">
        <v>1202020501</v>
      </c>
      <c r="C42" s="3" t="s">
        <v>64</v>
      </c>
      <c r="D42" s="3">
        <v>13</v>
      </c>
      <c r="E42" s="4">
        <v>11846.87</v>
      </c>
      <c r="F42" s="5">
        <v>45488</v>
      </c>
      <c r="G42" s="3" t="s">
        <v>60</v>
      </c>
      <c r="H42" s="4">
        <v>154009.31</v>
      </c>
      <c r="I42" s="4">
        <v>16941.02</v>
      </c>
      <c r="J42" s="12">
        <v>170950.33</v>
      </c>
      <c r="K42" s="21">
        <v>11846.87</v>
      </c>
      <c r="L42" s="20" t="b">
        <f t="shared" si="1"/>
        <v>1</v>
      </c>
      <c r="M42" s="20">
        <v>240</v>
      </c>
      <c r="N42" s="20">
        <f t="shared" si="0"/>
        <v>227</v>
      </c>
    </row>
    <row r="43" spans="1:14" ht="8.5" thickBot="1" x14ac:dyDescent="0.25">
      <c r="A43" s="11">
        <v>40</v>
      </c>
      <c r="B43" s="3">
        <v>1201070103</v>
      </c>
      <c r="C43" s="3" t="s">
        <v>65</v>
      </c>
      <c r="D43" s="3">
        <v>138</v>
      </c>
      <c r="E43" s="4">
        <v>4830</v>
      </c>
      <c r="F43" s="5">
        <v>45589</v>
      </c>
      <c r="G43" s="3" t="s">
        <v>23</v>
      </c>
      <c r="H43" s="4">
        <v>666540</v>
      </c>
      <c r="I43" s="4">
        <v>73319.399999999994</v>
      </c>
      <c r="J43" s="12">
        <v>739859.4</v>
      </c>
      <c r="K43" s="21">
        <v>4830</v>
      </c>
      <c r="L43" s="20" t="b">
        <f t="shared" si="1"/>
        <v>1</v>
      </c>
      <c r="M43" s="20">
        <v>720</v>
      </c>
      <c r="N43" s="20">
        <f t="shared" si="0"/>
        <v>582</v>
      </c>
    </row>
    <row r="44" spans="1:14" ht="8.5" thickBot="1" x14ac:dyDescent="0.25">
      <c r="A44" s="11">
        <v>41</v>
      </c>
      <c r="B44" s="3">
        <v>1201070104</v>
      </c>
      <c r="C44" s="3" t="s">
        <v>66</v>
      </c>
      <c r="D44" s="3">
        <v>18</v>
      </c>
      <c r="E44" s="4">
        <v>5250</v>
      </c>
      <c r="F44" s="5">
        <v>45434</v>
      </c>
      <c r="G44" s="3" t="s">
        <v>12</v>
      </c>
      <c r="H44" s="4">
        <v>94500</v>
      </c>
      <c r="I44" s="4">
        <v>10395</v>
      </c>
      <c r="J44" s="12">
        <v>104895</v>
      </c>
      <c r="K44" s="21">
        <v>5250</v>
      </c>
      <c r="L44" s="20" t="b">
        <f t="shared" si="1"/>
        <v>1</v>
      </c>
      <c r="M44" s="20">
        <v>480</v>
      </c>
      <c r="N44" s="20">
        <f t="shared" si="0"/>
        <v>462</v>
      </c>
    </row>
    <row r="45" spans="1:14" ht="8.5" thickBot="1" x14ac:dyDescent="0.25">
      <c r="A45" s="11">
        <v>42</v>
      </c>
      <c r="B45" s="3">
        <v>1201070105</v>
      </c>
      <c r="C45" s="3" t="s">
        <v>67</v>
      </c>
      <c r="D45" s="3">
        <v>8</v>
      </c>
      <c r="E45" s="4">
        <v>4830</v>
      </c>
      <c r="F45" s="5">
        <v>45589</v>
      </c>
      <c r="G45" s="3" t="s">
        <v>23</v>
      </c>
      <c r="H45" s="4">
        <v>38640</v>
      </c>
      <c r="I45" s="4">
        <v>4250.3999999999996</v>
      </c>
      <c r="J45" s="12">
        <v>42890.400000000001</v>
      </c>
      <c r="K45" s="21">
        <v>4830</v>
      </c>
      <c r="L45" s="20" t="b">
        <f t="shared" si="1"/>
        <v>1</v>
      </c>
      <c r="M45" s="20">
        <v>480</v>
      </c>
      <c r="N45" s="20">
        <f t="shared" si="0"/>
        <v>472</v>
      </c>
    </row>
    <row r="46" spans="1:14" ht="8.5" thickBot="1" x14ac:dyDescent="0.25">
      <c r="A46" s="11">
        <v>43</v>
      </c>
      <c r="B46" s="3">
        <v>1201070106</v>
      </c>
      <c r="C46" s="3" t="s">
        <v>68</v>
      </c>
      <c r="D46" s="3">
        <v>108</v>
      </c>
      <c r="E46" s="4">
        <v>4830</v>
      </c>
      <c r="F46" s="5">
        <v>45517</v>
      </c>
      <c r="G46" s="3" t="s">
        <v>29</v>
      </c>
      <c r="H46" s="4">
        <v>521640</v>
      </c>
      <c r="I46" s="4">
        <v>57380.4</v>
      </c>
      <c r="J46" s="12">
        <v>579020.4</v>
      </c>
      <c r="K46" s="21">
        <v>4830</v>
      </c>
      <c r="L46" s="20" t="b">
        <f t="shared" si="1"/>
        <v>1</v>
      </c>
      <c r="M46" s="20">
        <v>480</v>
      </c>
      <c r="N46" s="20">
        <f t="shared" si="0"/>
        <v>372</v>
      </c>
    </row>
    <row r="47" spans="1:14" ht="8.5" thickBot="1" x14ac:dyDescent="0.25">
      <c r="A47" s="11">
        <v>44</v>
      </c>
      <c r="B47" s="3">
        <v>1201020201</v>
      </c>
      <c r="C47" s="3" t="s">
        <v>69</v>
      </c>
      <c r="D47" s="3">
        <v>17</v>
      </c>
      <c r="E47" s="4">
        <v>14446.1</v>
      </c>
      <c r="F47" s="5">
        <v>45530</v>
      </c>
      <c r="G47" s="3" t="s">
        <v>17</v>
      </c>
      <c r="H47" s="4">
        <v>245583.7</v>
      </c>
      <c r="I47" s="4">
        <v>27014.21</v>
      </c>
      <c r="J47" s="12">
        <v>272597.90999999997</v>
      </c>
      <c r="K47" s="21">
        <v>14446.1</v>
      </c>
      <c r="L47" s="20" t="b">
        <f t="shared" si="1"/>
        <v>1</v>
      </c>
      <c r="M47" s="20">
        <v>48</v>
      </c>
      <c r="N47" s="20">
        <f t="shared" si="0"/>
        <v>31</v>
      </c>
    </row>
    <row r="48" spans="1:14" ht="8.5" thickBot="1" x14ac:dyDescent="0.25">
      <c r="A48" s="11">
        <v>45</v>
      </c>
      <c r="B48" s="3">
        <v>1201020202</v>
      </c>
      <c r="C48" s="3" t="s">
        <v>70</v>
      </c>
      <c r="D48" s="3">
        <v>40</v>
      </c>
      <c r="E48" s="4">
        <v>15702.28</v>
      </c>
      <c r="F48" s="5">
        <v>45434</v>
      </c>
      <c r="G48" s="3" t="s">
        <v>12</v>
      </c>
      <c r="H48" s="4">
        <v>628091.19999999995</v>
      </c>
      <c r="I48" s="4">
        <v>69090.03</v>
      </c>
      <c r="J48" s="12">
        <v>697181.23</v>
      </c>
      <c r="K48" s="21">
        <v>15702.28</v>
      </c>
      <c r="L48" s="20" t="b">
        <f t="shared" si="1"/>
        <v>1</v>
      </c>
      <c r="M48" s="20">
        <v>48</v>
      </c>
      <c r="N48" s="20">
        <f t="shared" si="0"/>
        <v>8</v>
      </c>
    </row>
    <row r="49" spans="1:15" ht="8.5" thickBot="1" x14ac:dyDescent="0.25">
      <c r="A49" s="11">
        <v>46</v>
      </c>
      <c r="B49" s="3">
        <v>1201020203</v>
      </c>
      <c r="C49" s="3" t="s">
        <v>71</v>
      </c>
      <c r="D49" s="3">
        <v>15</v>
      </c>
      <c r="E49" s="4">
        <v>14446.1</v>
      </c>
      <c r="F49" s="5">
        <v>45530</v>
      </c>
      <c r="G49" s="3" t="s">
        <v>17</v>
      </c>
      <c r="H49" s="4">
        <v>216691.5</v>
      </c>
      <c r="I49" s="4">
        <v>23836.07</v>
      </c>
      <c r="J49" s="12">
        <v>240527.57</v>
      </c>
      <c r="K49" s="21">
        <v>14446.1</v>
      </c>
      <c r="L49" s="20" t="b">
        <f t="shared" si="1"/>
        <v>1</v>
      </c>
      <c r="M49" s="20">
        <v>48</v>
      </c>
      <c r="N49" s="20">
        <f t="shared" si="0"/>
        <v>33</v>
      </c>
    </row>
    <row r="50" spans="1:15" ht="8.5" thickBot="1" x14ac:dyDescent="0.25">
      <c r="A50" s="11">
        <v>47</v>
      </c>
      <c r="B50" s="3">
        <v>1201020603</v>
      </c>
      <c r="C50" s="3" t="s">
        <v>72</v>
      </c>
      <c r="D50" s="3">
        <v>13</v>
      </c>
      <c r="E50" s="4">
        <v>10626</v>
      </c>
      <c r="F50" s="5">
        <v>45530</v>
      </c>
      <c r="G50" s="3" t="s">
        <v>17</v>
      </c>
      <c r="H50" s="4">
        <v>138138</v>
      </c>
      <c r="I50" s="4">
        <v>15195.18</v>
      </c>
      <c r="J50" s="12">
        <v>153333.18</v>
      </c>
      <c r="K50" s="21">
        <v>10626</v>
      </c>
      <c r="L50" s="20" t="b">
        <f t="shared" si="1"/>
        <v>1</v>
      </c>
      <c r="M50" s="20">
        <v>288</v>
      </c>
      <c r="N50" s="20">
        <f t="shared" si="0"/>
        <v>275</v>
      </c>
    </row>
    <row r="51" spans="1:15" ht="8.5" thickBot="1" x14ac:dyDescent="0.25">
      <c r="A51" s="11">
        <v>48</v>
      </c>
      <c r="B51" s="3">
        <v>1201020604</v>
      </c>
      <c r="C51" s="3" t="s">
        <v>73</v>
      </c>
      <c r="D51" s="3">
        <v>20</v>
      </c>
      <c r="E51" s="4">
        <v>14365.91</v>
      </c>
      <c r="F51" s="5">
        <v>45434</v>
      </c>
      <c r="G51" s="3" t="s">
        <v>12</v>
      </c>
      <c r="H51" s="4">
        <v>287318.2</v>
      </c>
      <c r="I51" s="4">
        <v>31605</v>
      </c>
      <c r="J51" s="12">
        <v>318923.2</v>
      </c>
      <c r="K51" s="21">
        <v>14365.91</v>
      </c>
      <c r="L51" s="20" t="b">
        <f t="shared" si="1"/>
        <v>1</v>
      </c>
      <c r="M51" s="20">
        <v>336</v>
      </c>
      <c r="N51" s="20">
        <f t="shared" si="0"/>
        <v>316</v>
      </c>
    </row>
    <row r="52" spans="1:15" ht="8.5" thickBot="1" x14ac:dyDescent="0.25">
      <c r="A52" s="11">
        <v>49</v>
      </c>
      <c r="B52" s="3">
        <v>1201020605</v>
      </c>
      <c r="C52" s="3" t="s">
        <v>74</v>
      </c>
      <c r="D52" s="3">
        <v>27</v>
      </c>
      <c r="E52" s="4">
        <v>14365.91</v>
      </c>
      <c r="F52" s="5">
        <v>45434</v>
      </c>
      <c r="G52" s="3" t="s">
        <v>12</v>
      </c>
      <c r="H52" s="4">
        <v>387879.57</v>
      </c>
      <c r="I52" s="4">
        <v>42666.75</v>
      </c>
      <c r="J52" s="12">
        <v>430546.32</v>
      </c>
      <c r="K52" s="21">
        <v>14365.91</v>
      </c>
      <c r="L52" s="20" t="b">
        <f t="shared" si="1"/>
        <v>1</v>
      </c>
      <c r="M52" s="20">
        <v>144</v>
      </c>
      <c r="N52" s="20">
        <f t="shared" si="0"/>
        <v>117</v>
      </c>
    </row>
    <row r="53" spans="1:15" ht="8.5" thickBot="1" x14ac:dyDescent="0.25">
      <c r="A53" s="11">
        <v>50</v>
      </c>
      <c r="B53" s="3">
        <v>1201020606</v>
      </c>
      <c r="C53" s="3" t="s">
        <v>75</v>
      </c>
      <c r="D53" s="3">
        <v>11</v>
      </c>
      <c r="E53" s="4">
        <v>14365.91</v>
      </c>
      <c r="F53" s="5">
        <v>45434</v>
      </c>
      <c r="G53" s="3" t="s">
        <v>12</v>
      </c>
      <c r="H53" s="4">
        <v>158025.01</v>
      </c>
      <c r="I53" s="4">
        <v>17382.75</v>
      </c>
      <c r="J53" s="12">
        <v>175407.76</v>
      </c>
      <c r="K53" s="21">
        <v>14365.91</v>
      </c>
      <c r="L53" s="20" t="b">
        <f t="shared" si="1"/>
        <v>1</v>
      </c>
      <c r="M53" s="20">
        <v>168</v>
      </c>
      <c r="N53" s="20">
        <f t="shared" si="0"/>
        <v>157</v>
      </c>
    </row>
    <row r="54" spans="1:15" ht="8.5" thickBot="1" x14ac:dyDescent="0.25">
      <c r="A54" s="11">
        <v>51</v>
      </c>
      <c r="B54" s="3">
        <v>1201020701</v>
      </c>
      <c r="C54" s="3" t="s">
        <v>51</v>
      </c>
      <c r="D54" s="3">
        <v>48</v>
      </c>
      <c r="E54" s="4">
        <v>20961.82</v>
      </c>
      <c r="F54" s="5">
        <v>45405</v>
      </c>
      <c r="G54" s="3" t="s">
        <v>15</v>
      </c>
      <c r="H54" s="4">
        <v>1006167.36</v>
      </c>
      <c r="I54" s="4">
        <v>110678.41</v>
      </c>
      <c r="J54" s="12">
        <v>1116845.77</v>
      </c>
      <c r="K54" s="21">
        <v>20961.82</v>
      </c>
      <c r="L54" s="20" t="b">
        <f t="shared" si="1"/>
        <v>1</v>
      </c>
      <c r="M54" s="20">
        <v>96</v>
      </c>
      <c r="N54" s="20">
        <f t="shared" si="0"/>
        <v>48</v>
      </c>
    </row>
    <row r="55" spans="1:15" s="27" customFormat="1" ht="8.5" thickBot="1" x14ac:dyDescent="0.25">
      <c r="A55" s="22">
        <v>52</v>
      </c>
      <c r="B55" s="23">
        <v>1203020401</v>
      </c>
      <c r="C55" s="23" t="s">
        <v>76</v>
      </c>
      <c r="D55" s="23">
        <v>52</v>
      </c>
      <c r="E55" s="24">
        <v>10022.719999999999</v>
      </c>
      <c r="F55" s="25">
        <v>45406</v>
      </c>
      <c r="G55" s="23" t="s">
        <v>40</v>
      </c>
      <c r="H55" s="24">
        <v>521181.44</v>
      </c>
      <c r="I55" s="24">
        <v>57329.96</v>
      </c>
      <c r="J55" s="26">
        <v>578511.4</v>
      </c>
      <c r="K55" s="31">
        <v>9371.24</v>
      </c>
      <c r="L55" s="27" t="b">
        <f t="shared" si="1"/>
        <v>0</v>
      </c>
      <c r="M55" s="27">
        <v>52</v>
      </c>
      <c r="N55" s="27">
        <f t="shared" si="0"/>
        <v>0</v>
      </c>
      <c r="O55" s="27" t="s">
        <v>155</v>
      </c>
    </row>
    <row r="56" spans="1:15" ht="8.5" thickBot="1" x14ac:dyDescent="0.25">
      <c r="A56" s="11">
        <v>53</v>
      </c>
      <c r="B56" s="3">
        <v>1201040101</v>
      </c>
      <c r="C56" s="3" t="s">
        <v>77</v>
      </c>
      <c r="D56" s="3">
        <v>24</v>
      </c>
      <c r="E56" s="4">
        <v>16704.54</v>
      </c>
      <c r="F56" s="5">
        <v>45434</v>
      </c>
      <c r="G56" s="3" t="s">
        <v>12</v>
      </c>
      <c r="H56" s="4">
        <v>400908.96</v>
      </c>
      <c r="I56" s="4">
        <v>44099.99</v>
      </c>
      <c r="J56" s="12">
        <v>445008.95</v>
      </c>
      <c r="K56" s="21">
        <v>16704.54</v>
      </c>
      <c r="L56" s="20" t="b">
        <f t="shared" si="1"/>
        <v>1</v>
      </c>
      <c r="M56" s="20">
        <v>1368</v>
      </c>
      <c r="N56" s="20">
        <f t="shared" si="0"/>
        <v>1344</v>
      </c>
    </row>
    <row r="57" spans="1:15" ht="8.5" thickBot="1" x14ac:dyDescent="0.25">
      <c r="A57" s="11">
        <v>54</v>
      </c>
      <c r="B57" s="3">
        <v>1201040102</v>
      </c>
      <c r="C57" s="3" t="s">
        <v>78</v>
      </c>
      <c r="D57" s="3">
        <v>62</v>
      </c>
      <c r="E57" s="4">
        <v>15368.18</v>
      </c>
      <c r="F57" s="5">
        <v>45469</v>
      </c>
      <c r="G57" s="3" t="s">
        <v>31</v>
      </c>
      <c r="H57" s="4">
        <v>952827.16</v>
      </c>
      <c r="I57" s="4">
        <v>104810.99</v>
      </c>
      <c r="J57" s="12">
        <v>1057638.1499999999</v>
      </c>
      <c r="K57" s="21">
        <v>15368.18</v>
      </c>
      <c r="L57" s="20" t="b">
        <f t="shared" si="1"/>
        <v>1</v>
      </c>
      <c r="M57" s="20">
        <v>216</v>
      </c>
      <c r="N57" s="20">
        <f t="shared" si="0"/>
        <v>154</v>
      </c>
    </row>
    <row r="58" spans="1:15" ht="8.5" thickBot="1" x14ac:dyDescent="0.25">
      <c r="A58" s="11">
        <v>55</v>
      </c>
      <c r="B58" s="3">
        <v>1201040103</v>
      </c>
      <c r="C58" s="3" t="s">
        <v>79</v>
      </c>
      <c r="D58" s="3">
        <v>8</v>
      </c>
      <c r="E58" s="4">
        <v>16704.54</v>
      </c>
      <c r="F58" s="5">
        <v>45434</v>
      </c>
      <c r="G58" s="3" t="s">
        <v>12</v>
      </c>
      <c r="H58" s="4">
        <v>133636.32</v>
      </c>
      <c r="I58" s="4">
        <v>14700</v>
      </c>
      <c r="J58" s="12">
        <v>148336.32000000001</v>
      </c>
      <c r="K58" s="21">
        <v>16704.54</v>
      </c>
      <c r="L58" s="20" t="b">
        <f t="shared" si="1"/>
        <v>1</v>
      </c>
      <c r="M58" s="20">
        <v>504</v>
      </c>
      <c r="N58" s="20">
        <f t="shared" si="0"/>
        <v>496</v>
      </c>
    </row>
    <row r="59" spans="1:15" ht="8.5" thickBot="1" x14ac:dyDescent="0.25">
      <c r="A59" s="11">
        <v>56</v>
      </c>
      <c r="B59" s="3">
        <v>1201040104</v>
      </c>
      <c r="C59" s="3" t="s">
        <v>80</v>
      </c>
      <c r="D59" s="3">
        <v>9</v>
      </c>
      <c r="E59" s="4">
        <v>16704.54</v>
      </c>
      <c r="F59" s="5">
        <v>45434</v>
      </c>
      <c r="G59" s="3" t="s">
        <v>12</v>
      </c>
      <c r="H59" s="4">
        <v>150340.85999999999</v>
      </c>
      <c r="I59" s="4">
        <v>16537.490000000002</v>
      </c>
      <c r="J59" s="12">
        <v>166878.35</v>
      </c>
      <c r="K59" s="21">
        <v>16704.54</v>
      </c>
      <c r="L59" s="20" t="b">
        <f t="shared" si="1"/>
        <v>1</v>
      </c>
      <c r="M59" s="20">
        <v>432</v>
      </c>
      <c r="N59" s="20">
        <f t="shared" si="0"/>
        <v>423</v>
      </c>
    </row>
    <row r="60" spans="1:15" ht="8.5" thickBot="1" x14ac:dyDescent="0.25">
      <c r="A60" s="11">
        <v>57</v>
      </c>
      <c r="B60" s="3">
        <v>1201040105</v>
      </c>
      <c r="C60" s="3" t="s">
        <v>81</v>
      </c>
      <c r="D60" s="3">
        <v>11</v>
      </c>
      <c r="E60" s="4">
        <v>16704.54</v>
      </c>
      <c r="F60" s="5">
        <v>45434</v>
      </c>
      <c r="G60" s="3" t="s">
        <v>12</v>
      </c>
      <c r="H60" s="4">
        <v>183749.94</v>
      </c>
      <c r="I60" s="4">
        <v>20212.490000000002</v>
      </c>
      <c r="J60" s="12">
        <v>203962.43</v>
      </c>
      <c r="K60" s="21">
        <v>16704.54</v>
      </c>
      <c r="L60" s="20" t="b">
        <f t="shared" si="1"/>
        <v>1</v>
      </c>
      <c r="M60" s="20">
        <v>936</v>
      </c>
      <c r="N60" s="20">
        <f t="shared" si="0"/>
        <v>925</v>
      </c>
    </row>
    <row r="61" spans="1:15" ht="8.5" thickBot="1" x14ac:dyDescent="0.25">
      <c r="A61" s="11">
        <v>58</v>
      </c>
      <c r="B61" s="3">
        <v>1201040106</v>
      </c>
      <c r="C61" s="3" t="s">
        <v>82</v>
      </c>
      <c r="D61" s="3">
        <v>12</v>
      </c>
      <c r="E61" s="4">
        <v>16704.54</v>
      </c>
      <c r="F61" s="5">
        <v>45434</v>
      </c>
      <c r="G61" s="3" t="s">
        <v>12</v>
      </c>
      <c r="H61" s="4">
        <v>200454.48</v>
      </c>
      <c r="I61" s="4">
        <v>22049.99</v>
      </c>
      <c r="J61" s="12">
        <v>222504.47</v>
      </c>
      <c r="K61" s="21">
        <v>16704.54</v>
      </c>
      <c r="L61" s="20" t="b">
        <f t="shared" si="1"/>
        <v>1</v>
      </c>
      <c r="M61" s="20">
        <v>1512</v>
      </c>
      <c r="N61" s="20">
        <f t="shared" si="0"/>
        <v>1500</v>
      </c>
    </row>
    <row r="62" spans="1:15" ht="8.5" thickBot="1" x14ac:dyDescent="0.25">
      <c r="A62" s="11">
        <v>59</v>
      </c>
      <c r="B62" s="3">
        <v>1201040107</v>
      </c>
      <c r="C62" s="3" t="s">
        <v>83</v>
      </c>
      <c r="D62" s="3">
        <v>8</v>
      </c>
      <c r="E62" s="4">
        <v>16704.54</v>
      </c>
      <c r="F62" s="5">
        <v>45434</v>
      </c>
      <c r="G62" s="3" t="s">
        <v>12</v>
      </c>
      <c r="H62" s="4">
        <v>133636.32</v>
      </c>
      <c r="I62" s="4">
        <v>14700</v>
      </c>
      <c r="J62" s="12">
        <v>148336.32000000001</v>
      </c>
      <c r="K62" s="21">
        <v>16704.54</v>
      </c>
      <c r="L62" s="20" t="b">
        <f t="shared" si="1"/>
        <v>1</v>
      </c>
      <c r="M62" s="20">
        <v>1872</v>
      </c>
      <c r="N62" s="20">
        <f t="shared" si="0"/>
        <v>1864</v>
      </c>
    </row>
    <row r="63" spans="1:15" ht="8.5" thickBot="1" x14ac:dyDescent="0.25">
      <c r="A63" s="11">
        <v>60</v>
      </c>
      <c r="B63" s="3">
        <v>1201040108</v>
      </c>
      <c r="C63" s="3" t="s">
        <v>84</v>
      </c>
      <c r="D63" s="3">
        <v>19</v>
      </c>
      <c r="E63" s="4">
        <v>16704.54</v>
      </c>
      <c r="F63" s="5">
        <v>45434</v>
      </c>
      <c r="G63" s="3" t="s">
        <v>12</v>
      </c>
      <c r="H63" s="4">
        <v>317386.26</v>
      </c>
      <c r="I63" s="4">
        <v>34912.49</v>
      </c>
      <c r="J63" s="12">
        <v>352298.75</v>
      </c>
      <c r="K63" s="21">
        <v>16704.54</v>
      </c>
      <c r="L63" s="20" t="b">
        <f t="shared" si="1"/>
        <v>1</v>
      </c>
      <c r="M63" s="20">
        <v>2592</v>
      </c>
      <c r="N63" s="20">
        <f t="shared" si="0"/>
        <v>2573</v>
      </c>
    </row>
    <row r="64" spans="1:15" ht="8.5" thickBot="1" x14ac:dyDescent="0.25">
      <c r="A64" s="11">
        <v>61</v>
      </c>
      <c r="B64" s="3">
        <v>1201040112</v>
      </c>
      <c r="C64" s="3" t="s">
        <v>85</v>
      </c>
      <c r="D64" s="3">
        <v>31</v>
      </c>
      <c r="E64" s="4">
        <v>15368.18</v>
      </c>
      <c r="F64" s="5">
        <v>45517</v>
      </c>
      <c r="G64" s="3" t="s">
        <v>29</v>
      </c>
      <c r="H64" s="4">
        <v>476413.58</v>
      </c>
      <c r="I64" s="4">
        <v>52405.49</v>
      </c>
      <c r="J64" s="12">
        <v>528819.06999999995</v>
      </c>
      <c r="K64" s="21">
        <v>15368.18</v>
      </c>
      <c r="L64" s="20" t="b">
        <f t="shared" si="1"/>
        <v>1</v>
      </c>
      <c r="M64" s="20">
        <v>288</v>
      </c>
      <c r="N64" s="20">
        <f t="shared" si="0"/>
        <v>257</v>
      </c>
    </row>
    <row r="65" spans="1:14" ht="8.5" thickBot="1" x14ac:dyDescent="0.25">
      <c r="A65" s="11">
        <v>62</v>
      </c>
      <c r="B65" s="3">
        <v>1201040113</v>
      </c>
      <c r="C65" s="3" t="s">
        <v>86</v>
      </c>
      <c r="D65" s="3">
        <v>19</v>
      </c>
      <c r="E65" s="4">
        <v>16704.54</v>
      </c>
      <c r="F65" s="5">
        <v>45434</v>
      </c>
      <c r="G65" s="3" t="s">
        <v>12</v>
      </c>
      <c r="H65" s="4">
        <v>317386.26</v>
      </c>
      <c r="I65" s="4">
        <v>34912.49</v>
      </c>
      <c r="J65" s="12">
        <v>352298.75</v>
      </c>
      <c r="K65" s="21">
        <v>16704.54</v>
      </c>
      <c r="L65" s="20" t="b">
        <f t="shared" si="1"/>
        <v>1</v>
      </c>
      <c r="M65" s="20">
        <v>576</v>
      </c>
      <c r="N65" s="20">
        <f t="shared" si="0"/>
        <v>557</v>
      </c>
    </row>
    <row r="66" spans="1:14" ht="8.5" thickBot="1" x14ac:dyDescent="0.25">
      <c r="A66" s="11">
        <v>63</v>
      </c>
      <c r="B66" s="3">
        <v>1201040114</v>
      </c>
      <c r="C66" s="3" t="s">
        <v>87</v>
      </c>
      <c r="D66" s="3">
        <v>10</v>
      </c>
      <c r="E66" s="4">
        <v>16704.54</v>
      </c>
      <c r="F66" s="5">
        <v>45434</v>
      </c>
      <c r="G66" s="3" t="s">
        <v>12</v>
      </c>
      <c r="H66" s="4">
        <v>167045.4</v>
      </c>
      <c r="I66" s="4">
        <v>18374.990000000002</v>
      </c>
      <c r="J66" s="12">
        <v>185420.39</v>
      </c>
      <c r="K66" s="21">
        <v>16704.54</v>
      </c>
      <c r="L66" s="20" t="b">
        <f t="shared" si="1"/>
        <v>1</v>
      </c>
      <c r="M66" s="20">
        <v>1008</v>
      </c>
      <c r="N66" s="20">
        <f t="shared" si="0"/>
        <v>998</v>
      </c>
    </row>
    <row r="67" spans="1:14" ht="8.5" thickBot="1" x14ac:dyDescent="0.25">
      <c r="A67" s="11">
        <v>64</v>
      </c>
      <c r="B67" s="3">
        <v>1201040115</v>
      </c>
      <c r="C67" s="3" t="s">
        <v>88</v>
      </c>
      <c r="D67" s="3">
        <v>9</v>
      </c>
      <c r="E67" s="4">
        <v>15368.18</v>
      </c>
      <c r="F67" s="5">
        <v>45517</v>
      </c>
      <c r="G67" s="3" t="s">
        <v>29</v>
      </c>
      <c r="H67" s="4">
        <v>138313.62</v>
      </c>
      <c r="I67" s="4">
        <v>15214.5</v>
      </c>
      <c r="J67" s="12">
        <v>153528.12</v>
      </c>
      <c r="K67" s="21">
        <v>15368.18</v>
      </c>
      <c r="L67" s="20" t="b">
        <f t="shared" si="1"/>
        <v>1</v>
      </c>
      <c r="M67" s="20">
        <v>648</v>
      </c>
      <c r="N67" s="20">
        <f t="shared" si="0"/>
        <v>639</v>
      </c>
    </row>
    <row r="68" spans="1:14" ht="8.5" thickBot="1" x14ac:dyDescent="0.25">
      <c r="A68" s="11">
        <v>65</v>
      </c>
      <c r="B68" s="3">
        <v>1201040116</v>
      </c>
      <c r="C68" s="3" t="s">
        <v>89</v>
      </c>
      <c r="D68" s="3">
        <v>6</v>
      </c>
      <c r="E68" s="4">
        <v>16704.54</v>
      </c>
      <c r="F68" s="5">
        <v>45561</v>
      </c>
      <c r="G68" s="3" t="s">
        <v>90</v>
      </c>
      <c r="H68" s="4">
        <v>100227.24</v>
      </c>
      <c r="I68" s="4">
        <v>11025</v>
      </c>
      <c r="J68" s="12">
        <v>111252.24</v>
      </c>
      <c r="K68" s="21">
        <v>16704.54</v>
      </c>
      <c r="L68" s="20" t="b">
        <f t="shared" si="1"/>
        <v>1</v>
      </c>
      <c r="M68" s="20">
        <v>72</v>
      </c>
      <c r="N68" s="20">
        <f t="shared" ref="N68:N131" si="2">M68-D68</f>
        <v>66</v>
      </c>
    </row>
    <row r="69" spans="1:14" ht="8.5" thickBot="1" x14ac:dyDescent="0.25">
      <c r="A69" s="11">
        <v>66</v>
      </c>
      <c r="B69" s="3">
        <v>1201040117</v>
      </c>
      <c r="C69" s="3" t="s">
        <v>91</v>
      </c>
      <c r="D69" s="3">
        <v>6</v>
      </c>
      <c r="E69" s="4">
        <v>15368.18</v>
      </c>
      <c r="F69" s="5">
        <v>45517</v>
      </c>
      <c r="G69" s="3" t="s">
        <v>29</v>
      </c>
      <c r="H69" s="4">
        <v>92209.08</v>
      </c>
      <c r="I69" s="4">
        <v>10143</v>
      </c>
      <c r="J69" s="12">
        <v>102352.08</v>
      </c>
      <c r="K69" s="21">
        <v>15368.18</v>
      </c>
      <c r="L69" s="20" t="b">
        <f t="shared" ref="L69:L132" si="3">K69=E69</f>
        <v>1</v>
      </c>
      <c r="M69" s="20">
        <v>504</v>
      </c>
      <c r="N69" s="20">
        <f t="shared" si="2"/>
        <v>498</v>
      </c>
    </row>
    <row r="70" spans="1:14" ht="8.5" thickBot="1" x14ac:dyDescent="0.25">
      <c r="A70" s="11">
        <v>67</v>
      </c>
      <c r="B70" s="3">
        <v>1201040119</v>
      </c>
      <c r="C70" s="3" t="s">
        <v>92</v>
      </c>
      <c r="D70" s="3">
        <v>6</v>
      </c>
      <c r="E70" s="4">
        <v>15368.18</v>
      </c>
      <c r="F70" s="5">
        <v>45524</v>
      </c>
      <c r="G70" s="3" t="s">
        <v>93</v>
      </c>
      <c r="H70" s="4">
        <v>92209.08</v>
      </c>
      <c r="I70" s="4">
        <v>10143</v>
      </c>
      <c r="J70" s="12">
        <v>102352.08</v>
      </c>
      <c r="K70" s="21">
        <v>15368.18</v>
      </c>
      <c r="L70" s="20" t="b">
        <f t="shared" si="3"/>
        <v>1</v>
      </c>
      <c r="M70" s="20">
        <v>648</v>
      </c>
      <c r="N70" s="20">
        <f t="shared" si="2"/>
        <v>642</v>
      </c>
    </row>
    <row r="71" spans="1:14" ht="8.5" thickBot="1" x14ac:dyDescent="0.25">
      <c r="A71" s="11">
        <v>68</v>
      </c>
      <c r="B71" s="3">
        <v>1201040109</v>
      </c>
      <c r="C71" s="3" t="s">
        <v>94</v>
      </c>
      <c r="D71" s="3">
        <v>8</v>
      </c>
      <c r="E71" s="4">
        <v>15368.18</v>
      </c>
      <c r="F71" s="5">
        <v>45517</v>
      </c>
      <c r="G71" s="3" t="s">
        <v>29</v>
      </c>
      <c r="H71" s="4">
        <v>122945.44</v>
      </c>
      <c r="I71" s="4">
        <v>13524</v>
      </c>
      <c r="J71" s="12">
        <v>136469.44</v>
      </c>
      <c r="K71" s="21">
        <v>15368.18</v>
      </c>
      <c r="L71" s="20" t="b">
        <f t="shared" si="3"/>
        <v>1</v>
      </c>
      <c r="M71" s="20">
        <v>360</v>
      </c>
      <c r="N71" s="20">
        <f t="shared" si="2"/>
        <v>352</v>
      </c>
    </row>
    <row r="72" spans="1:14" ht="8.5" thickBot="1" x14ac:dyDescent="0.25">
      <c r="A72" s="11">
        <v>69</v>
      </c>
      <c r="B72" s="3">
        <v>1201040110</v>
      </c>
      <c r="C72" s="3" t="s">
        <v>95</v>
      </c>
      <c r="D72" s="3">
        <v>11</v>
      </c>
      <c r="E72" s="4">
        <v>15368.18</v>
      </c>
      <c r="F72" s="5">
        <v>45530</v>
      </c>
      <c r="G72" s="3" t="s">
        <v>17</v>
      </c>
      <c r="H72" s="4">
        <v>169049.98</v>
      </c>
      <c r="I72" s="4">
        <v>18595.5</v>
      </c>
      <c r="J72" s="12">
        <v>187645.48</v>
      </c>
      <c r="K72" s="21">
        <v>15368.18</v>
      </c>
      <c r="L72" s="20" t="b">
        <f t="shared" si="3"/>
        <v>1</v>
      </c>
      <c r="M72" s="20">
        <v>1008</v>
      </c>
      <c r="N72" s="20">
        <f t="shared" si="2"/>
        <v>997</v>
      </c>
    </row>
    <row r="73" spans="1:14" ht="8.5" thickBot="1" x14ac:dyDescent="0.25">
      <c r="A73" s="11">
        <v>70</v>
      </c>
      <c r="B73" s="3">
        <v>1201040111</v>
      </c>
      <c r="C73" s="3" t="s">
        <v>96</v>
      </c>
      <c r="D73" s="3">
        <v>13</v>
      </c>
      <c r="E73" s="4">
        <v>16704.54</v>
      </c>
      <c r="F73" s="5">
        <v>45434</v>
      </c>
      <c r="G73" s="3" t="s">
        <v>12</v>
      </c>
      <c r="H73" s="4">
        <v>217159.02</v>
      </c>
      <c r="I73" s="4">
        <v>23887.49</v>
      </c>
      <c r="J73" s="12">
        <v>241046.51</v>
      </c>
      <c r="K73" s="21">
        <v>16704.54</v>
      </c>
      <c r="L73" s="20" t="b">
        <f t="shared" si="3"/>
        <v>1</v>
      </c>
      <c r="M73" s="20">
        <v>1296</v>
      </c>
      <c r="N73" s="20">
        <f t="shared" si="2"/>
        <v>1283</v>
      </c>
    </row>
    <row r="74" spans="1:14" ht="8.5" thickBot="1" x14ac:dyDescent="0.25">
      <c r="A74" s="11">
        <v>71</v>
      </c>
      <c r="B74" s="3">
        <v>1201040120</v>
      </c>
      <c r="C74" s="3" t="s">
        <v>97</v>
      </c>
      <c r="D74" s="3">
        <v>5</v>
      </c>
      <c r="E74" s="4">
        <v>15368.18</v>
      </c>
      <c r="F74" s="5">
        <v>45517</v>
      </c>
      <c r="G74" s="3" t="s">
        <v>29</v>
      </c>
      <c r="H74" s="4">
        <v>76840.899999999994</v>
      </c>
      <c r="I74" s="4">
        <v>8452.5</v>
      </c>
      <c r="J74" s="12">
        <v>85293.4</v>
      </c>
      <c r="K74" s="21">
        <v>15368.18</v>
      </c>
      <c r="L74" s="20" t="b">
        <f t="shared" si="3"/>
        <v>1</v>
      </c>
      <c r="M74" s="20">
        <v>216</v>
      </c>
      <c r="N74" s="20">
        <f t="shared" si="2"/>
        <v>211</v>
      </c>
    </row>
    <row r="75" spans="1:14" ht="8.5" thickBot="1" x14ac:dyDescent="0.25">
      <c r="A75" s="11">
        <v>72</v>
      </c>
      <c r="B75" s="3">
        <v>1201040121</v>
      </c>
      <c r="C75" s="3" t="s">
        <v>98</v>
      </c>
      <c r="D75" s="3">
        <v>2</v>
      </c>
      <c r="E75" s="4">
        <v>16704.54</v>
      </c>
      <c r="F75" s="5">
        <v>45434</v>
      </c>
      <c r="G75" s="3" t="s">
        <v>12</v>
      </c>
      <c r="H75" s="4">
        <v>33409.08</v>
      </c>
      <c r="I75" s="4">
        <v>3675</v>
      </c>
      <c r="J75" s="12">
        <v>37084.080000000002</v>
      </c>
      <c r="K75" s="21">
        <v>16704.54</v>
      </c>
      <c r="L75" s="20" t="b">
        <f t="shared" si="3"/>
        <v>1</v>
      </c>
      <c r="M75" s="20">
        <v>1584</v>
      </c>
      <c r="N75" s="20">
        <f t="shared" si="2"/>
        <v>1582</v>
      </c>
    </row>
    <row r="76" spans="1:14" ht="8.5" thickBot="1" x14ac:dyDescent="0.25">
      <c r="A76" s="11">
        <v>73</v>
      </c>
      <c r="B76" s="3">
        <v>1201040122</v>
      </c>
      <c r="C76" s="3" t="s">
        <v>99</v>
      </c>
      <c r="D76" s="3">
        <v>16</v>
      </c>
      <c r="E76" s="4">
        <v>16704.54</v>
      </c>
      <c r="F76" s="5">
        <v>45434</v>
      </c>
      <c r="G76" s="3" t="s">
        <v>12</v>
      </c>
      <c r="H76" s="4">
        <v>267272.64</v>
      </c>
      <c r="I76" s="4">
        <v>29399.99</v>
      </c>
      <c r="J76" s="12">
        <v>296672.63</v>
      </c>
      <c r="K76" s="21">
        <v>16704.54</v>
      </c>
      <c r="L76" s="20" t="b">
        <f t="shared" si="3"/>
        <v>1</v>
      </c>
      <c r="M76" s="20">
        <v>1872</v>
      </c>
      <c r="N76" s="20">
        <f t="shared" si="2"/>
        <v>1856</v>
      </c>
    </row>
    <row r="77" spans="1:14" ht="8.5" thickBot="1" x14ac:dyDescent="0.25">
      <c r="A77" s="11">
        <v>74</v>
      </c>
      <c r="B77" s="3">
        <v>1201040123</v>
      </c>
      <c r="C77" s="3" t="s">
        <v>100</v>
      </c>
      <c r="D77" s="3">
        <v>406</v>
      </c>
      <c r="E77" s="4">
        <v>16704.54</v>
      </c>
      <c r="F77" s="5">
        <v>45275</v>
      </c>
      <c r="G77" s="3" t="s">
        <v>42</v>
      </c>
      <c r="H77" s="4">
        <v>6782043.2400000002</v>
      </c>
      <c r="I77" s="4">
        <v>746024.76</v>
      </c>
      <c r="J77" s="12">
        <v>7528068</v>
      </c>
      <c r="K77" s="21">
        <v>16704.54</v>
      </c>
      <c r="L77" s="20" t="b">
        <f t="shared" si="3"/>
        <v>1</v>
      </c>
      <c r="M77" s="20">
        <v>3240</v>
      </c>
      <c r="N77" s="20">
        <f t="shared" si="2"/>
        <v>2834</v>
      </c>
    </row>
    <row r="78" spans="1:14" ht="8.5" thickBot="1" x14ac:dyDescent="0.25">
      <c r="A78" s="11">
        <v>75</v>
      </c>
      <c r="B78" s="3">
        <v>1201040124</v>
      </c>
      <c r="C78" s="3" t="s">
        <v>101</v>
      </c>
      <c r="D78" s="3">
        <v>5</v>
      </c>
      <c r="E78" s="4">
        <v>15368.18</v>
      </c>
      <c r="F78" s="5">
        <v>45517</v>
      </c>
      <c r="G78" s="3" t="s">
        <v>29</v>
      </c>
      <c r="H78" s="4">
        <v>76840.899999999994</v>
      </c>
      <c r="I78" s="4">
        <v>8452.5</v>
      </c>
      <c r="J78" s="12">
        <v>85293.4</v>
      </c>
      <c r="K78" s="21">
        <v>15368.18</v>
      </c>
      <c r="L78" s="20" t="b">
        <f t="shared" si="3"/>
        <v>1</v>
      </c>
      <c r="M78" s="20">
        <v>576</v>
      </c>
      <c r="N78" s="20">
        <f t="shared" si="2"/>
        <v>571</v>
      </c>
    </row>
    <row r="79" spans="1:14" ht="8.5" thickBot="1" x14ac:dyDescent="0.25">
      <c r="A79" s="11">
        <v>76</v>
      </c>
      <c r="B79" s="3">
        <v>1201040125</v>
      </c>
      <c r="C79" s="3" t="s">
        <v>102</v>
      </c>
      <c r="D79" s="3">
        <v>5</v>
      </c>
      <c r="E79" s="4">
        <v>16537.490000000002</v>
      </c>
      <c r="F79" s="5">
        <v>45581</v>
      </c>
      <c r="G79" s="3" t="s">
        <v>35</v>
      </c>
      <c r="H79" s="4">
        <v>82687.45</v>
      </c>
      <c r="I79" s="4">
        <v>9095.6200000000008</v>
      </c>
      <c r="J79" s="12">
        <v>91783.07</v>
      </c>
      <c r="K79" s="21">
        <v>16537.490000000002</v>
      </c>
      <c r="L79" s="20" t="b">
        <f t="shared" si="3"/>
        <v>1</v>
      </c>
      <c r="M79" s="20">
        <v>360</v>
      </c>
      <c r="N79" s="20">
        <f t="shared" si="2"/>
        <v>355</v>
      </c>
    </row>
    <row r="80" spans="1:14" ht="8.5" thickBot="1" x14ac:dyDescent="0.25">
      <c r="A80" s="11">
        <v>77</v>
      </c>
      <c r="B80" s="3">
        <v>1201040126</v>
      </c>
      <c r="C80" s="3" t="s">
        <v>103</v>
      </c>
      <c r="D80" s="3">
        <v>8</v>
      </c>
      <c r="E80" s="4">
        <v>15368.18</v>
      </c>
      <c r="F80" s="5">
        <v>45517</v>
      </c>
      <c r="G80" s="3" t="s">
        <v>29</v>
      </c>
      <c r="H80" s="4">
        <v>122945.44</v>
      </c>
      <c r="I80" s="4">
        <v>13524</v>
      </c>
      <c r="J80" s="12">
        <v>136469.44</v>
      </c>
      <c r="K80" s="21">
        <v>15368.18</v>
      </c>
      <c r="L80" s="20" t="b">
        <f t="shared" si="3"/>
        <v>1</v>
      </c>
      <c r="M80" s="20">
        <v>720</v>
      </c>
      <c r="N80" s="20">
        <f t="shared" si="2"/>
        <v>712</v>
      </c>
    </row>
    <row r="81" spans="1:14" ht="8.5" thickBot="1" x14ac:dyDescent="0.25">
      <c r="A81" s="11">
        <v>78</v>
      </c>
      <c r="B81" s="3">
        <v>1201040127</v>
      </c>
      <c r="C81" s="3" t="s">
        <v>104</v>
      </c>
      <c r="D81" s="3">
        <v>493</v>
      </c>
      <c r="E81" s="4">
        <v>16704.54</v>
      </c>
      <c r="F81" s="5">
        <v>45275</v>
      </c>
      <c r="G81" s="3" t="s">
        <v>42</v>
      </c>
      <c r="H81" s="4">
        <v>8235338.2199999997</v>
      </c>
      <c r="I81" s="4">
        <v>905887.2</v>
      </c>
      <c r="J81" s="12">
        <v>9141225.4199999999</v>
      </c>
      <c r="K81" s="21">
        <v>16704.54</v>
      </c>
      <c r="L81" s="20" t="b">
        <f t="shared" si="3"/>
        <v>1</v>
      </c>
      <c r="M81" s="20">
        <v>3240</v>
      </c>
      <c r="N81" s="20">
        <f t="shared" si="2"/>
        <v>2747</v>
      </c>
    </row>
    <row r="82" spans="1:14" ht="8.5" thickBot="1" x14ac:dyDescent="0.25">
      <c r="A82" s="11">
        <v>79</v>
      </c>
      <c r="B82" s="3">
        <v>1201040128</v>
      </c>
      <c r="C82" s="3" t="s">
        <v>105</v>
      </c>
      <c r="D82" s="3">
        <v>4</v>
      </c>
      <c r="E82" s="4">
        <v>15368.18</v>
      </c>
      <c r="F82" s="5">
        <v>45544</v>
      </c>
      <c r="G82" s="3" t="s">
        <v>106</v>
      </c>
      <c r="H82" s="4">
        <v>61472.72</v>
      </c>
      <c r="I82" s="4">
        <v>6762</v>
      </c>
      <c r="J82" s="12">
        <v>68234.720000000001</v>
      </c>
      <c r="K82" s="21">
        <v>15368.18</v>
      </c>
      <c r="L82" s="20" t="b">
        <f t="shared" si="3"/>
        <v>1</v>
      </c>
      <c r="M82" s="20">
        <v>144</v>
      </c>
      <c r="N82" s="20">
        <f t="shared" si="2"/>
        <v>140</v>
      </c>
    </row>
    <row r="83" spans="1:14" ht="8.5" thickBot="1" x14ac:dyDescent="0.25">
      <c r="A83" s="11">
        <v>80</v>
      </c>
      <c r="B83" s="3">
        <v>1201040302</v>
      </c>
      <c r="C83" s="3" t="s">
        <v>107</v>
      </c>
      <c r="D83" s="3">
        <v>998</v>
      </c>
      <c r="E83" s="4">
        <v>12027.27</v>
      </c>
      <c r="F83" s="5">
        <v>45275</v>
      </c>
      <c r="G83" s="3" t="s">
        <v>42</v>
      </c>
      <c r="H83" s="4">
        <v>12003215.460000001</v>
      </c>
      <c r="I83" s="4">
        <v>1320353.7</v>
      </c>
      <c r="J83" s="12">
        <v>13323569.16</v>
      </c>
      <c r="K83" s="21">
        <v>12027.27</v>
      </c>
      <c r="L83" s="20" t="b">
        <f t="shared" si="3"/>
        <v>1</v>
      </c>
      <c r="M83" s="20">
        <v>1440</v>
      </c>
      <c r="N83" s="20">
        <f t="shared" si="2"/>
        <v>442</v>
      </c>
    </row>
    <row r="84" spans="1:14" ht="8.5" thickBot="1" x14ac:dyDescent="0.25">
      <c r="A84" s="11">
        <v>81</v>
      </c>
      <c r="B84" s="3">
        <v>1201040303</v>
      </c>
      <c r="C84" s="3" t="s">
        <v>108</v>
      </c>
      <c r="D84" s="3">
        <v>1</v>
      </c>
      <c r="E84" s="4">
        <v>11065.09</v>
      </c>
      <c r="F84" s="5">
        <v>45517</v>
      </c>
      <c r="G84" s="3" t="s">
        <v>29</v>
      </c>
      <c r="H84" s="4">
        <v>11065.09</v>
      </c>
      <c r="I84" s="4">
        <v>1217.1600000000001</v>
      </c>
      <c r="J84" s="12">
        <v>12282.25</v>
      </c>
      <c r="K84" s="21">
        <v>11065.09</v>
      </c>
      <c r="L84" s="20" t="b">
        <f t="shared" si="3"/>
        <v>1</v>
      </c>
      <c r="M84" s="20">
        <v>432</v>
      </c>
      <c r="N84" s="20">
        <f t="shared" si="2"/>
        <v>431</v>
      </c>
    </row>
    <row r="85" spans="1:14" ht="8.5" thickBot="1" x14ac:dyDescent="0.25">
      <c r="A85" s="11">
        <v>82</v>
      </c>
      <c r="B85" s="3">
        <v>1201040304</v>
      </c>
      <c r="C85" s="3" t="s">
        <v>109</v>
      </c>
      <c r="D85" s="3">
        <v>9</v>
      </c>
      <c r="E85" s="4">
        <v>11065.09</v>
      </c>
      <c r="F85" s="5">
        <v>45517</v>
      </c>
      <c r="G85" s="3" t="s">
        <v>29</v>
      </c>
      <c r="H85" s="4">
        <v>99585.81</v>
      </c>
      <c r="I85" s="4">
        <v>10954.44</v>
      </c>
      <c r="J85" s="12">
        <v>110540.25</v>
      </c>
      <c r="K85" s="21">
        <v>11065.09</v>
      </c>
      <c r="L85" s="20" t="b">
        <f t="shared" si="3"/>
        <v>1</v>
      </c>
      <c r="M85" s="20">
        <v>288</v>
      </c>
      <c r="N85" s="20">
        <f t="shared" si="2"/>
        <v>279</v>
      </c>
    </row>
    <row r="86" spans="1:14" ht="8.5" thickBot="1" x14ac:dyDescent="0.25">
      <c r="A86" s="11">
        <v>83</v>
      </c>
      <c r="B86" s="3">
        <v>1201040305</v>
      </c>
      <c r="C86" s="3" t="s">
        <v>110</v>
      </c>
      <c r="D86" s="3">
        <v>1</v>
      </c>
      <c r="E86" s="4">
        <v>12027.27</v>
      </c>
      <c r="F86" s="5">
        <v>45275</v>
      </c>
      <c r="G86" s="3" t="s">
        <v>42</v>
      </c>
      <c r="H86" s="4">
        <v>12027.27</v>
      </c>
      <c r="I86" s="4">
        <v>1323</v>
      </c>
      <c r="J86" s="12">
        <v>13350.27</v>
      </c>
      <c r="K86" s="21">
        <v>12027.27</v>
      </c>
      <c r="L86" s="20" t="b">
        <f t="shared" si="3"/>
        <v>1</v>
      </c>
      <c r="M86" s="20">
        <v>216</v>
      </c>
      <c r="N86" s="20">
        <f t="shared" si="2"/>
        <v>215</v>
      </c>
    </row>
    <row r="87" spans="1:14" ht="8.5" thickBot="1" x14ac:dyDescent="0.25">
      <c r="A87" s="11">
        <v>84</v>
      </c>
      <c r="B87" s="3">
        <v>1201040306</v>
      </c>
      <c r="C87" s="3" t="s">
        <v>111</v>
      </c>
      <c r="D87" s="3">
        <v>4237</v>
      </c>
      <c r="E87" s="4">
        <v>11065.09</v>
      </c>
      <c r="F87" s="5">
        <v>45517</v>
      </c>
      <c r="G87" s="3" t="s">
        <v>29</v>
      </c>
      <c r="H87" s="4">
        <v>46882786.329999998</v>
      </c>
      <c r="I87" s="4">
        <v>5157106.5</v>
      </c>
      <c r="J87" s="12">
        <v>52039892.829999998</v>
      </c>
      <c r="K87" s="21">
        <v>11065.09</v>
      </c>
      <c r="L87" s="20" t="b">
        <f t="shared" si="3"/>
        <v>1</v>
      </c>
      <c r="M87" s="20">
        <v>4320</v>
      </c>
      <c r="N87" s="20">
        <f t="shared" si="2"/>
        <v>83</v>
      </c>
    </row>
    <row r="88" spans="1:14" ht="8.5" thickBot="1" x14ac:dyDescent="0.25">
      <c r="A88" s="11">
        <v>85</v>
      </c>
      <c r="B88" s="3">
        <v>1201040309</v>
      </c>
      <c r="C88" s="3" t="s">
        <v>112</v>
      </c>
      <c r="D88" s="3">
        <v>4</v>
      </c>
      <c r="E88" s="4">
        <v>12027.27</v>
      </c>
      <c r="F88" s="5">
        <v>45275</v>
      </c>
      <c r="G88" s="3" t="s">
        <v>42</v>
      </c>
      <c r="H88" s="4">
        <v>48109.08</v>
      </c>
      <c r="I88" s="4">
        <v>5292</v>
      </c>
      <c r="J88" s="12">
        <v>53401.08</v>
      </c>
      <c r="K88" s="21">
        <v>12027.27</v>
      </c>
      <c r="L88" s="20" t="b">
        <f t="shared" si="3"/>
        <v>1</v>
      </c>
      <c r="M88" s="20">
        <v>720</v>
      </c>
      <c r="N88" s="20">
        <f t="shared" si="2"/>
        <v>716</v>
      </c>
    </row>
    <row r="89" spans="1:14" ht="8.5" thickBot="1" x14ac:dyDescent="0.25">
      <c r="A89" s="11">
        <v>86</v>
      </c>
      <c r="B89" s="3">
        <v>1201040310</v>
      </c>
      <c r="C89" s="3" t="s">
        <v>113</v>
      </c>
      <c r="D89" s="3">
        <v>1</v>
      </c>
      <c r="E89" s="4">
        <v>11065.09</v>
      </c>
      <c r="F89" s="5">
        <v>45530</v>
      </c>
      <c r="G89" s="3" t="s">
        <v>17</v>
      </c>
      <c r="H89" s="4">
        <v>11065.09</v>
      </c>
      <c r="I89" s="4">
        <v>1217.1600000000001</v>
      </c>
      <c r="J89" s="12">
        <v>12282.25</v>
      </c>
      <c r="K89" s="21">
        <v>11065.09</v>
      </c>
      <c r="L89" s="20" t="b">
        <f t="shared" si="3"/>
        <v>1</v>
      </c>
      <c r="M89" s="20">
        <v>144</v>
      </c>
      <c r="N89" s="20">
        <f t="shared" si="2"/>
        <v>143</v>
      </c>
    </row>
    <row r="90" spans="1:14" ht="8.5" thickBot="1" x14ac:dyDescent="0.25">
      <c r="A90" s="11">
        <v>87</v>
      </c>
      <c r="B90" s="3">
        <v>1201040501</v>
      </c>
      <c r="C90" s="3" t="s">
        <v>114</v>
      </c>
      <c r="D90" s="3">
        <v>10</v>
      </c>
      <c r="E90" s="4">
        <v>18968.73</v>
      </c>
      <c r="F90" s="5">
        <v>45530</v>
      </c>
      <c r="G90" s="3" t="s">
        <v>17</v>
      </c>
      <c r="H90" s="4">
        <v>189687.3</v>
      </c>
      <c r="I90" s="4">
        <v>20865.599999999999</v>
      </c>
      <c r="J90" s="12">
        <v>210552.9</v>
      </c>
      <c r="K90" s="21">
        <v>18968.73</v>
      </c>
      <c r="L90" s="20" t="b">
        <f t="shared" si="3"/>
        <v>1</v>
      </c>
      <c r="M90" s="20">
        <v>480</v>
      </c>
      <c r="N90" s="20">
        <f t="shared" si="2"/>
        <v>470</v>
      </c>
    </row>
    <row r="91" spans="1:14" ht="8.5" thickBot="1" x14ac:dyDescent="0.25">
      <c r="A91" s="11">
        <v>88</v>
      </c>
      <c r="B91" s="3">
        <v>1201040502</v>
      </c>
      <c r="C91" s="3" t="s">
        <v>115</v>
      </c>
      <c r="D91" s="3">
        <v>9</v>
      </c>
      <c r="E91" s="4">
        <v>18968.73</v>
      </c>
      <c r="F91" s="5">
        <v>45530</v>
      </c>
      <c r="G91" s="3" t="s">
        <v>17</v>
      </c>
      <c r="H91" s="4">
        <v>170718.57</v>
      </c>
      <c r="I91" s="4">
        <v>18779.04</v>
      </c>
      <c r="J91" s="12">
        <v>189497.61</v>
      </c>
      <c r="K91" s="21">
        <v>18968.73</v>
      </c>
      <c r="L91" s="20" t="b">
        <f t="shared" si="3"/>
        <v>1</v>
      </c>
      <c r="M91" s="20">
        <v>432</v>
      </c>
      <c r="N91" s="20">
        <f t="shared" si="2"/>
        <v>423</v>
      </c>
    </row>
    <row r="92" spans="1:14" ht="8.5" thickBot="1" x14ac:dyDescent="0.25">
      <c r="A92" s="11">
        <v>89</v>
      </c>
      <c r="B92" s="3">
        <v>1201040408</v>
      </c>
      <c r="C92" s="3" t="s">
        <v>116</v>
      </c>
      <c r="D92" s="3">
        <v>29</v>
      </c>
      <c r="E92" s="4">
        <v>23386.37</v>
      </c>
      <c r="F92" s="5">
        <v>45275</v>
      </c>
      <c r="G92" s="3" t="s">
        <v>42</v>
      </c>
      <c r="H92" s="4">
        <v>678204.73</v>
      </c>
      <c r="I92" s="4">
        <v>74602.52</v>
      </c>
      <c r="J92" s="12">
        <v>752807.25</v>
      </c>
      <c r="K92" s="21">
        <v>23386.37</v>
      </c>
      <c r="L92" s="20" t="b">
        <f t="shared" si="3"/>
        <v>1</v>
      </c>
      <c r="M92" s="20">
        <v>384</v>
      </c>
      <c r="N92" s="20">
        <f t="shared" si="2"/>
        <v>355</v>
      </c>
    </row>
    <row r="93" spans="1:14" ht="8.5" thickBot="1" x14ac:dyDescent="0.25">
      <c r="A93" s="11">
        <v>90</v>
      </c>
      <c r="B93" s="3">
        <v>1201040409</v>
      </c>
      <c r="C93" s="3" t="s">
        <v>117</v>
      </c>
      <c r="D93" s="3">
        <v>20</v>
      </c>
      <c r="E93" s="4">
        <v>23386.37</v>
      </c>
      <c r="F93" s="5">
        <v>45434</v>
      </c>
      <c r="G93" s="3" t="s">
        <v>12</v>
      </c>
      <c r="H93" s="4">
        <v>467727.4</v>
      </c>
      <c r="I93" s="4">
        <v>51450.01</v>
      </c>
      <c r="J93" s="12">
        <v>519177.41</v>
      </c>
      <c r="K93" s="21">
        <v>23386.37</v>
      </c>
      <c r="L93" s="20" t="b">
        <f t="shared" si="3"/>
        <v>1</v>
      </c>
      <c r="M93" s="20">
        <v>192</v>
      </c>
      <c r="N93" s="20">
        <f t="shared" si="2"/>
        <v>172</v>
      </c>
    </row>
    <row r="94" spans="1:14" ht="8.5" thickBot="1" x14ac:dyDescent="0.25">
      <c r="A94" s="11">
        <v>91</v>
      </c>
      <c r="B94" s="3">
        <v>1201040410</v>
      </c>
      <c r="C94" s="3" t="s">
        <v>118</v>
      </c>
      <c r="D94" s="3">
        <v>7</v>
      </c>
      <c r="E94" s="4">
        <v>23386.37</v>
      </c>
      <c r="F94" s="5">
        <v>45434</v>
      </c>
      <c r="G94" s="3" t="s">
        <v>12</v>
      </c>
      <c r="H94" s="4">
        <v>163704.59</v>
      </c>
      <c r="I94" s="4">
        <v>18007.5</v>
      </c>
      <c r="J94" s="12">
        <v>181712.09</v>
      </c>
      <c r="K94" s="21">
        <v>23386.37</v>
      </c>
      <c r="L94" s="20" t="b">
        <f t="shared" si="3"/>
        <v>1</v>
      </c>
      <c r="M94" s="20">
        <v>240</v>
      </c>
      <c r="N94" s="20">
        <f t="shared" si="2"/>
        <v>233</v>
      </c>
    </row>
    <row r="95" spans="1:14" ht="8.5" thickBot="1" x14ac:dyDescent="0.25">
      <c r="A95" s="11">
        <v>92</v>
      </c>
      <c r="B95" s="3">
        <v>1201040411</v>
      </c>
      <c r="C95" s="3" t="s">
        <v>119</v>
      </c>
      <c r="D95" s="3">
        <v>119</v>
      </c>
      <c r="E95" s="4">
        <v>23386.37</v>
      </c>
      <c r="F95" s="5">
        <v>45275</v>
      </c>
      <c r="G95" s="3" t="s">
        <v>42</v>
      </c>
      <c r="H95" s="4">
        <v>2782978.03</v>
      </c>
      <c r="I95" s="4">
        <v>306127.58</v>
      </c>
      <c r="J95" s="12">
        <v>3089105.61</v>
      </c>
      <c r="K95" s="21">
        <v>23386.37</v>
      </c>
      <c r="L95" s="20" t="b">
        <f t="shared" si="3"/>
        <v>1</v>
      </c>
      <c r="M95" s="20">
        <v>240</v>
      </c>
      <c r="N95" s="20">
        <f t="shared" si="2"/>
        <v>121</v>
      </c>
    </row>
    <row r="96" spans="1:14" ht="8.5" thickBot="1" x14ac:dyDescent="0.25">
      <c r="A96" s="11">
        <v>93</v>
      </c>
      <c r="B96" s="3">
        <v>1201040503</v>
      </c>
      <c r="C96" s="3" t="s">
        <v>120</v>
      </c>
      <c r="D96" s="3">
        <v>5</v>
      </c>
      <c r="E96" s="4">
        <v>32445.95</v>
      </c>
      <c r="F96" s="5">
        <v>45434</v>
      </c>
      <c r="G96" s="3" t="s">
        <v>12</v>
      </c>
      <c r="H96" s="4">
        <v>162229.75</v>
      </c>
      <c r="I96" s="4">
        <v>17845.27</v>
      </c>
      <c r="J96" s="12">
        <v>180075.02</v>
      </c>
      <c r="K96" s="21">
        <v>32445.95</v>
      </c>
      <c r="L96" s="20" t="b">
        <f t="shared" si="3"/>
        <v>1</v>
      </c>
      <c r="M96" s="20">
        <v>384</v>
      </c>
      <c r="N96" s="20">
        <f t="shared" si="2"/>
        <v>379</v>
      </c>
    </row>
    <row r="97" spans="1:14" ht="8.5" thickBot="1" x14ac:dyDescent="0.25">
      <c r="A97" s="11">
        <v>94</v>
      </c>
      <c r="B97" s="3">
        <v>1201040504</v>
      </c>
      <c r="C97" s="3" t="s">
        <v>121</v>
      </c>
      <c r="D97" s="3">
        <v>4</v>
      </c>
      <c r="E97" s="4">
        <v>32445.95</v>
      </c>
      <c r="F97" s="5">
        <v>45334</v>
      </c>
      <c r="G97" s="3" t="s">
        <v>50</v>
      </c>
      <c r="H97" s="4">
        <v>129783.8</v>
      </c>
      <c r="I97" s="4">
        <v>14276.22</v>
      </c>
      <c r="J97" s="12">
        <v>144060.01999999999</v>
      </c>
      <c r="K97" s="21">
        <v>32445.95</v>
      </c>
      <c r="L97" s="20" t="b">
        <f t="shared" si="3"/>
        <v>1</v>
      </c>
      <c r="M97" s="20">
        <v>480</v>
      </c>
      <c r="N97" s="20">
        <f t="shared" si="2"/>
        <v>476</v>
      </c>
    </row>
    <row r="98" spans="1:14" ht="8.5" thickBot="1" x14ac:dyDescent="0.25">
      <c r="A98" s="11">
        <v>95</v>
      </c>
      <c r="B98" s="3">
        <v>1201040505</v>
      </c>
      <c r="C98" s="3" t="s">
        <v>122</v>
      </c>
      <c r="D98" s="3">
        <v>11</v>
      </c>
      <c r="E98" s="4">
        <v>29850.27</v>
      </c>
      <c r="F98" s="5">
        <v>45530</v>
      </c>
      <c r="G98" s="3" t="s">
        <v>17</v>
      </c>
      <c r="H98" s="4">
        <v>328352.96999999997</v>
      </c>
      <c r="I98" s="4">
        <v>36118.83</v>
      </c>
      <c r="J98" s="12">
        <v>364471.8</v>
      </c>
      <c r="K98" s="21">
        <v>29850.27</v>
      </c>
      <c r="L98" s="20" t="b">
        <f t="shared" si="3"/>
        <v>1</v>
      </c>
      <c r="M98" s="20">
        <v>96</v>
      </c>
      <c r="N98" s="20">
        <f t="shared" si="2"/>
        <v>85</v>
      </c>
    </row>
    <row r="99" spans="1:14" ht="8.5" thickBot="1" x14ac:dyDescent="0.25">
      <c r="A99" s="11">
        <v>96</v>
      </c>
      <c r="B99" s="3">
        <v>1201040509</v>
      </c>
      <c r="C99" s="3" t="s">
        <v>123</v>
      </c>
      <c r="D99" s="3">
        <v>134</v>
      </c>
      <c r="E99" s="4">
        <v>32445.95</v>
      </c>
      <c r="F99" s="5">
        <v>45275</v>
      </c>
      <c r="G99" s="3" t="s">
        <v>42</v>
      </c>
      <c r="H99" s="4">
        <v>4347757.3</v>
      </c>
      <c r="I99" s="4">
        <v>478253.3</v>
      </c>
      <c r="J99" s="12">
        <v>4826010.5999999996</v>
      </c>
      <c r="K99" s="21">
        <v>32445.95</v>
      </c>
      <c r="L99" s="20" t="b">
        <f t="shared" si="3"/>
        <v>1</v>
      </c>
      <c r="M99" s="20">
        <v>144</v>
      </c>
      <c r="N99" s="20">
        <f t="shared" si="2"/>
        <v>10</v>
      </c>
    </row>
    <row r="100" spans="1:14" ht="8.5" thickBot="1" x14ac:dyDescent="0.25">
      <c r="A100" s="11">
        <v>97</v>
      </c>
      <c r="B100" s="3">
        <v>1201040510</v>
      </c>
      <c r="C100" s="3" t="s">
        <v>124</v>
      </c>
      <c r="D100" s="3">
        <v>9</v>
      </c>
      <c r="E100" s="4">
        <v>32445.95</v>
      </c>
      <c r="F100" s="5">
        <v>45275</v>
      </c>
      <c r="G100" s="3" t="s">
        <v>42</v>
      </c>
      <c r="H100" s="4">
        <v>292013.55</v>
      </c>
      <c r="I100" s="4">
        <v>32121.49</v>
      </c>
      <c r="J100" s="12">
        <v>324135.03999999998</v>
      </c>
      <c r="K100" s="21">
        <v>32445.95</v>
      </c>
      <c r="L100" s="20" t="b">
        <f t="shared" si="3"/>
        <v>1</v>
      </c>
      <c r="M100" s="20">
        <v>144</v>
      </c>
      <c r="N100" s="20">
        <f t="shared" si="2"/>
        <v>135</v>
      </c>
    </row>
    <row r="101" spans="1:14" ht="8.5" thickBot="1" x14ac:dyDescent="0.25">
      <c r="A101" s="11">
        <v>98</v>
      </c>
      <c r="B101" s="3">
        <v>1201040429</v>
      </c>
      <c r="C101" s="3" t="s">
        <v>125</v>
      </c>
      <c r="D101" s="3">
        <v>2</v>
      </c>
      <c r="E101" s="4">
        <v>21441.439999999999</v>
      </c>
      <c r="F101" s="5">
        <v>45434</v>
      </c>
      <c r="G101" s="3" t="s">
        <v>12</v>
      </c>
      <c r="H101" s="4">
        <v>42882.879999999997</v>
      </c>
      <c r="I101" s="4">
        <v>4717.12</v>
      </c>
      <c r="J101" s="12">
        <v>47600</v>
      </c>
      <c r="K101" s="21">
        <v>21441.439999999999</v>
      </c>
      <c r="L101" s="20" t="b">
        <f t="shared" si="3"/>
        <v>1</v>
      </c>
      <c r="M101" s="20">
        <v>768</v>
      </c>
      <c r="N101" s="20">
        <f t="shared" si="2"/>
        <v>766</v>
      </c>
    </row>
    <row r="102" spans="1:14" ht="8.5" thickBot="1" x14ac:dyDescent="0.25">
      <c r="A102" s="11">
        <v>99</v>
      </c>
      <c r="B102" s="3">
        <v>1201040430</v>
      </c>
      <c r="C102" s="3" t="s">
        <v>126</v>
      </c>
      <c r="D102" s="3">
        <v>204</v>
      </c>
      <c r="E102" s="4">
        <v>20180.18</v>
      </c>
      <c r="F102" s="5">
        <v>45310</v>
      </c>
      <c r="G102" s="3" t="s">
        <v>25</v>
      </c>
      <c r="H102" s="4">
        <v>4116756.72</v>
      </c>
      <c r="I102" s="4">
        <v>452843.24</v>
      </c>
      <c r="J102" s="12">
        <v>4569599.96</v>
      </c>
      <c r="K102" s="21">
        <v>20180.18</v>
      </c>
      <c r="L102" s="20" t="b">
        <f t="shared" si="3"/>
        <v>1</v>
      </c>
      <c r="M102" s="20">
        <v>360</v>
      </c>
      <c r="N102" s="20">
        <f t="shared" si="2"/>
        <v>156</v>
      </c>
    </row>
    <row r="103" spans="1:14" ht="8.5" thickBot="1" x14ac:dyDescent="0.25">
      <c r="A103" s="11">
        <v>100</v>
      </c>
      <c r="B103" s="3">
        <v>1201040432</v>
      </c>
      <c r="C103" s="3" t="s">
        <v>127</v>
      </c>
      <c r="D103" s="3">
        <v>144</v>
      </c>
      <c r="E103" s="4">
        <v>20180.18</v>
      </c>
      <c r="F103" s="5">
        <v>45275</v>
      </c>
      <c r="G103" s="3" t="s">
        <v>42</v>
      </c>
      <c r="H103" s="4">
        <v>2905945.92</v>
      </c>
      <c r="I103" s="4">
        <v>319654.05</v>
      </c>
      <c r="J103" s="12">
        <v>3225599.97</v>
      </c>
      <c r="K103" s="21">
        <v>20180.18</v>
      </c>
      <c r="L103" s="20" t="b">
        <f t="shared" si="3"/>
        <v>1</v>
      </c>
      <c r="M103" s="20">
        <v>144</v>
      </c>
      <c r="N103" s="20">
        <f t="shared" si="2"/>
        <v>0</v>
      </c>
    </row>
    <row r="104" spans="1:14" ht="8.5" thickBot="1" x14ac:dyDescent="0.25">
      <c r="A104" s="11">
        <v>101</v>
      </c>
      <c r="B104" s="3">
        <v>1201040701</v>
      </c>
      <c r="C104" s="3" t="s">
        <v>128</v>
      </c>
      <c r="D104" s="3">
        <v>25</v>
      </c>
      <c r="E104" s="4">
        <v>16704.54</v>
      </c>
      <c r="F104" s="5">
        <v>45275</v>
      </c>
      <c r="G104" s="3" t="s">
        <v>42</v>
      </c>
      <c r="H104" s="4">
        <v>417613.5</v>
      </c>
      <c r="I104" s="4">
        <v>45937.49</v>
      </c>
      <c r="J104" s="12">
        <v>463550.99</v>
      </c>
      <c r="K104" s="21">
        <v>16704.54</v>
      </c>
      <c r="L104" s="20" t="b">
        <f t="shared" si="3"/>
        <v>1</v>
      </c>
      <c r="M104" s="20">
        <v>1680</v>
      </c>
      <c r="N104" s="20">
        <f t="shared" si="2"/>
        <v>1655</v>
      </c>
    </row>
    <row r="105" spans="1:14" ht="8.5" thickBot="1" x14ac:dyDescent="0.25">
      <c r="A105" s="11">
        <v>102</v>
      </c>
      <c r="B105" s="3">
        <v>1201040601</v>
      </c>
      <c r="C105" s="3" t="s">
        <v>129</v>
      </c>
      <c r="D105" s="3">
        <v>110</v>
      </c>
      <c r="E105" s="4">
        <v>21189.19</v>
      </c>
      <c r="F105" s="5">
        <v>45310</v>
      </c>
      <c r="G105" s="3" t="s">
        <v>25</v>
      </c>
      <c r="H105" s="4">
        <v>2330810.9</v>
      </c>
      <c r="I105" s="4">
        <v>256389.2</v>
      </c>
      <c r="J105" s="12">
        <v>2587200.1</v>
      </c>
      <c r="K105" s="21">
        <v>21189.19</v>
      </c>
      <c r="L105" s="20" t="b">
        <f t="shared" si="3"/>
        <v>1</v>
      </c>
      <c r="M105" s="20">
        <v>240</v>
      </c>
      <c r="N105" s="20">
        <f t="shared" si="2"/>
        <v>130</v>
      </c>
    </row>
    <row r="106" spans="1:14" ht="8.5" thickBot="1" x14ac:dyDescent="0.25">
      <c r="A106" s="11">
        <v>103</v>
      </c>
      <c r="B106" s="3">
        <v>1201020901</v>
      </c>
      <c r="C106" s="3" t="s">
        <v>130</v>
      </c>
      <c r="D106" s="3">
        <v>7</v>
      </c>
      <c r="E106" s="4">
        <v>14011.35</v>
      </c>
      <c r="F106" s="5">
        <v>45530</v>
      </c>
      <c r="G106" s="3" t="s">
        <v>17</v>
      </c>
      <c r="H106" s="4">
        <v>98079.45</v>
      </c>
      <c r="I106" s="4">
        <v>10788.74</v>
      </c>
      <c r="J106" s="12">
        <v>108868.19</v>
      </c>
      <c r="K106" s="21">
        <v>14011.35</v>
      </c>
      <c r="L106" s="20" t="b">
        <f t="shared" si="3"/>
        <v>1</v>
      </c>
      <c r="M106" s="20">
        <v>144</v>
      </c>
      <c r="N106" s="20">
        <f t="shared" si="2"/>
        <v>137</v>
      </c>
    </row>
    <row r="107" spans="1:14" ht="8.5" thickBot="1" x14ac:dyDescent="0.25">
      <c r="A107" s="11">
        <v>104</v>
      </c>
      <c r="B107" s="3">
        <v>1201040802</v>
      </c>
      <c r="C107" s="3" t="s">
        <v>131</v>
      </c>
      <c r="D107" s="3">
        <v>1</v>
      </c>
      <c r="E107" s="4">
        <v>8513.51</v>
      </c>
      <c r="F107" s="5">
        <v>45334</v>
      </c>
      <c r="G107" s="3" t="s">
        <v>50</v>
      </c>
      <c r="H107" s="4">
        <v>8513.51</v>
      </c>
      <c r="I107" s="3">
        <v>936.49</v>
      </c>
      <c r="J107" s="12">
        <v>9450</v>
      </c>
      <c r="K107" s="21">
        <v>8513.51</v>
      </c>
      <c r="L107" s="20" t="b">
        <f t="shared" si="3"/>
        <v>1</v>
      </c>
      <c r="M107" s="20">
        <v>1440</v>
      </c>
      <c r="N107" s="20">
        <f t="shared" si="2"/>
        <v>1439</v>
      </c>
    </row>
    <row r="108" spans="1:14" ht="8.5" thickBot="1" x14ac:dyDescent="0.25">
      <c r="A108" s="11">
        <v>105</v>
      </c>
      <c r="B108" s="3">
        <v>1201040506</v>
      </c>
      <c r="C108" s="3" t="s">
        <v>132</v>
      </c>
      <c r="D108" s="3">
        <v>24</v>
      </c>
      <c r="E108" s="4">
        <v>42860.81</v>
      </c>
      <c r="F108" s="5">
        <v>45488</v>
      </c>
      <c r="G108" s="3" t="s">
        <v>60</v>
      </c>
      <c r="H108" s="4">
        <v>1028659.44</v>
      </c>
      <c r="I108" s="4">
        <v>113152.54</v>
      </c>
      <c r="J108" s="12">
        <v>1141811.98</v>
      </c>
      <c r="K108" s="21">
        <v>42860.81</v>
      </c>
      <c r="L108" s="20" t="b">
        <f t="shared" si="3"/>
        <v>1</v>
      </c>
      <c r="M108" s="20">
        <v>96</v>
      </c>
      <c r="N108" s="20">
        <f t="shared" si="2"/>
        <v>72</v>
      </c>
    </row>
    <row r="109" spans="1:14" ht="8.5" thickBot="1" x14ac:dyDescent="0.25">
      <c r="A109" s="11">
        <v>106</v>
      </c>
      <c r="B109" s="3">
        <v>1201040507</v>
      </c>
      <c r="C109" s="3" t="s">
        <v>133</v>
      </c>
      <c r="D109" s="3">
        <v>30</v>
      </c>
      <c r="E109" s="4">
        <v>42860.81</v>
      </c>
      <c r="F109" s="5">
        <v>45488</v>
      </c>
      <c r="G109" s="3" t="s">
        <v>60</v>
      </c>
      <c r="H109" s="4">
        <v>1285824.3</v>
      </c>
      <c r="I109" s="4">
        <v>141440.67000000001</v>
      </c>
      <c r="J109" s="12">
        <v>1427264.97</v>
      </c>
      <c r="K109" s="21">
        <v>42860.81</v>
      </c>
      <c r="L109" s="20" t="b">
        <f t="shared" si="3"/>
        <v>1</v>
      </c>
      <c r="M109" s="20">
        <v>48</v>
      </c>
      <c r="N109" s="20">
        <f t="shared" si="2"/>
        <v>18</v>
      </c>
    </row>
    <row r="110" spans="1:14" ht="8.5" thickBot="1" x14ac:dyDescent="0.25">
      <c r="A110" s="11">
        <v>107</v>
      </c>
      <c r="B110" s="3">
        <v>1201040508</v>
      </c>
      <c r="C110" s="3" t="s">
        <v>134</v>
      </c>
      <c r="D110" s="3">
        <v>45</v>
      </c>
      <c r="E110" s="4">
        <v>43513.51</v>
      </c>
      <c r="F110" s="5">
        <v>45406</v>
      </c>
      <c r="G110" s="3" t="s">
        <v>63</v>
      </c>
      <c r="H110" s="4">
        <v>1958107.95</v>
      </c>
      <c r="I110" s="4">
        <v>215391.87</v>
      </c>
      <c r="J110" s="12">
        <v>2173499.8199999998</v>
      </c>
      <c r="K110" s="21">
        <v>43513.51</v>
      </c>
      <c r="L110" s="20" t="b">
        <f t="shared" si="3"/>
        <v>1</v>
      </c>
      <c r="M110" s="20">
        <v>84</v>
      </c>
      <c r="N110" s="20">
        <f t="shared" si="2"/>
        <v>39</v>
      </c>
    </row>
    <row r="111" spans="1:14" ht="8.5" thickBot="1" x14ac:dyDescent="0.25">
      <c r="A111" s="11">
        <v>108</v>
      </c>
      <c r="B111" s="3">
        <v>1201040804</v>
      </c>
      <c r="C111" s="3" t="s">
        <v>135</v>
      </c>
      <c r="D111" s="3">
        <v>12</v>
      </c>
      <c r="E111" s="4">
        <v>18918.919999999998</v>
      </c>
      <c r="F111" s="5">
        <v>45561</v>
      </c>
      <c r="G111" s="3" t="s">
        <v>90</v>
      </c>
      <c r="H111" s="4">
        <v>227027.04</v>
      </c>
      <c r="I111" s="4">
        <v>24972.97</v>
      </c>
      <c r="J111" s="12">
        <v>252000.01</v>
      </c>
      <c r="K111" s="21">
        <v>18918.919999999998</v>
      </c>
      <c r="L111" s="20" t="b">
        <f t="shared" si="3"/>
        <v>1</v>
      </c>
      <c r="M111" s="20">
        <v>864</v>
      </c>
      <c r="N111" s="20">
        <f t="shared" si="2"/>
        <v>852</v>
      </c>
    </row>
    <row r="112" spans="1:14" ht="8.5" thickBot="1" x14ac:dyDescent="0.25">
      <c r="A112" s="11">
        <v>109</v>
      </c>
      <c r="B112" s="3">
        <v>1201040803</v>
      </c>
      <c r="C112" s="3" t="s">
        <v>136</v>
      </c>
      <c r="D112" s="3">
        <v>2</v>
      </c>
      <c r="E112" s="4">
        <v>23018.02</v>
      </c>
      <c r="F112" s="5">
        <v>45434</v>
      </c>
      <c r="G112" s="3" t="s">
        <v>12</v>
      </c>
      <c r="H112" s="4">
        <v>46036.04</v>
      </c>
      <c r="I112" s="4">
        <v>5063.96</v>
      </c>
      <c r="J112" s="12">
        <v>51100</v>
      </c>
      <c r="K112" s="21">
        <v>23018.02</v>
      </c>
      <c r="L112" s="20" t="b">
        <f t="shared" si="3"/>
        <v>1</v>
      </c>
      <c r="M112" s="20">
        <v>216</v>
      </c>
      <c r="N112" s="20">
        <f t="shared" si="2"/>
        <v>214</v>
      </c>
    </row>
    <row r="113" spans="1:15" s="27" customFormat="1" ht="8.5" thickBot="1" x14ac:dyDescent="0.25">
      <c r="A113" s="22">
        <v>110</v>
      </c>
      <c r="B113" s="23">
        <v>1205050201</v>
      </c>
      <c r="C113" s="23" t="s">
        <v>137</v>
      </c>
      <c r="D113" s="23">
        <v>12</v>
      </c>
      <c r="E113" s="24">
        <v>7636.36</v>
      </c>
      <c r="F113" s="25">
        <v>45406</v>
      </c>
      <c r="G113" s="23" t="s">
        <v>40</v>
      </c>
      <c r="H113" s="24">
        <v>91636.32</v>
      </c>
      <c r="I113" s="24">
        <v>10080</v>
      </c>
      <c r="J113" s="26">
        <v>101716.32</v>
      </c>
      <c r="K113" s="31">
        <v>7140</v>
      </c>
      <c r="L113" s="27" t="b">
        <f t="shared" si="3"/>
        <v>0</v>
      </c>
      <c r="M113" s="28">
        <v>37</v>
      </c>
      <c r="N113" s="27">
        <f t="shared" si="2"/>
        <v>25</v>
      </c>
      <c r="O113" s="27" t="s">
        <v>155</v>
      </c>
    </row>
    <row r="114" spans="1:15" s="27" customFormat="1" ht="8.5" thickBot="1" x14ac:dyDescent="0.25">
      <c r="A114" s="22">
        <v>111</v>
      </c>
      <c r="B114" s="23">
        <v>1205050202</v>
      </c>
      <c r="C114" s="23" t="s">
        <v>138</v>
      </c>
      <c r="D114" s="23">
        <v>6</v>
      </c>
      <c r="E114" s="24">
        <v>7636.36</v>
      </c>
      <c r="F114" s="25">
        <v>45406</v>
      </c>
      <c r="G114" s="23" t="s">
        <v>40</v>
      </c>
      <c r="H114" s="24">
        <v>45818.16</v>
      </c>
      <c r="I114" s="24">
        <v>5040</v>
      </c>
      <c r="J114" s="26">
        <v>50858.16</v>
      </c>
      <c r="K114" s="31">
        <v>7140</v>
      </c>
      <c r="L114" s="27" t="b">
        <f t="shared" si="3"/>
        <v>0</v>
      </c>
      <c r="M114" s="28">
        <v>17</v>
      </c>
      <c r="N114" s="27">
        <f t="shared" si="2"/>
        <v>11</v>
      </c>
      <c r="O114" s="27" t="s">
        <v>155</v>
      </c>
    </row>
    <row r="115" spans="1:15" s="27" customFormat="1" ht="8.5" thickBot="1" x14ac:dyDescent="0.25">
      <c r="A115" s="22">
        <v>112</v>
      </c>
      <c r="B115" s="23">
        <v>1205050203</v>
      </c>
      <c r="C115" s="23" t="s">
        <v>139</v>
      </c>
      <c r="D115" s="23">
        <v>6</v>
      </c>
      <c r="E115" s="24">
        <v>7636.36</v>
      </c>
      <c r="F115" s="25">
        <v>45406</v>
      </c>
      <c r="G115" s="23" t="s">
        <v>40</v>
      </c>
      <c r="H115" s="24">
        <v>45818.16</v>
      </c>
      <c r="I115" s="24">
        <v>5040</v>
      </c>
      <c r="J115" s="26">
        <v>50858.16</v>
      </c>
      <c r="K115" s="31">
        <v>7140</v>
      </c>
      <c r="L115" s="27" t="b">
        <f t="shared" si="3"/>
        <v>0</v>
      </c>
      <c r="M115" s="28">
        <v>21</v>
      </c>
      <c r="N115" s="27">
        <f t="shared" si="2"/>
        <v>15</v>
      </c>
      <c r="O115" s="27" t="s">
        <v>155</v>
      </c>
    </row>
    <row r="116" spans="1:15" s="27" customFormat="1" ht="8.5" thickBot="1" x14ac:dyDescent="0.25">
      <c r="A116" s="22">
        <v>113</v>
      </c>
      <c r="B116" s="23">
        <v>1205050204</v>
      </c>
      <c r="C116" s="23" t="s">
        <v>140</v>
      </c>
      <c r="D116" s="23">
        <v>9</v>
      </c>
      <c r="E116" s="24">
        <v>7636.36</v>
      </c>
      <c r="F116" s="25">
        <v>45406</v>
      </c>
      <c r="G116" s="23" t="s">
        <v>40</v>
      </c>
      <c r="H116" s="24">
        <v>68727.240000000005</v>
      </c>
      <c r="I116" s="24">
        <v>7560</v>
      </c>
      <c r="J116" s="26">
        <v>76287.240000000005</v>
      </c>
      <c r="K116" s="31">
        <v>7140</v>
      </c>
      <c r="L116" s="27" t="b">
        <f t="shared" si="3"/>
        <v>0</v>
      </c>
      <c r="M116" s="28">
        <v>14</v>
      </c>
      <c r="N116" s="27">
        <f t="shared" si="2"/>
        <v>5</v>
      </c>
      <c r="O116" s="27" t="s">
        <v>155</v>
      </c>
    </row>
    <row r="117" spans="1:15" ht="8.5" thickBot="1" x14ac:dyDescent="0.25">
      <c r="A117" s="11">
        <v>114</v>
      </c>
      <c r="B117" s="3">
        <v>1205020601</v>
      </c>
      <c r="C117" s="3" t="s">
        <v>14</v>
      </c>
      <c r="D117" s="3">
        <v>30</v>
      </c>
      <c r="E117" s="4">
        <v>8272.73</v>
      </c>
      <c r="F117" s="5">
        <v>45405</v>
      </c>
      <c r="G117" s="3" t="s">
        <v>15</v>
      </c>
      <c r="H117" s="4">
        <v>248181.9</v>
      </c>
      <c r="I117" s="4">
        <v>27300.01</v>
      </c>
      <c r="J117" s="12">
        <v>275481.90999999997</v>
      </c>
      <c r="K117" s="21">
        <v>8272.73</v>
      </c>
      <c r="L117" s="20" t="b">
        <f t="shared" si="3"/>
        <v>1</v>
      </c>
      <c r="M117" s="20">
        <v>30</v>
      </c>
      <c r="N117" s="20">
        <f t="shared" si="2"/>
        <v>0</v>
      </c>
    </row>
    <row r="118" spans="1:15" ht="8.5" thickBot="1" x14ac:dyDescent="0.25">
      <c r="A118" s="11">
        <v>115</v>
      </c>
      <c r="B118" s="3">
        <v>1205020602</v>
      </c>
      <c r="C118" s="3" t="s">
        <v>141</v>
      </c>
      <c r="D118" s="3">
        <v>60</v>
      </c>
      <c r="E118" s="4">
        <v>8272.73</v>
      </c>
      <c r="F118" s="5">
        <v>45405</v>
      </c>
      <c r="G118" s="3" t="s">
        <v>15</v>
      </c>
      <c r="H118" s="4">
        <v>496363.8</v>
      </c>
      <c r="I118" s="4">
        <v>54600.02</v>
      </c>
      <c r="J118" s="12">
        <v>550963.81999999995</v>
      </c>
      <c r="K118" s="21">
        <v>8272.73</v>
      </c>
      <c r="L118" s="20" t="b">
        <f t="shared" si="3"/>
        <v>1</v>
      </c>
      <c r="M118" s="20">
        <v>60</v>
      </c>
      <c r="N118" s="20">
        <f t="shared" si="2"/>
        <v>0</v>
      </c>
    </row>
    <row r="119" spans="1:15" ht="8.5" thickBot="1" x14ac:dyDescent="0.25">
      <c r="A119" s="11">
        <v>116</v>
      </c>
      <c r="B119" s="3">
        <v>1205010101</v>
      </c>
      <c r="C119" s="3" t="s">
        <v>142</v>
      </c>
      <c r="D119" s="3">
        <v>1</v>
      </c>
      <c r="E119" s="4">
        <v>20810.810000000001</v>
      </c>
      <c r="F119" s="5">
        <v>45405</v>
      </c>
      <c r="G119" s="3" t="s">
        <v>15</v>
      </c>
      <c r="H119" s="4">
        <v>20810.810000000001</v>
      </c>
      <c r="I119" s="4">
        <v>2289.19</v>
      </c>
      <c r="J119" s="12">
        <v>23100</v>
      </c>
      <c r="K119" s="21">
        <v>20810.810000000001</v>
      </c>
      <c r="L119" s="20" t="b">
        <f t="shared" si="3"/>
        <v>1</v>
      </c>
      <c r="M119" s="20">
        <v>132</v>
      </c>
      <c r="N119" s="20">
        <f t="shared" si="2"/>
        <v>131</v>
      </c>
    </row>
    <row r="120" spans="1:15" ht="8.5" thickBot="1" x14ac:dyDescent="0.25">
      <c r="A120" s="11">
        <v>117</v>
      </c>
      <c r="B120" s="3">
        <v>1205010102</v>
      </c>
      <c r="C120" s="3" t="s">
        <v>143</v>
      </c>
      <c r="D120" s="3">
        <v>17</v>
      </c>
      <c r="E120" s="4">
        <v>20810.810000000001</v>
      </c>
      <c r="F120" s="5">
        <v>45405</v>
      </c>
      <c r="G120" s="3" t="s">
        <v>15</v>
      </c>
      <c r="H120" s="4">
        <v>353783.77</v>
      </c>
      <c r="I120" s="4">
        <v>38916.21</v>
      </c>
      <c r="J120" s="12">
        <v>392699.98</v>
      </c>
      <c r="K120" s="21">
        <v>20810.810000000001</v>
      </c>
      <c r="L120" s="20" t="b">
        <f t="shared" si="3"/>
        <v>1</v>
      </c>
      <c r="M120" s="20">
        <v>132</v>
      </c>
      <c r="N120" s="20">
        <f t="shared" si="2"/>
        <v>115</v>
      </c>
    </row>
    <row r="121" spans="1:15" ht="8.5" thickBot="1" x14ac:dyDescent="0.25">
      <c r="A121" s="11">
        <v>118</v>
      </c>
      <c r="B121" s="3">
        <v>1205010103</v>
      </c>
      <c r="C121" s="3" t="s">
        <v>144</v>
      </c>
      <c r="D121" s="3">
        <v>4</v>
      </c>
      <c r="E121" s="4">
        <v>20810.810000000001</v>
      </c>
      <c r="F121" s="5">
        <v>45405</v>
      </c>
      <c r="G121" s="3" t="s">
        <v>15</v>
      </c>
      <c r="H121" s="4">
        <v>83243.240000000005</v>
      </c>
      <c r="I121" s="4">
        <v>9156.76</v>
      </c>
      <c r="J121" s="12">
        <v>92400</v>
      </c>
      <c r="K121" s="21">
        <v>20810.810000000001</v>
      </c>
      <c r="L121" s="20" t="b">
        <f t="shared" si="3"/>
        <v>1</v>
      </c>
      <c r="M121" s="20">
        <v>132</v>
      </c>
      <c r="N121" s="20">
        <f t="shared" si="2"/>
        <v>128</v>
      </c>
    </row>
    <row r="122" spans="1:15" ht="8.5" thickBot="1" x14ac:dyDescent="0.25">
      <c r="A122" s="11">
        <v>119</v>
      </c>
      <c r="B122" s="3">
        <v>1201040311</v>
      </c>
      <c r="C122" s="3" t="s">
        <v>145</v>
      </c>
      <c r="D122" s="3">
        <v>1</v>
      </c>
      <c r="E122" s="4">
        <v>22072.07</v>
      </c>
      <c r="F122" s="5">
        <v>45434</v>
      </c>
      <c r="G122" s="3" t="s">
        <v>12</v>
      </c>
      <c r="H122" s="4">
        <v>22072.07</v>
      </c>
      <c r="I122" s="4">
        <v>2427.9299999999998</v>
      </c>
      <c r="J122" s="12">
        <v>24500</v>
      </c>
      <c r="K122" s="21">
        <v>22072.07</v>
      </c>
      <c r="L122" s="20" t="b">
        <f t="shared" si="3"/>
        <v>1</v>
      </c>
      <c r="M122" s="20">
        <v>216</v>
      </c>
      <c r="N122" s="20">
        <f t="shared" si="2"/>
        <v>215</v>
      </c>
    </row>
    <row r="123" spans="1:15" ht="8.5" thickBot="1" x14ac:dyDescent="0.25">
      <c r="A123" s="11">
        <v>120</v>
      </c>
      <c r="B123" s="3">
        <v>1201040313</v>
      </c>
      <c r="C123" s="3" t="s">
        <v>146</v>
      </c>
      <c r="D123" s="3">
        <v>1</v>
      </c>
      <c r="E123" s="4">
        <v>22072.07</v>
      </c>
      <c r="F123" s="5">
        <v>45434</v>
      </c>
      <c r="G123" s="3" t="s">
        <v>12</v>
      </c>
      <c r="H123" s="4">
        <v>22072.07</v>
      </c>
      <c r="I123" s="4">
        <v>2427.9299999999998</v>
      </c>
      <c r="J123" s="12">
        <v>24500</v>
      </c>
      <c r="K123" s="21">
        <v>22072.07</v>
      </c>
      <c r="L123" s="20" t="b">
        <f t="shared" si="3"/>
        <v>1</v>
      </c>
      <c r="M123" s="20">
        <v>216</v>
      </c>
      <c r="N123" s="20">
        <f t="shared" si="2"/>
        <v>215</v>
      </c>
    </row>
    <row r="124" spans="1:15" ht="8.5" thickBot="1" x14ac:dyDescent="0.25">
      <c r="A124" s="11">
        <v>121</v>
      </c>
      <c r="B124" s="3">
        <v>1201040314</v>
      </c>
      <c r="C124" s="3" t="s">
        <v>147</v>
      </c>
      <c r="D124" s="3">
        <v>1</v>
      </c>
      <c r="E124" s="4">
        <v>22072.07</v>
      </c>
      <c r="F124" s="5">
        <v>45434</v>
      </c>
      <c r="G124" s="3" t="s">
        <v>12</v>
      </c>
      <c r="H124" s="4">
        <v>22072.07</v>
      </c>
      <c r="I124" s="4">
        <v>2427.9299999999998</v>
      </c>
      <c r="J124" s="12">
        <v>24500</v>
      </c>
      <c r="K124" s="21">
        <v>22072.07</v>
      </c>
      <c r="L124" s="20" t="b">
        <f t="shared" si="3"/>
        <v>1</v>
      </c>
      <c r="M124" s="20">
        <v>360</v>
      </c>
      <c r="N124" s="20">
        <f t="shared" si="2"/>
        <v>359</v>
      </c>
    </row>
    <row r="125" spans="1:15" ht="8.5" thickBot="1" x14ac:dyDescent="0.25">
      <c r="A125" s="11">
        <v>122</v>
      </c>
      <c r="B125" s="3">
        <v>1201040315</v>
      </c>
      <c r="C125" s="3" t="s">
        <v>148</v>
      </c>
      <c r="D125" s="3">
        <v>1</v>
      </c>
      <c r="E125" s="4">
        <v>22072.07</v>
      </c>
      <c r="F125" s="5">
        <v>45434</v>
      </c>
      <c r="G125" s="3" t="s">
        <v>12</v>
      </c>
      <c r="H125" s="4">
        <v>22072.07</v>
      </c>
      <c r="I125" s="4">
        <v>2427.9299999999998</v>
      </c>
      <c r="J125" s="12">
        <v>24500</v>
      </c>
      <c r="K125" s="21">
        <v>22072.07</v>
      </c>
      <c r="L125" s="20" t="b">
        <f t="shared" si="3"/>
        <v>1</v>
      </c>
      <c r="M125" s="20">
        <v>432</v>
      </c>
      <c r="N125" s="20">
        <f t="shared" si="2"/>
        <v>431</v>
      </c>
    </row>
    <row r="126" spans="1:15" ht="8.5" thickBot="1" x14ac:dyDescent="0.25">
      <c r="A126" s="11">
        <v>123</v>
      </c>
      <c r="B126" s="3">
        <v>1201040205</v>
      </c>
      <c r="C126" s="3" t="s">
        <v>149</v>
      </c>
      <c r="D126" s="3">
        <v>1</v>
      </c>
      <c r="E126" s="4">
        <v>17115.310000000001</v>
      </c>
      <c r="F126" s="5">
        <v>45517</v>
      </c>
      <c r="G126" s="3" t="s">
        <v>29</v>
      </c>
      <c r="H126" s="4">
        <v>17115.310000000001</v>
      </c>
      <c r="I126" s="4">
        <v>1882.68</v>
      </c>
      <c r="J126" s="12">
        <v>18997.990000000002</v>
      </c>
      <c r="K126" s="21">
        <v>17115.310000000001</v>
      </c>
      <c r="L126" s="20" t="b">
        <f t="shared" si="3"/>
        <v>1</v>
      </c>
      <c r="M126" s="20">
        <v>360</v>
      </c>
      <c r="N126" s="20">
        <f t="shared" si="2"/>
        <v>359</v>
      </c>
    </row>
    <row r="127" spans="1:15" ht="8.5" thickBot="1" x14ac:dyDescent="0.25">
      <c r="A127" s="11">
        <v>124</v>
      </c>
      <c r="B127" s="3">
        <v>1201040211</v>
      </c>
      <c r="C127" s="3" t="s">
        <v>150</v>
      </c>
      <c r="D127" s="3">
        <v>2</v>
      </c>
      <c r="E127" s="4">
        <v>17115.310000000001</v>
      </c>
      <c r="F127" s="5">
        <v>45517</v>
      </c>
      <c r="G127" s="3" t="s">
        <v>29</v>
      </c>
      <c r="H127" s="4">
        <v>34230.620000000003</v>
      </c>
      <c r="I127" s="4">
        <v>3765.37</v>
      </c>
      <c r="J127" s="12">
        <v>37995.99</v>
      </c>
      <c r="K127" s="21">
        <v>17115.310000000001</v>
      </c>
      <c r="L127" s="20" t="b">
        <f t="shared" si="3"/>
        <v>1</v>
      </c>
      <c r="M127" s="20">
        <v>720</v>
      </c>
      <c r="N127" s="20">
        <f t="shared" si="2"/>
        <v>718</v>
      </c>
    </row>
    <row r="128" spans="1:15" ht="8.5" thickBot="1" x14ac:dyDescent="0.25">
      <c r="A128" s="11">
        <v>125</v>
      </c>
      <c r="B128" s="3">
        <v>1201040213</v>
      </c>
      <c r="C128" s="3" t="s">
        <v>151</v>
      </c>
      <c r="D128" s="3">
        <v>7</v>
      </c>
      <c r="E128" s="4">
        <v>17115.310000000001</v>
      </c>
      <c r="F128" s="5">
        <v>45517</v>
      </c>
      <c r="G128" s="3" t="s">
        <v>29</v>
      </c>
      <c r="H128" s="4">
        <v>119807.17</v>
      </c>
      <c r="I128" s="4">
        <v>13178.79</v>
      </c>
      <c r="J128" s="12">
        <v>132985.96</v>
      </c>
      <c r="K128" s="21">
        <v>17115.310000000001</v>
      </c>
      <c r="L128" s="20" t="b">
        <f t="shared" si="3"/>
        <v>1</v>
      </c>
      <c r="M128" s="20">
        <v>288</v>
      </c>
      <c r="N128" s="20">
        <f t="shared" si="2"/>
        <v>281</v>
      </c>
    </row>
    <row r="129" spans="1:14" ht="8.5" thickBot="1" x14ac:dyDescent="0.25">
      <c r="A129" s="11">
        <v>126</v>
      </c>
      <c r="B129" s="3">
        <v>1201040218</v>
      </c>
      <c r="C129" s="3" t="s">
        <v>152</v>
      </c>
      <c r="D129" s="3">
        <v>4</v>
      </c>
      <c r="E129" s="4">
        <v>17115.310000000001</v>
      </c>
      <c r="F129" s="5">
        <v>45517</v>
      </c>
      <c r="G129" s="3" t="s">
        <v>29</v>
      </c>
      <c r="H129" s="4">
        <v>68461.240000000005</v>
      </c>
      <c r="I129" s="4">
        <v>7530.74</v>
      </c>
      <c r="J129" s="12">
        <v>75991.98</v>
      </c>
      <c r="K129" s="21">
        <v>17115.310000000001</v>
      </c>
      <c r="L129" s="20" t="b">
        <f t="shared" si="3"/>
        <v>1</v>
      </c>
      <c r="M129" s="20">
        <v>216</v>
      </c>
      <c r="N129" s="20">
        <f t="shared" si="2"/>
        <v>212</v>
      </c>
    </row>
    <row r="130" spans="1:14" ht="8.5" thickBot="1" x14ac:dyDescent="0.25">
      <c r="A130" s="11">
        <v>127</v>
      </c>
      <c r="B130" s="3">
        <v>1201010409</v>
      </c>
      <c r="C130" s="3" t="s">
        <v>52</v>
      </c>
      <c r="D130" s="3">
        <v>480</v>
      </c>
      <c r="E130" s="4">
        <v>14700</v>
      </c>
      <c r="F130" s="5">
        <v>45334</v>
      </c>
      <c r="G130" s="3" t="s">
        <v>50</v>
      </c>
      <c r="H130" s="4">
        <v>7056000</v>
      </c>
      <c r="I130" s="4">
        <v>776160</v>
      </c>
      <c r="J130" s="12">
        <v>7832160</v>
      </c>
      <c r="K130" s="21">
        <v>14700</v>
      </c>
      <c r="L130" s="20" t="b">
        <f t="shared" si="3"/>
        <v>1</v>
      </c>
      <c r="M130" s="20">
        <v>480</v>
      </c>
      <c r="N130" s="20">
        <f t="shared" si="2"/>
        <v>0</v>
      </c>
    </row>
    <row r="131" spans="1:14" ht="8.5" thickBot="1" x14ac:dyDescent="0.25">
      <c r="A131" s="11">
        <v>128</v>
      </c>
      <c r="B131" s="3">
        <v>1201010409</v>
      </c>
      <c r="C131" s="3" t="s">
        <v>52</v>
      </c>
      <c r="D131" s="3">
        <v>192</v>
      </c>
      <c r="E131" s="4">
        <v>14700</v>
      </c>
      <c r="F131" s="5">
        <v>45405</v>
      </c>
      <c r="G131" s="3" t="s">
        <v>15</v>
      </c>
      <c r="H131" s="4">
        <v>2822400</v>
      </c>
      <c r="I131" s="4">
        <v>310464</v>
      </c>
      <c r="J131" s="12">
        <v>3132864</v>
      </c>
      <c r="K131" s="21">
        <v>14700</v>
      </c>
      <c r="L131" s="20" t="b">
        <f t="shared" si="3"/>
        <v>1</v>
      </c>
      <c r="M131" s="20">
        <v>192</v>
      </c>
      <c r="N131" s="20">
        <f t="shared" si="2"/>
        <v>0</v>
      </c>
    </row>
    <row r="132" spans="1:14" ht="8.5" thickBot="1" x14ac:dyDescent="0.25">
      <c r="A132" s="11">
        <v>129</v>
      </c>
      <c r="B132" s="3">
        <v>1201010409</v>
      </c>
      <c r="C132" s="3" t="s">
        <v>52</v>
      </c>
      <c r="D132" s="3">
        <v>109</v>
      </c>
      <c r="E132" s="4">
        <v>14700</v>
      </c>
      <c r="F132" s="5">
        <v>45275</v>
      </c>
      <c r="G132" s="3" t="s">
        <v>42</v>
      </c>
      <c r="H132" s="4">
        <v>1602300</v>
      </c>
      <c r="I132" s="4">
        <v>176253</v>
      </c>
      <c r="J132" s="12">
        <v>1778553</v>
      </c>
      <c r="K132" s="21">
        <v>14700</v>
      </c>
      <c r="L132" s="20" t="b">
        <f t="shared" si="3"/>
        <v>1</v>
      </c>
      <c r="M132" s="20">
        <v>144</v>
      </c>
      <c r="N132" s="20">
        <f t="shared" ref="N132:N142" si="4">M132-D132</f>
        <v>35</v>
      </c>
    </row>
    <row r="133" spans="1:14" ht="8.5" thickBot="1" x14ac:dyDescent="0.25">
      <c r="A133" s="11">
        <v>130</v>
      </c>
      <c r="B133" s="3">
        <v>1201010409</v>
      </c>
      <c r="C133" s="3" t="s">
        <v>52</v>
      </c>
      <c r="D133" s="3">
        <v>16</v>
      </c>
      <c r="E133" s="4">
        <v>14700</v>
      </c>
      <c r="F133" s="5">
        <v>45275</v>
      </c>
      <c r="G133" s="3" t="s">
        <v>42</v>
      </c>
      <c r="H133" s="4">
        <v>235200</v>
      </c>
      <c r="I133" s="4">
        <v>25872</v>
      </c>
      <c r="J133" s="12">
        <v>261072</v>
      </c>
      <c r="K133" s="21">
        <v>14700</v>
      </c>
      <c r="L133" s="20" t="b">
        <f t="shared" ref="L133:L143" si="5">K133=E133</f>
        <v>1</v>
      </c>
      <c r="M133" s="20">
        <v>144</v>
      </c>
      <c r="N133" s="20">
        <f t="shared" si="4"/>
        <v>128</v>
      </c>
    </row>
    <row r="134" spans="1:14" ht="8.5" thickBot="1" x14ac:dyDescent="0.25">
      <c r="A134" s="11">
        <v>131</v>
      </c>
      <c r="B134" s="3">
        <v>1201040432</v>
      </c>
      <c r="C134" s="3" t="s">
        <v>127</v>
      </c>
      <c r="D134" s="3">
        <v>25</v>
      </c>
      <c r="E134" s="4">
        <v>20180.18</v>
      </c>
      <c r="F134" s="5">
        <v>45275</v>
      </c>
      <c r="G134" s="3" t="s">
        <v>42</v>
      </c>
      <c r="H134" s="4">
        <v>504504.5</v>
      </c>
      <c r="I134" s="4">
        <v>55495.5</v>
      </c>
      <c r="J134" s="12">
        <v>560000</v>
      </c>
      <c r="K134" s="21">
        <v>20180.18</v>
      </c>
      <c r="L134" s="20" t="b">
        <f t="shared" si="5"/>
        <v>1</v>
      </c>
      <c r="M134" s="20">
        <v>144</v>
      </c>
      <c r="N134" s="20">
        <f t="shared" si="4"/>
        <v>119</v>
      </c>
    </row>
    <row r="135" spans="1:14" ht="8.5" thickBot="1" x14ac:dyDescent="0.25">
      <c r="A135" s="11">
        <v>132</v>
      </c>
      <c r="B135" s="3">
        <v>1201040432</v>
      </c>
      <c r="C135" s="3" t="s">
        <v>127</v>
      </c>
      <c r="D135" s="3">
        <v>69</v>
      </c>
      <c r="E135" s="4">
        <v>20180.18</v>
      </c>
      <c r="F135" s="5">
        <v>45275</v>
      </c>
      <c r="G135" s="3" t="s">
        <v>42</v>
      </c>
      <c r="H135" s="4">
        <v>1392432.42</v>
      </c>
      <c r="I135" s="4">
        <v>153167.57</v>
      </c>
      <c r="J135" s="12">
        <v>1545599.99</v>
      </c>
      <c r="K135" s="21">
        <v>20180.18</v>
      </c>
      <c r="L135" s="20" t="b">
        <f t="shared" si="5"/>
        <v>1</v>
      </c>
      <c r="M135" s="20">
        <v>144</v>
      </c>
      <c r="N135" s="20">
        <f t="shared" si="4"/>
        <v>75</v>
      </c>
    </row>
    <row r="136" spans="1:14" ht="8.5" thickBot="1" x14ac:dyDescent="0.25">
      <c r="A136" s="11">
        <v>133</v>
      </c>
      <c r="B136" s="3">
        <v>1201040432</v>
      </c>
      <c r="C136" s="3" t="s">
        <v>127</v>
      </c>
      <c r="D136" s="3">
        <v>68</v>
      </c>
      <c r="E136" s="4">
        <v>20180.18</v>
      </c>
      <c r="F136" s="5">
        <v>45275</v>
      </c>
      <c r="G136" s="3" t="s">
        <v>42</v>
      </c>
      <c r="H136" s="4">
        <v>1372252.24</v>
      </c>
      <c r="I136" s="4">
        <v>150947.75</v>
      </c>
      <c r="J136" s="12">
        <v>1523199.99</v>
      </c>
      <c r="K136" s="21">
        <v>20180.18</v>
      </c>
      <c r="L136" s="20" t="b">
        <f t="shared" si="5"/>
        <v>1</v>
      </c>
      <c r="M136" s="20">
        <v>144</v>
      </c>
      <c r="N136" s="20">
        <f t="shared" si="4"/>
        <v>76</v>
      </c>
    </row>
    <row r="137" spans="1:14" ht="8.5" thickBot="1" x14ac:dyDescent="0.25">
      <c r="A137" s="11">
        <v>134</v>
      </c>
      <c r="B137" s="3">
        <v>1205020602</v>
      </c>
      <c r="C137" s="3" t="s">
        <v>141</v>
      </c>
      <c r="D137" s="3">
        <v>31</v>
      </c>
      <c r="E137" s="4">
        <v>8272.73</v>
      </c>
      <c r="F137" s="5">
        <v>45405</v>
      </c>
      <c r="G137" s="3" t="s">
        <v>15</v>
      </c>
      <c r="H137" s="4">
        <v>256454.63</v>
      </c>
      <c r="I137" s="4">
        <v>28210.01</v>
      </c>
      <c r="J137" s="12">
        <v>284664.64</v>
      </c>
      <c r="K137" s="21">
        <v>8272.73</v>
      </c>
      <c r="L137" s="20" t="b">
        <f t="shared" si="5"/>
        <v>1</v>
      </c>
      <c r="M137" s="20">
        <v>60</v>
      </c>
      <c r="N137" s="20">
        <f t="shared" si="4"/>
        <v>29</v>
      </c>
    </row>
    <row r="138" spans="1:14" ht="8.5" thickBot="1" x14ac:dyDescent="0.25">
      <c r="A138" s="11">
        <v>135</v>
      </c>
      <c r="B138" s="3">
        <v>1201010409</v>
      </c>
      <c r="C138" s="3" t="s">
        <v>52</v>
      </c>
      <c r="D138" s="3">
        <v>17</v>
      </c>
      <c r="E138" s="4">
        <v>14700</v>
      </c>
      <c r="F138" s="5">
        <v>45275</v>
      </c>
      <c r="G138" s="3" t="s">
        <v>42</v>
      </c>
      <c r="H138" s="4">
        <v>249900</v>
      </c>
      <c r="I138" s="4">
        <v>27489</v>
      </c>
      <c r="J138" s="12">
        <v>277389</v>
      </c>
      <c r="K138" s="21">
        <v>14700</v>
      </c>
      <c r="L138" s="20" t="b">
        <f t="shared" si="5"/>
        <v>1</v>
      </c>
      <c r="M138" s="20">
        <v>144</v>
      </c>
      <c r="N138" s="20">
        <f t="shared" si="4"/>
        <v>127</v>
      </c>
    </row>
    <row r="139" spans="1:14" ht="8.5" thickBot="1" x14ac:dyDescent="0.25">
      <c r="A139" s="11">
        <v>136</v>
      </c>
      <c r="B139" s="3">
        <v>1201040432</v>
      </c>
      <c r="C139" s="3" t="s">
        <v>127</v>
      </c>
      <c r="D139" s="3">
        <v>126</v>
      </c>
      <c r="E139" s="4">
        <v>20180.18</v>
      </c>
      <c r="F139" s="5">
        <v>45275</v>
      </c>
      <c r="G139" s="3" t="s">
        <v>42</v>
      </c>
      <c r="H139" s="4">
        <v>2542702.6800000002</v>
      </c>
      <c r="I139" s="4">
        <v>279697.28999999998</v>
      </c>
      <c r="J139" s="12">
        <v>2822399.97</v>
      </c>
      <c r="K139" s="21">
        <v>20180.18</v>
      </c>
      <c r="L139" s="20" t="b">
        <f t="shared" si="5"/>
        <v>1</v>
      </c>
      <c r="M139" s="20">
        <v>144</v>
      </c>
      <c r="N139" s="20">
        <f t="shared" si="4"/>
        <v>18</v>
      </c>
    </row>
    <row r="140" spans="1:14" ht="8.5" thickBot="1" x14ac:dyDescent="0.25">
      <c r="A140" s="11">
        <v>137</v>
      </c>
      <c r="B140" s="3">
        <v>1201010107</v>
      </c>
      <c r="C140" s="3" t="s">
        <v>41</v>
      </c>
      <c r="D140" s="3">
        <v>96</v>
      </c>
      <c r="E140" s="4">
        <v>35000</v>
      </c>
      <c r="F140" s="5">
        <v>45406</v>
      </c>
      <c r="G140" s="3" t="s">
        <v>63</v>
      </c>
      <c r="H140" s="4">
        <v>3360000</v>
      </c>
      <c r="I140" s="4">
        <v>369600</v>
      </c>
      <c r="J140" s="12">
        <v>3729600</v>
      </c>
      <c r="K140" s="21">
        <v>35000</v>
      </c>
      <c r="L140" s="20" t="b">
        <f t="shared" si="5"/>
        <v>1</v>
      </c>
      <c r="M140" s="20">
        <v>101</v>
      </c>
      <c r="N140" s="20">
        <f t="shared" si="4"/>
        <v>5</v>
      </c>
    </row>
    <row r="141" spans="1:14" ht="8.5" thickBot="1" x14ac:dyDescent="0.25">
      <c r="A141" s="11">
        <v>138</v>
      </c>
      <c r="B141" s="3">
        <v>1201010412</v>
      </c>
      <c r="C141" s="3" t="s">
        <v>61</v>
      </c>
      <c r="D141" s="3">
        <v>481</v>
      </c>
      <c r="E141" s="4">
        <v>1670.46</v>
      </c>
      <c r="F141" s="5">
        <v>45334</v>
      </c>
      <c r="G141" s="3" t="s">
        <v>50</v>
      </c>
      <c r="H141" s="4">
        <v>803491.26</v>
      </c>
      <c r="I141" s="4">
        <v>88384.04</v>
      </c>
      <c r="J141" s="12">
        <v>891875.3</v>
      </c>
      <c r="K141" s="21">
        <v>1670.46</v>
      </c>
      <c r="L141" s="20" t="b">
        <f t="shared" si="5"/>
        <v>1</v>
      </c>
      <c r="M141" s="20">
        <v>960</v>
      </c>
      <c r="N141" s="20">
        <f t="shared" si="4"/>
        <v>479</v>
      </c>
    </row>
    <row r="142" spans="1:14" ht="8.5" thickBot="1" x14ac:dyDescent="0.25">
      <c r="A142" s="11">
        <v>139</v>
      </c>
      <c r="B142" s="3">
        <v>1201010413</v>
      </c>
      <c r="C142" s="3" t="s">
        <v>62</v>
      </c>
      <c r="D142" s="3">
        <v>118</v>
      </c>
      <c r="E142" s="4">
        <v>1670.46</v>
      </c>
      <c r="F142" s="5">
        <v>45405</v>
      </c>
      <c r="G142" s="3" t="s">
        <v>15</v>
      </c>
      <c r="H142" s="4">
        <v>197114.28</v>
      </c>
      <c r="I142" s="4">
        <v>21682.57</v>
      </c>
      <c r="J142" s="12">
        <v>218796.85</v>
      </c>
      <c r="K142" s="21">
        <v>1670.46</v>
      </c>
      <c r="L142" s="20" t="b">
        <f t="shared" si="5"/>
        <v>1</v>
      </c>
      <c r="M142" s="20">
        <v>312</v>
      </c>
      <c r="N142" s="20">
        <f t="shared" si="4"/>
        <v>194</v>
      </c>
    </row>
    <row r="143" spans="1:14" ht="8.5" thickBot="1" x14ac:dyDescent="0.25">
      <c r="A143" s="11">
        <v>140</v>
      </c>
      <c r="B143" s="3">
        <v>1203020401</v>
      </c>
      <c r="C143" s="3" t="s">
        <v>76</v>
      </c>
      <c r="D143" s="3">
        <v>74</v>
      </c>
      <c r="E143" s="4">
        <v>10452.26</v>
      </c>
      <c r="F143" s="5">
        <v>45735</v>
      </c>
      <c r="G143" s="18" t="s">
        <v>154</v>
      </c>
      <c r="H143" s="4">
        <v>773467.24</v>
      </c>
      <c r="I143" s="4">
        <v>85081.4</v>
      </c>
      <c r="J143" s="12">
        <v>858548.64</v>
      </c>
      <c r="K143" s="21">
        <v>10452.26</v>
      </c>
      <c r="L143" s="20" t="b">
        <f t="shared" si="5"/>
        <v>1</v>
      </c>
      <c r="M143" s="20">
        <v>100</v>
      </c>
      <c r="N143" s="20">
        <f>M143-D143</f>
        <v>26</v>
      </c>
    </row>
    <row r="144" spans="1:14" ht="15" customHeight="1" thickBot="1" x14ac:dyDescent="0.25">
      <c r="A144" s="15" t="s">
        <v>153</v>
      </c>
      <c r="B144" s="16"/>
      <c r="C144" s="16"/>
      <c r="D144" s="16"/>
      <c r="E144" s="16"/>
      <c r="F144" s="16"/>
      <c r="G144" s="17"/>
      <c r="H144" s="13">
        <v>182726593.96000001</v>
      </c>
      <c r="I144" s="13">
        <v>20099925.34</v>
      </c>
      <c r="J144" s="14">
        <v>202826519.30000001</v>
      </c>
    </row>
  </sheetData>
  <mergeCells count="2">
    <mergeCell ref="A1:J1"/>
    <mergeCell ref="A144:G1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DRAFT NOTA RETUR - 2025-09-22T1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 Excel</dc:title>
  <dc:creator>EJI</dc:creator>
  <cp:lastModifiedBy>Co Chopin</cp:lastModifiedBy>
  <dcterms:created xsi:type="dcterms:W3CDTF">2025-09-22T03:29:49Z</dcterms:created>
  <dcterms:modified xsi:type="dcterms:W3CDTF">2025-09-22T03:30:05Z</dcterms:modified>
</cp:coreProperties>
</file>